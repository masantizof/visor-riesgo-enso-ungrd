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66377AB-F617-4E7A-A74B-CB78550F12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Temperatura!$AW$1:$AW$472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/>
  <c r="AU288" i="1" a="1"/>
  <c r="AU288" i="1" s="1"/>
  <c r="AW288" i="1" s="1"/>
  <c r="AT288" i="1"/>
  <c r="AR288" i="1"/>
  <c r="AP288" i="1"/>
  <c r="AQ288" i="1" s="1"/>
  <c r="AS288" i="1" s="1"/>
  <c r="AV287" i="1" a="1"/>
  <c r="AV287" i="1" s="1"/>
  <c r="AU287" i="1" a="1"/>
  <c r="AU287" i="1"/>
  <c r="AT287" i="1"/>
  <c r="AW287" i="1" s="1"/>
  <c r="AR287" i="1"/>
  <c r="AP287" i="1"/>
  <c r="AQ287" i="1" s="1"/>
  <c r="AS287" i="1" s="1"/>
  <c r="AV286" i="1" a="1"/>
  <c r="AV286" i="1" s="1"/>
  <c r="AU286" i="1" a="1"/>
  <c r="AU286" i="1" s="1"/>
  <c r="AW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W285" i="1" s="1"/>
  <c r="AR285" i="1"/>
  <c r="AP285" i="1"/>
  <c r="AQ285" i="1" s="1"/>
  <c r="AS285" i="1" s="1"/>
  <c r="AV284" i="1" a="1"/>
  <c r="AV284" i="1" s="1"/>
  <c r="AU284" i="1" a="1"/>
  <c r="AU284" i="1" s="1"/>
  <c r="AW284" i="1" s="1"/>
  <c r="AT284" i="1"/>
  <c r="AR284" i="1"/>
  <c r="AQ284" i="1"/>
  <c r="AS284" i="1" s="1"/>
  <c r="AP284" i="1"/>
  <c r="AV283" i="1" a="1"/>
  <c r="AV283" i="1" s="1"/>
  <c r="AU283" i="1" a="1"/>
  <c r="AU283" i="1" s="1"/>
  <c r="AW283" i="1" s="1"/>
  <c r="AT283" i="1"/>
  <c r="AR283" i="1"/>
  <c r="AP283" i="1"/>
  <c r="AQ283" i="1" s="1"/>
  <c r="AS283" i="1" s="1"/>
  <c r="AV282" i="1" a="1"/>
  <c r="AV282" i="1" s="1"/>
  <c r="AU282" i="1" a="1"/>
  <c r="AU282" i="1"/>
  <c r="AT282" i="1"/>
  <c r="AW282" i="1" s="1"/>
  <c r="AR282" i="1"/>
  <c r="AP282" i="1"/>
  <c r="AQ282" i="1" s="1"/>
  <c r="AS282" i="1" s="1"/>
  <c r="AV281" i="1" a="1"/>
  <c r="AV281" i="1" s="1"/>
  <c r="AU281" i="1" a="1"/>
  <c r="AU281" i="1"/>
  <c r="AT281" i="1"/>
  <c r="AW281" i="1" s="1"/>
  <c r="AR281" i="1"/>
  <c r="AP281" i="1"/>
  <c r="AQ281" i="1" s="1"/>
  <c r="AS281" i="1" s="1"/>
  <c r="AV280" i="1" a="1"/>
  <c r="AV280" i="1" s="1"/>
  <c r="AU280" i="1" a="1"/>
  <c r="AU280" i="1" s="1"/>
  <c r="AT280" i="1"/>
  <c r="AW280" i="1" s="1"/>
  <c r="AR280" i="1"/>
  <c r="AP280" i="1"/>
  <c r="AQ280" i="1" s="1"/>
  <c r="AS280" i="1" s="1"/>
  <c r="AV279" i="1" a="1"/>
  <c r="AV279" i="1" s="1"/>
  <c r="AU279" i="1" a="1"/>
  <c r="AU279" i="1" s="1"/>
  <c r="AW279" i="1" s="1"/>
  <c r="AT279" i="1"/>
  <c r="AR279" i="1"/>
  <c r="AP279" i="1"/>
  <c r="AQ279" i="1" s="1"/>
  <c r="AS279" i="1" s="1"/>
  <c r="AV278" i="1" a="1"/>
  <c r="AV278" i="1" s="1"/>
  <c r="AU278" i="1" a="1"/>
  <c r="AU278" i="1"/>
  <c r="AW278" i="1" s="1"/>
  <c r="AT278" i="1"/>
  <c r="AR278" i="1"/>
  <c r="AP278" i="1"/>
  <c r="AQ278" i="1" s="1"/>
  <c r="AS278" i="1" s="1"/>
  <c r="AV277" i="1" a="1"/>
  <c r="AV277" i="1"/>
  <c r="AU277" i="1" a="1"/>
  <c r="AU277" i="1"/>
  <c r="AT277" i="1"/>
  <c r="AW277" i="1" s="1"/>
  <c r="AR277" i="1"/>
  <c r="AQ277" i="1"/>
  <c r="AS277" i="1" s="1"/>
  <c r="AP277" i="1"/>
  <c r="AV276" i="1" a="1"/>
  <c r="AV276" i="1" s="1"/>
  <c r="AU276" i="1" a="1"/>
  <c r="AU276" i="1" s="1"/>
  <c r="AW276" i="1" s="1"/>
  <c r="AT276" i="1"/>
  <c r="AR276" i="1"/>
  <c r="AQ276" i="1"/>
  <c r="AS276" i="1" s="1"/>
  <c r="AP276" i="1"/>
  <c r="AV275" i="1" a="1"/>
  <c r="AV275" i="1" s="1"/>
  <c r="AU275" i="1" a="1"/>
  <c r="AU275" i="1" s="1"/>
  <c r="AW275" i="1" s="1"/>
  <c r="AT275" i="1"/>
  <c r="AR275" i="1"/>
  <c r="AQ275" i="1"/>
  <c r="AS275" i="1" s="1"/>
  <c r="AP275" i="1"/>
  <c r="AV274" i="1" a="1"/>
  <c r="AV274" i="1"/>
  <c r="AU274" i="1" a="1"/>
  <c r="AU274" i="1" s="1"/>
  <c r="AT274" i="1"/>
  <c r="AR274" i="1"/>
  <c r="AQ274" i="1"/>
  <c r="AS274" i="1" s="1"/>
  <c r="AP274" i="1"/>
  <c r="AV273" i="1" a="1"/>
  <c r="AV273" i="1" s="1"/>
  <c r="AU273" i="1" a="1"/>
  <c r="AU273" i="1"/>
  <c r="AT273" i="1"/>
  <c r="AW273" i="1" s="1"/>
  <c r="AR273" i="1"/>
  <c r="AP273" i="1"/>
  <c r="AQ273" i="1" s="1"/>
  <c r="AS273" i="1" s="1"/>
  <c r="AV272" i="1" a="1"/>
  <c r="AV272" i="1" s="1"/>
  <c r="AU272" i="1" a="1"/>
  <c r="AU272" i="1" s="1"/>
  <c r="AT272" i="1"/>
  <c r="AW272" i="1" s="1"/>
  <c r="AR272" i="1"/>
  <c r="AQ272" i="1"/>
  <c r="AS272" i="1" s="1"/>
  <c r="AP272" i="1"/>
  <c r="AV271" i="1" a="1"/>
  <c r="AV271" i="1" s="1"/>
  <c r="AU271" i="1" a="1"/>
  <c r="AU271" i="1"/>
  <c r="AT271" i="1"/>
  <c r="AW271" i="1" s="1"/>
  <c r="AR271" i="1"/>
  <c r="AP271" i="1"/>
  <c r="AQ271" i="1" s="1"/>
  <c r="AS271" i="1" s="1"/>
  <c r="AV270" i="1" a="1"/>
  <c r="AV270" i="1" s="1"/>
  <c r="AU270" i="1" a="1"/>
  <c r="AU270" i="1"/>
  <c r="AT270" i="1"/>
  <c r="AW270" i="1" s="1"/>
  <c r="AR270" i="1"/>
  <c r="AP270" i="1"/>
  <c r="AQ270" i="1" s="1"/>
  <c r="AS270" i="1" s="1"/>
  <c r="AV269" i="1" a="1"/>
  <c r="AV269" i="1"/>
  <c r="AU269" i="1" a="1"/>
  <c r="AU269" i="1" s="1"/>
  <c r="AT269" i="1"/>
  <c r="AW269" i="1" s="1"/>
  <c r="AR269" i="1"/>
  <c r="AP269" i="1"/>
  <c r="AQ269" i="1" s="1"/>
  <c r="AS269" i="1" s="1"/>
  <c r="AV268" i="1" a="1"/>
  <c r="AV268" i="1"/>
  <c r="AU268" i="1" a="1"/>
  <c r="AU268" i="1" s="1"/>
  <c r="AT268" i="1"/>
  <c r="AW268" i="1" s="1"/>
  <c r="AR268" i="1"/>
  <c r="AP268" i="1"/>
  <c r="AQ268" i="1" s="1"/>
  <c r="AS268" i="1" s="1"/>
  <c r="AV267" i="1" a="1"/>
  <c r="AV267" i="1" s="1"/>
  <c r="AU267" i="1" a="1"/>
  <c r="AU267" i="1" s="1"/>
  <c r="AW267" i="1" s="1"/>
  <c r="AT267" i="1"/>
  <c r="AR267" i="1"/>
  <c r="AQ267" i="1"/>
  <c r="AS267" i="1" s="1"/>
  <c r="AP267" i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W265" i="1" s="1"/>
  <c r="AT265" i="1"/>
  <c r="AR265" i="1"/>
  <c r="AQ265" i="1"/>
  <c r="AS265" i="1" s="1"/>
  <c r="AP265" i="1"/>
  <c r="AV264" i="1" a="1"/>
  <c r="AV264" i="1"/>
  <c r="AU264" i="1" a="1"/>
  <c r="AU264" i="1" s="1"/>
  <c r="AT264" i="1"/>
  <c r="AW264" i="1" s="1"/>
  <c r="AR264" i="1"/>
  <c r="AQ264" i="1"/>
  <c r="AS264" i="1" s="1"/>
  <c r="AP264" i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W262" i="1" s="1"/>
  <c r="AT262" i="1"/>
  <c r="AR262" i="1"/>
  <c r="AP262" i="1"/>
  <c r="AQ262" i="1" s="1"/>
  <c r="AS262" i="1" s="1"/>
  <c r="AV261" i="1" a="1"/>
  <c r="AV261" i="1"/>
  <c r="AU261" i="1" a="1"/>
  <c r="AU261" i="1" s="1"/>
  <c r="AT261" i="1"/>
  <c r="AR261" i="1"/>
  <c r="AP261" i="1"/>
  <c r="AQ261" i="1" s="1"/>
  <c r="AS261" i="1" s="1"/>
  <c r="AV260" i="1" a="1"/>
  <c r="AV260" i="1"/>
  <c r="AU260" i="1" a="1"/>
  <c r="AU260" i="1" s="1"/>
  <c r="AT260" i="1"/>
  <c r="AW260" i="1" s="1"/>
  <c r="AR260" i="1"/>
  <c r="AP260" i="1"/>
  <c r="AQ260" i="1" s="1"/>
  <c r="AS260" i="1" s="1"/>
  <c r="AV259" i="1" a="1"/>
  <c r="AV259" i="1" s="1"/>
  <c r="AU259" i="1" a="1"/>
  <c r="AU259" i="1" s="1"/>
  <c r="AW259" i="1" s="1"/>
  <c r="AT259" i="1"/>
  <c r="AR259" i="1"/>
  <c r="AP259" i="1"/>
  <c r="AQ259" i="1" s="1"/>
  <c r="AS259" i="1" s="1"/>
  <c r="AV258" i="1" a="1"/>
  <c r="AV258" i="1"/>
  <c r="AU258" i="1" a="1"/>
  <c r="AU258" i="1"/>
  <c r="AT258" i="1"/>
  <c r="AW258" i="1" s="1"/>
  <c r="AR258" i="1"/>
  <c r="AP258" i="1"/>
  <c r="AQ258" i="1" s="1"/>
  <c r="AS258" i="1" s="1"/>
  <c r="AV257" i="1" a="1"/>
  <c r="AV257" i="1"/>
  <c r="AU257" i="1" a="1"/>
  <c r="AU257" i="1" s="1"/>
  <c r="AW257" i="1" s="1"/>
  <c r="AT257" i="1"/>
  <c r="AR257" i="1"/>
  <c r="AP257" i="1"/>
  <c r="AQ257" i="1" s="1"/>
  <c r="AS257" i="1" s="1"/>
  <c r="AV256" i="1" a="1"/>
  <c r="AV256" i="1" s="1"/>
  <c r="AU256" i="1" a="1"/>
  <c r="AU256" i="1" s="1"/>
  <c r="AW256" i="1" s="1"/>
  <c r="AT256" i="1"/>
  <c r="AR256" i="1"/>
  <c r="AP256" i="1"/>
  <c r="AQ256" i="1" s="1"/>
  <c r="AS256" i="1" s="1"/>
  <c r="AV255" i="1" a="1"/>
  <c r="AV255" i="1" s="1"/>
  <c r="AU255" i="1" a="1"/>
  <c r="AU255" i="1"/>
  <c r="AT255" i="1"/>
  <c r="AW255" i="1" s="1"/>
  <c r="AR255" i="1"/>
  <c r="AP255" i="1"/>
  <c r="AQ255" i="1" s="1"/>
  <c r="AS255" i="1" s="1"/>
  <c r="AV254" i="1" a="1"/>
  <c r="AV254" i="1" s="1"/>
  <c r="AU254" i="1" a="1"/>
  <c r="AU254" i="1" s="1"/>
  <c r="AW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W253" i="1" s="1"/>
  <c r="AR253" i="1"/>
  <c r="AP253" i="1"/>
  <c r="AQ253" i="1" s="1"/>
  <c r="AS253" i="1" s="1"/>
  <c r="AV252" i="1" a="1"/>
  <c r="AV252" i="1" s="1"/>
  <c r="AU252" i="1" a="1"/>
  <c r="AU252" i="1" s="1"/>
  <c r="AW252" i="1" s="1"/>
  <c r="AT252" i="1"/>
  <c r="AR252" i="1"/>
  <c r="AQ252" i="1"/>
  <c r="AS252" i="1" s="1"/>
  <c r="AP252" i="1"/>
  <c r="AV251" i="1" a="1"/>
  <c r="AV251" i="1" s="1"/>
  <c r="AU251" i="1" a="1"/>
  <c r="AU251" i="1" s="1"/>
  <c r="AW251" i="1" s="1"/>
  <c r="AT251" i="1"/>
  <c r="AR251" i="1"/>
  <c r="AP251" i="1"/>
  <c r="AQ251" i="1" s="1"/>
  <c r="AS251" i="1" s="1"/>
  <c r="AV250" i="1" a="1"/>
  <c r="AV250" i="1" s="1"/>
  <c r="AU250" i="1" a="1"/>
  <c r="AU250" i="1"/>
  <c r="AT250" i="1"/>
  <c r="AW250" i="1" s="1"/>
  <c r="AR250" i="1"/>
  <c r="AP250" i="1"/>
  <c r="AQ250" i="1" s="1"/>
  <c r="AS250" i="1" s="1"/>
  <c r="AV249" i="1" a="1"/>
  <c r="AV249" i="1" s="1"/>
  <c r="AU249" i="1" a="1"/>
  <c r="AU249" i="1"/>
  <c r="AT249" i="1"/>
  <c r="AW249" i="1" s="1"/>
  <c r="AR249" i="1"/>
  <c r="AP249" i="1"/>
  <c r="AQ249" i="1" s="1"/>
  <c r="AS249" i="1" s="1"/>
  <c r="AV248" i="1" a="1"/>
  <c r="AV248" i="1" s="1"/>
  <c r="AU248" i="1" a="1"/>
  <c r="AU248" i="1" s="1"/>
  <c r="AT248" i="1"/>
  <c r="AW248" i="1" s="1"/>
  <c r="AR248" i="1"/>
  <c r="AP248" i="1"/>
  <c r="AQ248" i="1" s="1"/>
  <c r="AS248" i="1" s="1"/>
  <c r="AV247" i="1" a="1"/>
  <c r="AV247" i="1" s="1"/>
  <c r="AU247" i="1" a="1"/>
  <c r="AU247" i="1" s="1"/>
  <c r="AW247" i="1" s="1"/>
  <c r="AT247" i="1"/>
  <c r="AR247" i="1"/>
  <c r="AP247" i="1"/>
  <c r="AQ247" i="1" s="1"/>
  <c r="AS247" i="1" s="1"/>
  <c r="AV246" i="1" a="1"/>
  <c r="AV246" i="1" s="1"/>
  <c r="AU246" i="1" a="1"/>
  <c r="AU246" i="1"/>
  <c r="AW246" i="1" s="1"/>
  <c r="AT246" i="1"/>
  <c r="AR246" i="1"/>
  <c r="AP246" i="1"/>
  <c r="AQ246" i="1" s="1"/>
  <c r="AS246" i="1" s="1"/>
  <c r="AV245" i="1" a="1"/>
  <c r="AV245" i="1" s="1"/>
  <c r="AU245" i="1" a="1"/>
  <c r="AU245" i="1"/>
  <c r="AT245" i="1"/>
  <c r="AW245" i="1" s="1"/>
  <c r="AR245" i="1"/>
  <c r="AP245" i="1"/>
  <c r="AQ245" i="1" s="1"/>
  <c r="AS245" i="1" s="1"/>
  <c r="AV244" i="1" a="1"/>
  <c r="AV244" i="1" s="1"/>
  <c r="AU244" i="1" a="1"/>
  <c r="AU244" i="1" s="1"/>
  <c r="AW244" i="1" s="1"/>
  <c r="AT244" i="1"/>
  <c r="AR244" i="1"/>
  <c r="AQ244" i="1"/>
  <c r="AS244" i="1" s="1"/>
  <c r="AP244" i="1"/>
  <c r="AV243" i="1" a="1"/>
  <c r="AV243" i="1" s="1"/>
  <c r="AU243" i="1" a="1"/>
  <c r="AU243" i="1" s="1"/>
  <c r="AW243" i="1" s="1"/>
  <c r="AT243" i="1"/>
  <c r="AR243" i="1"/>
  <c r="AP243" i="1"/>
  <c r="AQ243" i="1" s="1"/>
  <c r="AS243" i="1" s="1"/>
  <c r="AV242" i="1" a="1"/>
  <c r="AV242" i="1"/>
  <c r="AU242" i="1" a="1"/>
  <c r="AU242" i="1"/>
  <c r="AT242" i="1"/>
  <c r="AW242" i="1" s="1"/>
  <c r="AR242" i="1"/>
  <c r="AP242" i="1"/>
  <c r="AQ242" i="1" s="1"/>
  <c r="AS242" i="1" s="1"/>
  <c r="AV241" i="1" a="1"/>
  <c r="AV241" i="1" s="1"/>
  <c r="AU241" i="1" a="1"/>
  <c r="AU241" i="1"/>
  <c r="AT241" i="1"/>
  <c r="AW241" i="1" s="1"/>
  <c r="AR241" i="1"/>
  <c r="AP241" i="1"/>
  <c r="AQ241" i="1" s="1"/>
  <c r="AS241" i="1" s="1"/>
  <c r="AV240" i="1" a="1"/>
  <c r="AV240" i="1" s="1"/>
  <c r="AU240" i="1" a="1"/>
  <c r="AU240" i="1" s="1"/>
  <c r="AT240" i="1"/>
  <c r="AW240" i="1" s="1"/>
  <c r="AR240" i="1"/>
  <c r="AQ240" i="1"/>
  <c r="AS240" i="1" s="1"/>
  <c r="AP240" i="1"/>
  <c r="AV239" i="1" a="1"/>
  <c r="AV239" i="1" s="1"/>
  <c r="AU239" i="1" a="1"/>
  <c r="AU239" i="1"/>
  <c r="AT239" i="1"/>
  <c r="AW239" i="1" s="1"/>
  <c r="AR239" i="1"/>
  <c r="AP239" i="1"/>
  <c r="AQ239" i="1" s="1"/>
  <c r="AS239" i="1" s="1"/>
  <c r="AV238" i="1" a="1"/>
  <c r="AV238" i="1" s="1"/>
  <c r="AU238" i="1" a="1"/>
  <c r="AU238" i="1"/>
  <c r="AT238" i="1"/>
  <c r="AW238" i="1" s="1"/>
  <c r="AR238" i="1"/>
  <c r="AP238" i="1"/>
  <c r="AQ238" i="1" s="1"/>
  <c r="AS238" i="1" s="1"/>
  <c r="AV237" i="1" a="1"/>
  <c r="AV237" i="1"/>
  <c r="AU237" i="1" a="1"/>
  <c r="AU237" i="1" s="1"/>
  <c r="AT237" i="1"/>
  <c r="AW237" i="1" s="1"/>
  <c r="AR237" i="1"/>
  <c r="AP237" i="1"/>
  <c r="AQ237" i="1" s="1"/>
  <c r="AS237" i="1" s="1"/>
  <c r="AV236" i="1" a="1"/>
  <c r="AV236" i="1" s="1"/>
  <c r="AU236" i="1" a="1"/>
  <c r="AU236" i="1" s="1"/>
  <c r="AT236" i="1"/>
  <c r="AW236" i="1" s="1"/>
  <c r="AR236" i="1"/>
  <c r="AP236" i="1"/>
  <c r="AQ236" i="1" s="1"/>
  <c r="AS236" i="1" s="1"/>
  <c r="AV235" i="1" a="1"/>
  <c r="AV235" i="1" s="1"/>
  <c r="AU235" i="1" a="1"/>
  <c r="AU235" i="1" s="1"/>
  <c r="AW235" i="1" s="1"/>
  <c r="AT235" i="1"/>
  <c r="AR235" i="1"/>
  <c r="AQ235" i="1"/>
  <c r="AS235" i="1" s="1"/>
  <c r="AP235" i="1"/>
  <c r="AV234" i="1" a="1"/>
  <c r="AV234" i="1" s="1"/>
  <c r="AU234" i="1" a="1"/>
  <c r="AU234" i="1" s="1"/>
  <c r="AT234" i="1"/>
  <c r="AW234" i="1" s="1"/>
  <c r="AR234" i="1"/>
  <c r="AP234" i="1"/>
  <c r="AQ234" i="1" s="1"/>
  <c r="AS234" i="1" s="1"/>
  <c r="AV233" i="1" a="1"/>
  <c r="AV233" i="1"/>
  <c r="AU233" i="1" a="1"/>
  <c r="AU233" i="1" s="1"/>
  <c r="AW233" i="1" s="1"/>
  <c r="AT233" i="1"/>
  <c r="AR233" i="1"/>
  <c r="AP233" i="1"/>
  <c r="AQ233" i="1" s="1"/>
  <c r="AS233" i="1" s="1"/>
  <c r="AV232" i="1" a="1"/>
  <c r="AV232" i="1"/>
  <c r="AU232" i="1" a="1"/>
  <c r="AU232" i="1" s="1"/>
  <c r="AT232" i="1"/>
  <c r="AR232" i="1"/>
  <c r="AQ232" i="1"/>
  <c r="AS232" i="1" s="1"/>
  <c r="AP232" i="1"/>
  <c r="AV231" i="1" a="1"/>
  <c r="AV231" i="1" s="1"/>
  <c r="AU231" i="1" a="1"/>
  <c r="AU231" i="1" s="1"/>
  <c r="AT231" i="1"/>
  <c r="AW231" i="1" s="1"/>
  <c r="AR231" i="1"/>
  <c r="AP231" i="1"/>
  <c r="AQ231" i="1" s="1"/>
  <c r="AS231" i="1" s="1"/>
  <c r="AV230" i="1" a="1"/>
  <c r="AV230" i="1" s="1"/>
  <c r="AU230" i="1" a="1"/>
  <c r="AU230" i="1" s="1"/>
  <c r="AT230" i="1"/>
  <c r="AW230" i="1" s="1"/>
  <c r="AR230" i="1"/>
  <c r="AP230" i="1"/>
  <c r="AQ230" i="1" s="1"/>
  <c r="AS230" i="1" s="1"/>
  <c r="AV229" i="1" a="1"/>
  <c r="AV229" i="1" s="1"/>
  <c r="AU229" i="1" a="1"/>
  <c r="AU229" i="1" s="1"/>
  <c r="AT229" i="1"/>
  <c r="AW229" i="1" s="1"/>
  <c r="AR229" i="1"/>
  <c r="AP229" i="1"/>
  <c r="AQ229" i="1" s="1"/>
  <c r="AS229" i="1" s="1"/>
  <c r="AV228" i="1" a="1"/>
  <c r="AV228" i="1"/>
  <c r="AU228" i="1" a="1"/>
  <c r="AU228" i="1" s="1"/>
  <c r="AT228" i="1"/>
  <c r="AW228" i="1" s="1"/>
  <c r="AR228" i="1"/>
  <c r="AP228" i="1"/>
  <c r="AQ228" i="1" s="1"/>
  <c r="AS228" i="1" s="1"/>
  <c r="AV227" i="1" a="1"/>
  <c r="AV227" i="1" s="1"/>
  <c r="AU227" i="1" a="1"/>
  <c r="AU227" i="1" s="1"/>
  <c r="AW227" i="1" s="1"/>
  <c r="AT227" i="1"/>
  <c r="AR227" i="1"/>
  <c r="AP227" i="1"/>
  <c r="AQ227" i="1" s="1"/>
  <c r="AS227" i="1" s="1"/>
  <c r="AV226" i="1" a="1"/>
  <c r="AV226" i="1"/>
  <c r="AU226" i="1" a="1"/>
  <c r="AU226" i="1"/>
  <c r="AT226" i="1"/>
  <c r="AW226" i="1" s="1"/>
  <c r="AR226" i="1"/>
  <c r="AP226" i="1"/>
  <c r="AQ226" i="1" s="1"/>
  <c r="AS226" i="1" s="1"/>
  <c r="AV225" i="1" a="1"/>
  <c r="AV225" i="1"/>
  <c r="AU225" i="1" a="1"/>
  <c r="AU225" i="1" s="1"/>
  <c r="AW225" i="1" s="1"/>
  <c r="AT225" i="1"/>
  <c r="AR225" i="1"/>
  <c r="AP225" i="1"/>
  <c r="AQ225" i="1" s="1"/>
  <c r="AS225" i="1" s="1"/>
  <c r="AV224" i="1" a="1"/>
  <c r="AV224" i="1" s="1"/>
  <c r="AU224" i="1" a="1"/>
  <c r="AU224" i="1" s="1"/>
  <c r="AW224" i="1" s="1"/>
  <c r="AT224" i="1"/>
  <c r="AR224" i="1"/>
  <c r="AP224" i="1"/>
  <c r="AQ224" i="1" s="1"/>
  <c r="AS224" i="1" s="1"/>
  <c r="AV223" i="1" a="1"/>
  <c r="AV223" i="1" s="1"/>
  <c r="AU223" i="1" a="1"/>
  <c r="AU223" i="1"/>
  <c r="AT223" i="1"/>
  <c r="AW223" i="1" s="1"/>
  <c r="AR223" i="1"/>
  <c r="AP223" i="1"/>
  <c r="AQ223" i="1" s="1"/>
  <c r="AS223" i="1" s="1"/>
  <c r="AV222" i="1" a="1"/>
  <c r="AV222" i="1" s="1"/>
  <c r="AU222" i="1" a="1"/>
  <c r="AU222" i="1" s="1"/>
  <c r="AT222" i="1"/>
  <c r="AW222" i="1" s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W220" i="1" s="1"/>
  <c r="AT220" i="1"/>
  <c r="AR220" i="1"/>
  <c r="AP220" i="1"/>
  <c r="AQ220" i="1" s="1"/>
  <c r="AS220" i="1" s="1"/>
  <c r="AV219" i="1" a="1"/>
  <c r="AV219" i="1" s="1"/>
  <c r="AU219" i="1" a="1"/>
  <c r="AU219" i="1" s="1"/>
  <c r="AW219" i="1" s="1"/>
  <c r="AT219" i="1"/>
  <c r="AR219" i="1"/>
  <c r="AP219" i="1"/>
  <c r="AQ219" i="1" s="1"/>
  <c r="AS219" i="1" s="1"/>
  <c r="AV218" i="1" a="1"/>
  <c r="AV218" i="1" s="1"/>
  <c r="AU218" i="1" a="1"/>
  <c r="AU218" i="1"/>
  <c r="AT218" i="1"/>
  <c r="AW218" i="1" s="1"/>
  <c r="AR218" i="1"/>
  <c r="AP218" i="1"/>
  <c r="AQ218" i="1" s="1"/>
  <c r="AS218" i="1" s="1"/>
  <c r="AV217" i="1" a="1"/>
  <c r="AV217" i="1" s="1"/>
  <c r="AU217" i="1" a="1"/>
  <c r="AU217" i="1"/>
  <c r="AT217" i="1"/>
  <c r="AW217" i="1" s="1"/>
  <c r="AR217" i="1"/>
  <c r="AP217" i="1"/>
  <c r="AQ217" i="1" s="1"/>
  <c r="AS217" i="1" s="1"/>
  <c r="AV216" i="1" a="1"/>
  <c r="AV216" i="1" s="1"/>
  <c r="AU216" i="1" a="1"/>
  <c r="AU216" i="1" s="1"/>
  <c r="AT216" i="1"/>
  <c r="AW216" i="1" s="1"/>
  <c r="AR216" i="1"/>
  <c r="AP216" i="1"/>
  <c r="AQ216" i="1" s="1"/>
  <c r="AS216" i="1" s="1"/>
  <c r="AV215" i="1" a="1"/>
  <c r="AV215" i="1" s="1"/>
  <c r="AU215" i="1" a="1"/>
  <c r="AU215" i="1" s="1"/>
  <c r="AW215" i="1" s="1"/>
  <c r="AT215" i="1"/>
  <c r="AR215" i="1"/>
  <c r="AP215" i="1"/>
  <c r="AQ215" i="1" s="1"/>
  <c r="AS215" i="1" s="1"/>
  <c r="AV214" i="1" a="1"/>
  <c r="AV214" i="1" s="1"/>
  <c r="AU214" i="1" a="1"/>
  <c r="AU214" i="1"/>
  <c r="AW214" i="1" s="1"/>
  <c r="AT214" i="1"/>
  <c r="AR214" i="1"/>
  <c r="AP214" i="1"/>
  <c r="AQ214" i="1" s="1"/>
  <c r="AS214" i="1" s="1"/>
  <c r="AV213" i="1" a="1"/>
  <c r="AV213" i="1"/>
  <c r="AU213" i="1" a="1"/>
  <c r="AU213" i="1"/>
  <c r="AT213" i="1"/>
  <c r="AW213" i="1" s="1"/>
  <c r="AR213" i="1"/>
  <c r="AP213" i="1"/>
  <c r="AQ213" i="1" s="1"/>
  <c r="AS213" i="1" s="1"/>
  <c r="AV212" i="1" a="1"/>
  <c r="AV212" i="1" s="1"/>
  <c r="AU212" i="1" a="1"/>
  <c r="AU212" i="1" s="1"/>
  <c r="AW212" i="1" s="1"/>
  <c r="AT212" i="1"/>
  <c r="AR212" i="1"/>
  <c r="AQ212" i="1"/>
  <c r="AS212" i="1" s="1"/>
  <c r="AP212" i="1"/>
  <c r="AV211" i="1" a="1"/>
  <c r="AV211" i="1" s="1"/>
  <c r="AU211" i="1" a="1"/>
  <c r="AU211" i="1" s="1"/>
  <c r="AW211" i="1" s="1"/>
  <c r="AT211" i="1"/>
  <c r="AR211" i="1"/>
  <c r="AP211" i="1"/>
  <c r="AQ211" i="1" s="1"/>
  <c r="AS211" i="1" s="1"/>
  <c r="AV210" i="1" a="1"/>
  <c r="AV210" i="1"/>
  <c r="AU210" i="1" a="1"/>
  <c r="AU210" i="1"/>
  <c r="AT210" i="1"/>
  <c r="AW210" i="1" s="1"/>
  <c r="AR210" i="1"/>
  <c r="AP210" i="1"/>
  <c r="AQ210" i="1" s="1"/>
  <c r="AS210" i="1" s="1"/>
  <c r="AV209" i="1" a="1"/>
  <c r="AV209" i="1" s="1"/>
  <c r="AU209" i="1" a="1"/>
  <c r="AU209" i="1"/>
  <c r="AT209" i="1"/>
  <c r="AW209" i="1" s="1"/>
  <c r="AR209" i="1"/>
  <c r="AP209" i="1"/>
  <c r="AQ209" i="1" s="1"/>
  <c r="AS209" i="1" s="1"/>
  <c r="AV208" i="1" a="1"/>
  <c r="AV208" i="1" s="1"/>
  <c r="AU208" i="1" a="1"/>
  <c r="AU208" i="1" s="1"/>
  <c r="AT208" i="1"/>
  <c r="AW208" i="1" s="1"/>
  <c r="AR208" i="1"/>
  <c r="AQ208" i="1"/>
  <c r="AS208" i="1" s="1"/>
  <c r="AP208" i="1"/>
  <c r="AV207" i="1" a="1"/>
  <c r="AV207" i="1" s="1"/>
  <c r="AU207" i="1" a="1"/>
  <c r="AU207" i="1"/>
  <c r="AT207" i="1"/>
  <c r="AW207" i="1" s="1"/>
  <c r="AR207" i="1"/>
  <c r="AP207" i="1"/>
  <c r="AQ207" i="1" s="1"/>
  <c r="AS207" i="1" s="1"/>
  <c r="AV206" i="1" a="1"/>
  <c r="AV206" i="1" s="1"/>
  <c r="AU206" i="1" a="1"/>
  <c r="AU206" i="1"/>
  <c r="AT206" i="1"/>
  <c r="AW206" i="1" s="1"/>
  <c r="AR206" i="1"/>
  <c r="AP206" i="1"/>
  <c r="AQ206" i="1" s="1"/>
  <c r="AS206" i="1" s="1"/>
  <c r="AV205" i="1" a="1"/>
  <c r="AV205" i="1"/>
  <c r="AU205" i="1" a="1"/>
  <c r="AU205" i="1" s="1"/>
  <c r="AT205" i="1"/>
  <c r="AW205" i="1" s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W203" i="1" s="1"/>
  <c r="AT203" i="1"/>
  <c r="AR203" i="1"/>
  <c r="AQ203" i="1"/>
  <c r="AS203" i="1" s="1"/>
  <c r="AP203" i="1"/>
  <c r="AV202" i="1" a="1"/>
  <c r="AV202" i="1" s="1"/>
  <c r="AU202" i="1" a="1"/>
  <c r="AU202" i="1" s="1"/>
  <c r="AT202" i="1"/>
  <c r="AW202" i="1" s="1"/>
  <c r="AR202" i="1"/>
  <c r="AP202" i="1"/>
  <c r="AQ202" i="1" s="1"/>
  <c r="AS202" i="1" s="1"/>
  <c r="AV201" i="1" a="1"/>
  <c r="AV201" i="1"/>
  <c r="AU201" i="1" a="1"/>
  <c r="AU201" i="1" s="1"/>
  <c r="AW201" i="1" s="1"/>
  <c r="AT201" i="1"/>
  <c r="AR201" i="1"/>
  <c r="AP201" i="1"/>
  <c r="AQ201" i="1" s="1"/>
  <c r="AS201" i="1" s="1"/>
  <c r="AV200" i="1" a="1"/>
  <c r="AV200" i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W199" i="1" s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/>
  <c r="AU197" i="1" a="1"/>
  <c r="AU197" i="1" s="1"/>
  <c r="AT197" i="1"/>
  <c r="AW197" i="1" s="1"/>
  <c r="AR197" i="1"/>
  <c r="AP197" i="1"/>
  <c r="AQ197" i="1" s="1"/>
  <c r="AS197" i="1" s="1"/>
  <c r="AV196" i="1" a="1"/>
  <c r="AV196" i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/>
  <c r="AU194" i="1" a="1"/>
  <c r="AU194" i="1"/>
  <c r="AT194" i="1"/>
  <c r="AW194" i="1" s="1"/>
  <c r="AR194" i="1"/>
  <c r="AP194" i="1"/>
  <c r="AQ194" i="1" s="1"/>
  <c r="AS194" i="1" s="1"/>
  <c r="AV193" i="1" a="1"/>
  <c r="AV193" i="1"/>
  <c r="AU193" i="1" a="1"/>
  <c r="AU193" i="1" s="1"/>
  <c r="AW193" i="1" s="1"/>
  <c r="AT193" i="1"/>
  <c r="AR193" i="1"/>
  <c r="AP193" i="1"/>
  <c r="AQ193" i="1" s="1"/>
  <c r="AS193" i="1" s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 s="1"/>
  <c r="AU191" i="1" a="1"/>
  <c r="AU191" i="1"/>
  <c r="AT191" i="1"/>
  <c r="AW191" i="1" s="1"/>
  <c r="AR191" i="1"/>
  <c r="AP191" i="1"/>
  <c r="AQ191" i="1" s="1"/>
  <c r="AS191" i="1" s="1"/>
  <c r="AV190" i="1" a="1"/>
  <c r="AV190" i="1" s="1"/>
  <c r="AU190" i="1" a="1"/>
  <c r="AU190" i="1" s="1"/>
  <c r="AT190" i="1"/>
  <c r="AW190" i="1" s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 s="1"/>
  <c r="AU187" i="1" a="1"/>
  <c r="AU187" i="1" s="1"/>
  <c r="AW187" i="1" s="1"/>
  <c r="AT187" i="1"/>
  <c r="AR187" i="1"/>
  <c r="AP187" i="1"/>
  <c r="AQ187" i="1" s="1"/>
  <c r="AS187" i="1" s="1"/>
  <c r="AV186" i="1" a="1"/>
  <c r="AV186" i="1" s="1"/>
  <c r="AU186" i="1" a="1"/>
  <c r="AU186" i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W185" i="1" s="1"/>
  <c r="AR185" i="1"/>
  <c r="AP185" i="1"/>
  <c r="AQ185" i="1" s="1"/>
  <c r="AS185" i="1" s="1"/>
  <c r="AV184" i="1" a="1"/>
  <c r="AV184" i="1" s="1"/>
  <c r="AU184" i="1" a="1"/>
  <c r="AU184" i="1" s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V182" i="1" a="1"/>
  <c r="AV182" i="1" s="1"/>
  <c r="AU182" i="1" a="1"/>
  <c r="AU182" i="1"/>
  <c r="AW182" i="1" s="1"/>
  <c r="AT182" i="1"/>
  <c r="AR182" i="1"/>
  <c r="AP182" i="1"/>
  <c r="AQ182" i="1" s="1"/>
  <c r="AS182" i="1" s="1"/>
  <c r="AV181" i="1" a="1"/>
  <c r="AV181" i="1"/>
  <c r="AU181" i="1" a="1"/>
  <c r="AU181" i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W180" i="1" s="1"/>
  <c r="AT180" i="1"/>
  <c r="AR180" i="1"/>
  <c r="AQ180" i="1"/>
  <c r="AS180" i="1" s="1"/>
  <c r="AP180" i="1"/>
  <c r="AV179" i="1" a="1"/>
  <c r="AV179" i="1" s="1"/>
  <c r="AU179" i="1" a="1"/>
  <c r="AU179" i="1" s="1"/>
  <c r="AW179" i="1" s="1"/>
  <c r="AT179" i="1"/>
  <c r="AR179" i="1"/>
  <c r="AP179" i="1"/>
  <c r="AQ179" i="1" s="1"/>
  <c r="AS179" i="1" s="1"/>
  <c r="AV178" i="1" a="1"/>
  <c r="AV178" i="1"/>
  <c r="AU178" i="1" a="1"/>
  <c r="AU178" i="1" s="1"/>
  <c r="AT178" i="1"/>
  <c r="AW178" i="1" s="1"/>
  <c r="AR178" i="1"/>
  <c r="AP178" i="1"/>
  <c r="AQ178" i="1" s="1"/>
  <c r="AS178" i="1" s="1"/>
  <c r="AV177" i="1" a="1"/>
  <c r="AV177" i="1" s="1"/>
  <c r="AU177" i="1" a="1"/>
  <c r="AU177" i="1"/>
  <c r="AT177" i="1"/>
  <c r="AW177" i="1" s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Q176" i="1"/>
  <c r="AS176" i="1" s="1"/>
  <c r="AP176" i="1"/>
  <c r="AV175" i="1" a="1"/>
  <c r="AV175" i="1" s="1"/>
  <c r="AU175" i="1" a="1"/>
  <c r="AU175" i="1"/>
  <c r="AT175" i="1"/>
  <c r="AW175" i="1" s="1"/>
  <c r="AR175" i="1"/>
  <c r="AP175" i="1"/>
  <c r="AQ175" i="1" s="1"/>
  <c r="AS175" i="1" s="1"/>
  <c r="AV174" i="1" a="1"/>
  <c r="AV174" i="1" s="1"/>
  <c r="AU174" i="1" a="1"/>
  <c r="AU174" i="1"/>
  <c r="AT174" i="1"/>
  <c r="AW174" i="1" s="1"/>
  <c r="AR174" i="1"/>
  <c r="AP174" i="1"/>
  <c r="AQ174" i="1" s="1"/>
  <c r="AS174" i="1" s="1"/>
  <c r="AV173" i="1" a="1"/>
  <c r="AV173" i="1"/>
  <c r="AU173" i="1" a="1"/>
  <c r="AU173" i="1" s="1"/>
  <c r="AT173" i="1"/>
  <c r="AW173" i="1" s="1"/>
  <c r="AR173" i="1"/>
  <c r="AP173" i="1"/>
  <c r="AQ173" i="1" s="1"/>
  <c r="AS173" i="1" s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 s="1"/>
  <c r="AU171" i="1" a="1"/>
  <c r="AU171" i="1" s="1"/>
  <c r="AW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W170" i="1" s="1"/>
  <c r="AR170" i="1"/>
  <c r="AP170" i="1"/>
  <c r="AQ170" i="1" s="1"/>
  <c r="AS170" i="1" s="1"/>
  <c r="AV169" i="1" a="1"/>
  <c r="AV169" i="1"/>
  <c r="AU169" i="1" a="1"/>
  <c r="AU169" i="1" s="1"/>
  <c r="AW169" i="1" s="1"/>
  <c r="AT169" i="1"/>
  <c r="AR169" i="1"/>
  <c r="AP169" i="1"/>
  <c r="AQ169" i="1" s="1"/>
  <c r="AS169" i="1" s="1"/>
  <c r="AV168" i="1" a="1"/>
  <c r="AV168" i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W167" i="1" s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/>
  <c r="AU165" i="1" a="1"/>
  <c r="AU165" i="1" s="1"/>
  <c r="AT165" i="1"/>
  <c r="AR165" i="1"/>
  <c r="AP165" i="1"/>
  <c r="AQ165" i="1" s="1"/>
  <c r="AS165" i="1" s="1"/>
  <c r="AV164" i="1" a="1"/>
  <c r="AV164" i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W163" i="1" s="1"/>
  <c r="AT163" i="1"/>
  <c r="AR163" i="1"/>
  <c r="AP163" i="1"/>
  <c r="AQ163" i="1" s="1"/>
  <c r="AS163" i="1" s="1"/>
  <c r="AV162" i="1" a="1"/>
  <c r="AV162" i="1"/>
  <c r="AU162" i="1" a="1"/>
  <c r="AU162" i="1"/>
  <c r="AT162" i="1"/>
  <c r="AW162" i="1" s="1"/>
  <c r="AR162" i="1"/>
  <c r="AP162" i="1"/>
  <c r="AQ162" i="1" s="1"/>
  <c r="AS162" i="1" s="1"/>
  <c r="AV161" i="1" a="1"/>
  <c r="AV161" i="1"/>
  <c r="AU161" i="1" a="1"/>
  <c r="AU161" i="1" s="1"/>
  <c r="AW161" i="1" s="1"/>
  <c r="AT161" i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S160" i="1" s="1"/>
  <c r="AV159" i="1" a="1"/>
  <c r="AV159" i="1" s="1"/>
  <c r="AU159" i="1" a="1"/>
  <c r="AU159" i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/>
  <c r="AT154" i="1"/>
  <c r="AW154" i="1" s="1"/>
  <c r="AR154" i="1"/>
  <c r="AP154" i="1"/>
  <c r="AQ154" i="1" s="1"/>
  <c r="AS154" i="1" s="1"/>
  <c r="AV153" i="1" a="1"/>
  <c r="AV153" i="1" s="1"/>
  <c r="AU153" i="1" a="1"/>
  <c r="AU153" i="1" s="1"/>
  <c r="AT153" i="1"/>
  <c r="AW153" i="1" s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/>
  <c r="AW150" i="1" s="1"/>
  <c r="AT150" i="1"/>
  <c r="AR150" i="1"/>
  <c r="AP150" i="1"/>
  <c r="AQ150" i="1" s="1"/>
  <c r="AS150" i="1" s="1"/>
  <c r="AV149" i="1" a="1"/>
  <c r="AV149" i="1" s="1"/>
  <c r="AU149" i="1" a="1"/>
  <c r="AU149" i="1"/>
  <c r="AT149" i="1"/>
  <c r="AW149" i="1" s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Q148" i="1"/>
  <c r="AS148" i="1" s="1"/>
  <c r="AP148" i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 s="1"/>
  <c r="AU145" i="1" a="1"/>
  <c r="AU145" i="1"/>
  <c r="AT145" i="1"/>
  <c r="AW145" i="1" s="1"/>
  <c r="AR145" i="1"/>
  <c r="AP145" i="1"/>
  <c r="AQ145" i="1" s="1"/>
  <c r="AS145" i="1" s="1"/>
  <c r="AV144" i="1" a="1"/>
  <c r="AV144" i="1" s="1"/>
  <c r="AU144" i="1" a="1"/>
  <c r="AU144" i="1" s="1"/>
  <c r="AT144" i="1"/>
  <c r="AW144" i="1" s="1"/>
  <c r="AR144" i="1"/>
  <c r="AQ144" i="1"/>
  <c r="AS144" i="1" s="1"/>
  <c r="AP144" i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 s="1"/>
  <c r="AU142" i="1" a="1"/>
  <c r="AU142" i="1"/>
  <c r="AT142" i="1"/>
  <c r="AW142" i="1" s="1"/>
  <c r="AR142" i="1"/>
  <c r="AP142" i="1"/>
  <c r="AQ142" i="1" s="1"/>
  <c r="AS142" i="1" s="1"/>
  <c r="AV141" i="1" a="1"/>
  <c r="AV141" i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 s="1"/>
  <c r="AU139" i="1" a="1"/>
  <c r="AU139" i="1" s="1"/>
  <c r="AW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/>
  <c r="AU137" i="1" a="1"/>
  <c r="AU137" i="1" s="1"/>
  <c r="AW137" i="1" s="1"/>
  <c r="AT137" i="1"/>
  <c r="AR137" i="1"/>
  <c r="AP137" i="1"/>
  <c r="AQ137" i="1" s="1"/>
  <c r="AS137" i="1" s="1"/>
  <c r="AV136" i="1" a="1"/>
  <c r="AV136" i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T134" i="1"/>
  <c r="AW134" i="1" s="1"/>
  <c r="AR134" i="1"/>
  <c r="AP134" i="1"/>
  <c r="AQ134" i="1" s="1"/>
  <c r="AS134" i="1" s="1"/>
  <c r="AV133" i="1" a="1"/>
  <c r="AV133" i="1"/>
  <c r="AU133" i="1" a="1"/>
  <c r="AU133" i="1" s="1"/>
  <c r="AT133" i="1"/>
  <c r="AW133" i="1" s="1"/>
  <c r="AR133" i="1"/>
  <c r="AP133" i="1"/>
  <c r="AQ133" i="1" s="1"/>
  <c r="AS133" i="1" s="1"/>
  <c r="AV132" i="1" a="1"/>
  <c r="AV132" i="1"/>
  <c r="AU132" i="1" a="1"/>
  <c r="AU132" i="1" s="1"/>
  <c r="AT132" i="1"/>
  <c r="AW132" i="1" s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/>
  <c r="AU130" i="1" a="1"/>
  <c r="AU130" i="1"/>
  <c r="AT130" i="1"/>
  <c r="AW130" i="1" s="1"/>
  <c r="AR130" i="1"/>
  <c r="AP130" i="1"/>
  <c r="AQ130" i="1" s="1"/>
  <c r="AS130" i="1" s="1"/>
  <c r="AV129" i="1" a="1"/>
  <c r="AV129" i="1"/>
  <c r="AU129" i="1" a="1"/>
  <c r="AU129" i="1" s="1"/>
  <c r="AW129" i="1" s="1"/>
  <c r="AT129" i="1"/>
  <c r="AR129" i="1"/>
  <c r="AP129" i="1"/>
  <c r="AQ129" i="1" s="1"/>
  <c r="AS129" i="1" s="1"/>
  <c r="AV128" i="1" a="1"/>
  <c r="AV128" i="1" s="1"/>
  <c r="AU128" i="1" a="1"/>
  <c r="AU128" i="1" s="1"/>
  <c r="AW128" i="1" s="1"/>
  <c r="AT128" i="1"/>
  <c r="AR128" i="1"/>
  <c r="AP128" i="1"/>
  <c r="AQ128" i="1" s="1"/>
  <c r="AS128" i="1" s="1"/>
  <c r="AV127" i="1" a="1"/>
  <c r="AV127" i="1" s="1"/>
  <c r="AU127" i="1" a="1"/>
  <c r="AU127" i="1"/>
  <c r="AT127" i="1"/>
  <c r="AW127" i="1" s="1"/>
  <c r="AR127" i="1"/>
  <c r="AP127" i="1"/>
  <c r="AQ127" i="1" s="1"/>
  <c r="AS127" i="1" s="1"/>
  <c r="AV126" i="1" a="1"/>
  <c r="AV126" i="1" s="1"/>
  <c r="AU126" i="1" a="1"/>
  <c r="AU126" i="1" s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 s="1"/>
  <c r="AW123" i="1" s="1"/>
  <c r="AT123" i="1"/>
  <c r="AR123" i="1"/>
  <c r="AP123" i="1"/>
  <c r="AQ123" i="1" s="1"/>
  <c r="AS123" i="1" s="1"/>
  <c r="AV122" i="1" a="1"/>
  <c r="AV122" i="1" s="1"/>
  <c r="AU122" i="1" a="1"/>
  <c r="AU122" i="1"/>
  <c r="AT122" i="1"/>
  <c r="AW122" i="1" s="1"/>
  <c r="AR122" i="1"/>
  <c r="AP122" i="1"/>
  <c r="AQ122" i="1" s="1"/>
  <c r="AS122" i="1" s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/>
  <c r="AW118" i="1" s="1"/>
  <c r="AT118" i="1"/>
  <c r="AR118" i="1"/>
  <c r="AP118" i="1"/>
  <c r="AQ118" i="1" s="1"/>
  <c r="AS118" i="1" s="1"/>
  <c r="AV117" i="1" a="1"/>
  <c r="AV117" i="1" s="1"/>
  <c r="AU117" i="1" a="1"/>
  <c r="AU117" i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Q116" i="1"/>
  <c r="AS116" i="1" s="1"/>
  <c r="AP116" i="1"/>
  <c r="AV115" i="1" a="1"/>
  <c r="AV115" i="1" s="1"/>
  <c r="AU115" i="1" a="1"/>
  <c r="AU115" i="1" s="1"/>
  <c r="AW115" i="1" s="1"/>
  <c r="AT115" i="1"/>
  <c r="AR115" i="1"/>
  <c r="AP115" i="1"/>
  <c r="AQ115" i="1" s="1"/>
  <c r="AS115" i="1" s="1"/>
  <c r="AV114" i="1" a="1"/>
  <c r="AV114" i="1"/>
  <c r="AU114" i="1" a="1"/>
  <c r="AU114" i="1"/>
  <c r="AT114" i="1"/>
  <c r="AW114" i="1" s="1"/>
  <c r="AR114" i="1"/>
  <c r="AP114" i="1"/>
  <c r="AQ114" i="1" s="1"/>
  <c r="AS114" i="1" s="1"/>
  <c r="AV113" i="1" a="1"/>
  <c r="AV113" i="1" s="1"/>
  <c r="AU113" i="1" a="1"/>
  <c r="AU113" i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 s="1"/>
  <c r="AU110" i="1" a="1"/>
  <c r="AU110" i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W109" i="1" s="1"/>
  <c r="AR109" i="1"/>
  <c r="AP109" i="1"/>
  <c r="AQ109" i="1" s="1"/>
  <c r="AS109" i="1" s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 s="1"/>
  <c r="AU107" i="1" a="1"/>
  <c r="AU107" i="1" s="1"/>
  <c r="AW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/>
  <c r="AU105" i="1" a="1"/>
  <c r="AU105" i="1" s="1"/>
  <c r="AW105" i="1" s="1"/>
  <c r="AT105" i="1"/>
  <c r="AR105" i="1"/>
  <c r="AP105" i="1"/>
  <c r="AQ105" i="1" s="1"/>
  <c r="AS105" i="1" s="1"/>
  <c r="AV104" i="1" a="1"/>
  <c r="AV104" i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T102" i="1"/>
  <c r="AW102" i="1" s="1"/>
  <c r="AR102" i="1"/>
  <c r="AP102" i="1"/>
  <c r="AQ102" i="1" s="1"/>
  <c r="AS102" i="1" s="1"/>
  <c r="AV101" i="1" a="1"/>
  <c r="AV101" i="1"/>
  <c r="AU101" i="1" a="1"/>
  <c r="AU101" i="1" s="1"/>
  <c r="AT101" i="1"/>
  <c r="AW101" i="1" s="1"/>
  <c r="AR101" i="1"/>
  <c r="AP101" i="1"/>
  <c r="AQ101" i="1" s="1"/>
  <c r="AS101" i="1" s="1"/>
  <c r="AV100" i="1" a="1"/>
  <c r="AV100" i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W99" i="1" s="1"/>
  <c r="AR99" i="1"/>
  <c r="AP99" i="1"/>
  <c r="AQ99" i="1" s="1"/>
  <c r="AS99" i="1" s="1"/>
  <c r="AV98" i="1" a="1"/>
  <c r="AV98" i="1"/>
  <c r="AU98" i="1" a="1"/>
  <c r="AU98" i="1" s="1"/>
  <c r="AT98" i="1"/>
  <c r="AW98" i="1" s="1"/>
  <c r="AR98" i="1"/>
  <c r="AP98" i="1"/>
  <c r="AQ98" i="1" s="1"/>
  <c r="AS98" i="1" s="1"/>
  <c r="AV97" i="1" a="1"/>
  <c r="AV97" i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 s="1"/>
  <c r="AU95" i="1" a="1"/>
  <c r="AU95" i="1"/>
  <c r="AT95" i="1"/>
  <c r="AW95" i="1" s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S90" i="1" s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 s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/>
  <c r="AW86" i="1" s="1"/>
  <c r="AT86" i="1"/>
  <c r="AR86" i="1"/>
  <c r="AP86" i="1"/>
  <c r="AQ86" i="1" s="1"/>
  <c r="AS86" i="1" s="1"/>
  <c r="AV85" i="1" a="1"/>
  <c r="AV85" i="1" s="1"/>
  <c r="AU85" i="1" a="1"/>
  <c r="AU85" i="1"/>
  <c r="AT85" i="1"/>
  <c r="AW85" i="1" s="1"/>
  <c r="AR85" i="1"/>
  <c r="AP85" i="1"/>
  <c r="AQ85" i="1" s="1"/>
  <c r="AS85" i="1" s="1"/>
  <c r="AV84" i="1" a="1"/>
  <c r="AV84" i="1" s="1"/>
  <c r="AU84" i="1" a="1"/>
  <c r="AU84" i="1" s="1"/>
  <c r="AW84" i="1" s="1"/>
  <c r="AT84" i="1"/>
  <c r="AR84" i="1"/>
  <c r="AP84" i="1"/>
  <c r="AQ84" i="1" s="1"/>
  <c r="AS84" i="1" s="1"/>
  <c r="AV83" i="1" a="1"/>
  <c r="AV83" i="1" s="1"/>
  <c r="AU83" i="1" a="1"/>
  <c r="AU83" i="1" s="1"/>
  <c r="AW83" i="1" s="1"/>
  <c r="AT83" i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 s="1"/>
  <c r="AU81" i="1" a="1"/>
  <c r="AU81" i="1"/>
  <c r="AT81" i="1"/>
  <c r="AW81" i="1" s="1"/>
  <c r="AR81" i="1"/>
  <c r="AP81" i="1"/>
  <c r="AQ81" i="1" s="1"/>
  <c r="AS81" i="1" s="1"/>
  <c r="AV80" i="1" a="1"/>
  <c r="AV80" i="1" s="1"/>
  <c r="AU80" i="1" a="1"/>
  <c r="AU80" i="1" s="1"/>
  <c r="AT80" i="1"/>
  <c r="AW80" i="1" s="1"/>
  <c r="AR80" i="1"/>
  <c r="AQ80" i="1"/>
  <c r="AS80" i="1" s="1"/>
  <c r="AP80" i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 s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W76" i="1" s="1"/>
  <c r="AR76" i="1"/>
  <c r="AP76" i="1"/>
  <c r="AQ76" i="1" s="1"/>
  <c r="AS76" i="1" s="1"/>
  <c r="AV75" i="1" a="1"/>
  <c r="AV75" i="1" s="1"/>
  <c r="AU75" i="1" a="1"/>
  <c r="AU75" i="1" s="1"/>
  <c r="AT75" i="1"/>
  <c r="AW75" i="1" s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/>
  <c r="AU73" i="1" a="1"/>
  <c r="AU73" i="1" s="1"/>
  <c r="AW73" i="1" s="1"/>
  <c r="AT73" i="1"/>
  <c r="AR73" i="1"/>
  <c r="AP73" i="1"/>
  <c r="AQ73" i="1" s="1"/>
  <c r="AS73" i="1" s="1"/>
  <c r="AV72" i="1" a="1"/>
  <c r="AV72" i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/>
  <c r="AU68" i="1" a="1"/>
  <c r="AU68" i="1" s="1"/>
  <c r="AT68" i="1"/>
  <c r="AW68" i="1" s="1"/>
  <c r="AR68" i="1"/>
  <c r="AP68" i="1"/>
  <c r="AQ68" i="1" s="1"/>
  <c r="AS68" i="1" s="1"/>
  <c r="AV67" i="1" a="1"/>
  <c r="AV67" i="1" s="1"/>
  <c r="AU67" i="1" a="1"/>
  <c r="AU67" i="1" s="1"/>
  <c r="AT67" i="1"/>
  <c r="AW67" i="1" s="1"/>
  <c r="AR67" i="1"/>
  <c r="AP67" i="1"/>
  <c r="AQ67" i="1" s="1"/>
  <c r="AS67" i="1" s="1"/>
  <c r="AV66" i="1" a="1"/>
  <c r="AV66" i="1"/>
  <c r="AU66" i="1" a="1"/>
  <c r="AU66" i="1" s="1"/>
  <c r="AT66" i="1"/>
  <c r="AW66" i="1" s="1"/>
  <c r="AR66" i="1"/>
  <c r="AP66" i="1"/>
  <c r="AQ66" i="1" s="1"/>
  <c r="AS66" i="1" s="1"/>
  <c r="AV65" i="1" a="1"/>
  <c r="AV65" i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S64" i="1" s="1"/>
  <c r="AV63" i="1" a="1"/>
  <c r="AV63" i="1" s="1"/>
  <c r="AU63" i="1" a="1"/>
  <c r="AU63" i="1"/>
  <c r="AT63" i="1"/>
  <c r="AW63" i="1" s="1"/>
  <c r="AR63" i="1"/>
  <c r="AP63" i="1"/>
  <c r="AQ63" i="1" s="1"/>
  <c r="AS63" i="1" s="1"/>
  <c r="AV62" i="1" a="1"/>
  <c r="AV62" i="1" s="1"/>
  <c r="AU62" i="1" a="1"/>
  <c r="AU62" i="1" s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 s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/>
  <c r="AW54" i="1" s="1"/>
  <c r="AT54" i="1"/>
  <c r="AR54" i="1"/>
  <c r="AP54" i="1"/>
  <c r="AQ54" i="1" s="1"/>
  <c r="AS54" i="1" s="1"/>
  <c r="AV53" i="1" a="1"/>
  <c r="AV53" i="1" s="1"/>
  <c r="AU53" i="1" a="1"/>
  <c r="AU53" i="1"/>
  <c r="AT53" i="1"/>
  <c r="AW53" i="1" s="1"/>
  <c r="AR53" i="1"/>
  <c r="AP53" i="1"/>
  <c r="AQ53" i="1" s="1"/>
  <c r="AS53" i="1" s="1"/>
  <c r="AV52" i="1" a="1"/>
  <c r="AV52" i="1" s="1"/>
  <c r="AU52" i="1" a="1"/>
  <c r="AU52" i="1" s="1"/>
  <c r="AW52" i="1" s="1"/>
  <c r="AT52" i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/>
  <c r="AU50" i="1" a="1"/>
  <c r="AU50" i="1" s="1"/>
  <c r="AT50" i="1"/>
  <c r="AW50" i="1" s="1"/>
  <c r="AR50" i="1"/>
  <c r="AP50" i="1"/>
  <c r="AQ50" i="1" s="1"/>
  <c r="AS50" i="1" s="1"/>
  <c r="AV49" i="1" a="1"/>
  <c r="AV49" i="1" s="1"/>
  <c r="AU49" i="1" a="1"/>
  <c r="AU49" i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Q48" i="1"/>
  <c r="AS48" i="1" s="1"/>
  <c r="AP48" i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/>
  <c r="AU41" i="1" a="1"/>
  <c r="AU41" i="1" s="1"/>
  <c r="AW41" i="1" s="1"/>
  <c r="AT41" i="1"/>
  <c r="AR41" i="1"/>
  <c r="AP41" i="1"/>
  <c r="AQ41" i="1" s="1"/>
  <c r="AS41" i="1" s="1"/>
  <c r="AV40" i="1" a="1"/>
  <c r="AV40" i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 s="1"/>
  <c r="AU37" i="1" a="1"/>
  <c r="AU37" i="1" s="1"/>
  <c r="AT37" i="1"/>
  <c r="AW37" i="1" s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W35" i="1" s="1"/>
  <c r="AR35" i="1"/>
  <c r="AP35" i="1"/>
  <c r="AQ35" i="1" s="1"/>
  <c r="AS35" i="1" s="1"/>
  <c r="AV34" i="1" a="1"/>
  <c r="AV34" i="1"/>
  <c r="AU34" i="1" a="1"/>
  <c r="AU34" i="1" s="1"/>
  <c r="AT34" i="1"/>
  <c r="AW34" i="1" s="1"/>
  <c r="AR34" i="1"/>
  <c r="AP34" i="1"/>
  <c r="AQ34" i="1" s="1"/>
  <c r="AS34" i="1" s="1"/>
  <c r="AV33" i="1" a="1"/>
  <c r="AV33" i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W32" i="1" s="1"/>
  <c r="AT32" i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W25" i="1" s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W23" i="1" s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/>
  <c r="AT21" i="1"/>
  <c r="AW21" i="1" s="1"/>
  <c r="AR21" i="1"/>
  <c r="AP21" i="1"/>
  <c r="AQ21" i="1" s="1"/>
  <c r="AS21" i="1" s="1"/>
  <c r="AV20" i="1" a="1"/>
  <c r="AV20" i="1" s="1"/>
  <c r="AU20" i="1" a="1"/>
  <c r="AU20" i="1" s="1"/>
  <c r="AW20" i="1" s="1"/>
  <c r="AT20" i="1"/>
  <c r="AR20" i="1"/>
  <c r="AP20" i="1"/>
  <c r="AQ20" i="1" s="1"/>
  <c r="AS20" i="1" s="1"/>
  <c r="AV19" i="1" a="1"/>
  <c r="AV19" i="1" s="1"/>
  <c r="AU19" i="1" a="1"/>
  <c r="AU19" i="1" s="1"/>
  <c r="AW19" i="1" s="1"/>
  <c r="AT19" i="1"/>
  <c r="AR19" i="1"/>
  <c r="AP19" i="1"/>
  <c r="AQ19" i="1" s="1"/>
  <c r="AS19" i="1" s="1"/>
  <c r="AV18" i="1" a="1"/>
  <c r="AV18" i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/>
  <c r="AT14" i="1"/>
  <c r="AW14" i="1" s="1"/>
  <c r="AR14" i="1"/>
  <c r="AP14" i="1"/>
  <c r="AQ14" i="1" s="1"/>
  <c r="AS14" i="1" s="1"/>
  <c r="AV13" i="1" a="1"/>
  <c r="AV13" i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/>
  <c r="AU9" i="1" a="1"/>
  <c r="AU9" i="1" s="1"/>
  <c r="AW9" i="1" s="1"/>
  <c r="AT9" i="1"/>
  <c r="AR9" i="1"/>
  <c r="AP9" i="1"/>
  <c r="AQ9" i="1" s="1"/>
  <c r="AS9" i="1" s="1"/>
  <c r="AV8" i="1" a="1"/>
  <c r="AV8" i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P2" i="1" l="1"/>
  <c r="AW18" i="1"/>
  <c r="AW204" i="1"/>
  <c r="AW261" i="1"/>
  <c r="AW263" i="1"/>
  <c r="AW274" i="1"/>
  <c r="AW94" i="1"/>
  <c r="AW151" i="1"/>
  <c r="AW59" i="1"/>
  <c r="AW71" i="1"/>
  <c r="AW106" i="1"/>
  <c r="AW152" i="1"/>
  <c r="AW198" i="1"/>
  <c r="AW232" i="1"/>
  <c r="AW24" i="1"/>
  <c r="AW36" i="1"/>
  <c r="AW164" i="1"/>
  <c r="AW48" i="1"/>
  <c r="AW72" i="1"/>
  <c r="AW221" i="1"/>
  <c r="AW266" i="1"/>
  <c r="AW176" i="1"/>
  <c r="AW165" i="1"/>
  <c r="AW131" i="1"/>
  <c r="AW166" i="1"/>
  <c r="AW189" i="1"/>
  <c r="AW120" i="1"/>
  <c r="AW100" i="1"/>
  <c r="AW5" i="1"/>
  <c r="AW77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<sst xmlns="http://schemas.openxmlformats.org/spreadsheetml/2006/main" count="3701" uniqueCount="1289">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</sst>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E1" zoomScale="77" zoomScaleNormal="77" workbookViewId="0">
      <selection activeCell="AA1" sqref="AA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00" width="32.42578125" style="51" customWidth="1"/>
    <col min="20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40</v>
      </c>
      <c r="W2" s="92">
        <f t="shared" si="0"/>
        <v>39.799999999999997</v>
      </c>
      <c r="X2" s="92">
        <f t="shared" si="0"/>
        <v>43</v>
      </c>
      <c r="Y2" s="92">
        <f t="shared" si="0"/>
        <v>41</v>
      </c>
      <c r="Z2" s="92">
        <f t="shared" si="0"/>
        <v>40.6</v>
      </c>
      <c r="AA2" s="92">
        <f t="shared" si="0"/>
        <v>41.4</v>
      </c>
      <c r="AB2" s="92">
        <f t="shared" si="0"/>
        <v>42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>
        <v>32.4</v>
      </c>
      <c r="W5" s="66">
        <v>32.700000000000003</v>
      </c>
      <c r="X5" s="66">
        <v>31</v>
      </c>
      <c r="Y5" s="66">
        <v>31.5</v>
      </c>
      <c r="Z5" s="66">
        <v>31.7</v>
      </c>
      <c r="AA5" s="66">
        <v>29.6</v>
      </c>
      <c r="AB5" s="66">
        <v>31.9</v>
      </c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18</v>
      </c>
      <c r="AQ5" s="68">
        <f t="shared" ref="AQ5:AQ68" si="2">IF(AP5&gt;14,AVERAGE(K5:AO5),"")</f>
        <v>31.911111111111111</v>
      </c>
      <c r="AR5" s="68">
        <f>IFERROR(VLOOKUP(A5,Climatologia_TMAX!A:U,9+$E$2,FALSE),"")</f>
        <v>30.837144120247562</v>
      </c>
      <c r="AS5" s="68">
        <f t="shared" ref="AS5:AS68" si="3">IF(OR(AQ5="",AR5=""),"",IFERROR(AQ5-AR5,""))</f>
        <v>1.0739669908635499</v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>
        <v>32.5</v>
      </c>
      <c r="W6" s="66">
        <v>32.200000000000003</v>
      </c>
      <c r="X6" s="66">
        <v>32.200000000000003</v>
      </c>
      <c r="Y6" s="66">
        <v>31.4</v>
      </c>
      <c r="Z6" s="66">
        <v>32.1</v>
      </c>
      <c r="AA6" s="66">
        <v>30.2</v>
      </c>
      <c r="AB6" s="66">
        <v>32.799999999999997</v>
      </c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18</v>
      </c>
      <c r="AQ6" s="68">
        <f t="shared" si="2"/>
        <v>32.099999999999994</v>
      </c>
      <c r="AR6" s="68">
        <f>IFERROR(VLOOKUP(A6,Climatologia_TMAX!A:U,9+$E$2,FALSE),"")</f>
        <v>31.213724845269681</v>
      </c>
      <c r="AS6" s="68">
        <f t="shared" si="3"/>
        <v>0.88627515473031337</v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>
        <v>35.4</v>
      </c>
      <c r="W7" s="66">
        <v>35.200000000000003</v>
      </c>
      <c r="X7" s="66">
        <v>34.799999999999997</v>
      </c>
      <c r="Y7" s="66">
        <v>35.4</v>
      </c>
      <c r="Z7" s="66">
        <v>33.6</v>
      </c>
      <c r="AA7" s="66">
        <v>35.700000000000003</v>
      </c>
      <c r="AB7" s="66">
        <v>35.6</v>
      </c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18</v>
      </c>
      <c r="AQ7" s="68">
        <f t="shared" si="2"/>
        <v>35.027777777777779</v>
      </c>
      <c r="AR7" s="68">
        <f>IFERROR(VLOOKUP(A7,Climatologia_TMAX!A:U,9+$E$2,FALSE),"")</f>
        <v>32.888880131362889</v>
      </c>
      <c r="AS7" s="68">
        <f t="shared" si="3"/>
        <v>2.1388976464148897</v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>
        <v>34.6</v>
      </c>
      <c r="W8" s="66">
        <v>32.799999999999997</v>
      </c>
      <c r="X8" s="66">
        <v>32.9</v>
      </c>
      <c r="Y8" s="66">
        <v>33.9</v>
      </c>
      <c r="Z8" s="66">
        <v>35.1</v>
      </c>
      <c r="AA8" s="66">
        <v>35</v>
      </c>
      <c r="AB8" s="66">
        <v>33.700000000000003</v>
      </c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18</v>
      </c>
      <c r="AQ8" s="68">
        <f t="shared" si="2"/>
        <v>34.333333333333343</v>
      </c>
      <c r="AR8" s="68">
        <f>IFERROR(VLOOKUP(A8,Climatologia_TMAX!A:U,9+$E$2,FALSE),"")</f>
        <v>32.066531113753463</v>
      </c>
      <c r="AS8" s="68">
        <f t="shared" si="3"/>
        <v>2.2668022195798798</v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>
        <v>34.9</v>
      </c>
      <c r="W9" s="66">
        <v>34.700000000000003</v>
      </c>
      <c r="X9" s="66">
        <v>33.1</v>
      </c>
      <c r="Y9" s="66">
        <v>34.5</v>
      </c>
      <c r="Z9" s="66">
        <v>32.6</v>
      </c>
      <c r="AA9" s="66">
        <v>36.799999999999997</v>
      </c>
      <c r="AB9" s="66">
        <v>38.799999999999997</v>
      </c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18</v>
      </c>
      <c r="AQ9" s="68">
        <f t="shared" si="2"/>
        <v>35.544444444444444</v>
      </c>
      <c r="AR9" s="68">
        <f>IFERROR(VLOOKUP(A9,Climatologia_TMAX!A:U,9+$E$2,FALSE),"")</f>
        <v>33.308997701149423</v>
      </c>
      <c r="AS9" s="68">
        <f t="shared" si="3"/>
        <v>2.2354467432950216</v>
      </c>
      <c r="AT9" s="74">
        <f t="shared" si="4"/>
        <v>38.799999999999997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>
        <v>36.200000000000003</v>
      </c>
      <c r="W10" s="66">
        <v>36.5</v>
      </c>
      <c r="X10" s="66">
        <v>35.9</v>
      </c>
      <c r="Y10" s="66">
        <v>35.9</v>
      </c>
      <c r="Z10" s="66">
        <v>36.4</v>
      </c>
      <c r="AA10" s="66">
        <v>37.1</v>
      </c>
      <c r="AB10" s="66">
        <v>39.799999999999997</v>
      </c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18</v>
      </c>
      <c r="AQ10" s="68">
        <f t="shared" si="2"/>
        <v>37.088888888888881</v>
      </c>
      <c r="AR10" s="68">
        <f>IFERROR(VLOOKUP(A10,Climatologia_TMAX!A:U,9+$E$2,FALSE),"")</f>
        <v>33.75991221422256</v>
      </c>
      <c r="AS10" s="68">
        <f t="shared" si="3"/>
        <v>3.3289766746663219</v>
      </c>
      <c r="AT10" s="74">
        <f t="shared" si="4"/>
        <v>39.799999999999997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0.19999999999999574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>
        <v>37.5</v>
      </c>
      <c r="W11" s="66">
        <v>38.9</v>
      </c>
      <c r="X11" s="66">
        <v>35.9</v>
      </c>
      <c r="Y11" s="66">
        <v>38.6</v>
      </c>
      <c r="Z11" s="66">
        <v>37.200000000000003</v>
      </c>
      <c r="AA11" s="66">
        <v>40.4</v>
      </c>
      <c r="AB11" s="66">
        <v>40.6</v>
      </c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18</v>
      </c>
      <c r="AQ11" s="68">
        <f t="shared" si="2"/>
        <v>38.333333333333336</v>
      </c>
      <c r="AR11" s="68">
        <f>IFERROR(VLOOKUP(A11,Climatologia_TMAX!A:U,9+$E$2,FALSE),"")</f>
        <v>34.012164961475307</v>
      </c>
      <c r="AS11" s="68">
        <f t="shared" si="3"/>
        <v>4.3211683718580289</v>
      </c>
      <c r="AT11" s="111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0.39999999999999858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3">
        <v>31.9</v>
      </c>
      <c r="V12" s="66">
        <v>35.5</v>
      </c>
      <c r="W12" s="66">
        <v>31.9</v>
      </c>
      <c r="X12" s="66">
        <v>34.6</v>
      </c>
      <c r="Y12" s="66">
        <v>31.4</v>
      </c>
      <c r="Z12" s="66">
        <v>33.799999999999997</v>
      </c>
      <c r="AA12" s="66">
        <v>36.9</v>
      </c>
      <c r="AB12" s="66">
        <v>35.200000000000003</v>
      </c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18</v>
      </c>
      <c r="AQ12" s="68">
        <f t="shared" si="2"/>
        <v>34.311111111111103</v>
      </c>
      <c r="AR12" s="68">
        <f>IFERROR(VLOOKUP(A12,Climatologia_TMAX!A:U,9+$E$2,FALSE),"")</f>
        <v>32.561237881007962</v>
      </c>
      <c r="AS12" s="68">
        <f t="shared" si="3"/>
        <v>1.749873230103141</v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>
        <v>36.5</v>
      </c>
      <c r="W13" s="66">
        <v>33</v>
      </c>
      <c r="X13" s="66">
        <v>36.4</v>
      </c>
      <c r="Y13" s="66">
        <v>35.4</v>
      </c>
      <c r="Z13" s="66">
        <v>33.6</v>
      </c>
      <c r="AA13" s="66">
        <v>36.5</v>
      </c>
      <c r="AB13" s="66">
        <v>37.200000000000003</v>
      </c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18</v>
      </c>
      <c r="AQ13" s="68">
        <f t="shared" si="2"/>
        <v>35.211111111111116</v>
      </c>
      <c r="AR13" s="68">
        <f>IFERROR(VLOOKUP(A13,Climatologia_TMAX!A:U,9+$E$2,FALSE),"")</f>
        <v>32.028002378121293</v>
      </c>
      <c r="AS13" s="68">
        <f t="shared" si="3"/>
        <v>3.1831087329898224</v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2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2">
        <v>29.4</v>
      </c>
      <c r="S14" s="66">
        <v>29.6</v>
      </c>
      <c r="T14" s="66">
        <v>30.2</v>
      </c>
      <c r="U14" s="66">
        <v>28.6</v>
      </c>
      <c r="V14" s="66">
        <v>29.1</v>
      </c>
      <c r="W14" s="66">
        <v>28.6</v>
      </c>
      <c r="X14" s="66">
        <v>30</v>
      </c>
      <c r="Y14" s="66">
        <v>29.8</v>
      </c>
      <c r="Z14" s="66">
        <v>28</v>
      </c>
      <c r="AA14" s="66">
        <v>30.6</v>
      </c>
      <c r="AB14" s="66">
        <v>28.4</v>
      </c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18</v>
      </c>
      <c r="AQ14" s="68">
        <f t="shared" si="2"/>
        <v>29.077777777777783</v>
      </c>
      <c r="AR14" s="68">
        <f>IFERROR(VLOOKUP(A14,Climatologia_TMAX!A:U,9+$E$2,FALSE),"")</f>
        <v>26.245613553113561</v>
      </c>
      <c r="AS14" s="68">
        <f t="shared" si="3"/>
        <v>2.832164224664222</v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>
        <v>36.700000000000003</v>
      </c>
      <c r="W15" s="66">
        <v>35.5</v>
      </c>
      <c r="X15" s="66">
        <v>37</v>
      </c>
      <c r="Y15" s="66">
        <v>37.6</v>
      </c>
      <c r="Z15" s="66">
        <v>36.299999999999997</v>
      </c>
      <c r="AA15" s="66">
        <v>35</v>
      </c>
      <c r="AB15" s="66">
        <v>37.6</v>
      </c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18</v>
      </c>
      <c r="AQ15" s="68">
        <f t="shared" si="2"/>
        <v>36.088888888888881</v>
      </c>
      <c r="AR15" s="68">
        <f>IFERROR(VLOOKUP(A15,Climatologia_TMAX!A:U,9+$E$2,FALSE),"")</f>
        <v>34.362535919540242</v>
      </c>
      <c r="AS15" s="68">
        <f t="shared" si="3"/>
        <v>1.726352969348639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-0.79999999999999716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>
        <v>32.200000000000003</v>
      </c>
      <c r="W16" s="66">
        <v>29.9</v>
      </c>
      <c r="X16" s="66">
        <v>33.200000000000003</v>
      </c>
      <c r="Y16" s="66">
        <v>32.299999999999997</v>
      </c>
      <c r="Z16" s="66">
        <v>34.299999999999997</v>
      </c>
      <c r="AA16" s="66">
        <v>34.200000000000003</v>
      </c>
      <c r="AB16" s="66">
        <v>31.1</v>
      </c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18</v>
      </c>
      <c r="AQ16" s="68">
        <f t="shared" si="2"/>
        <v>32.038888888888891</v>
      </c>
      <c r="AR16" s="68">
        <f>IFERROR(VLOOKUP(A16,Climatologia_TMAX!A:U,9+$E$2,FALSE),"")</f>
        <v>31.91844417077176</v>
      </c>
      <c r="AS16" s="68">
        <f t="shared" si="3"/>
        <v>0.12044471811713109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>
        <v>31.3</v>
      </c>
      <c r="W17" s="66">
        <v>29</v>
      </c>
      <c r="X17" s="66">
        <v>31.9</v>
      </c>
      <c r="Y17" s="66">
        <v>31.1</v>
      </c>
      <c r="Z17" s="66">
        <v>30.6</v>
      </c>
      <c r="AA17" s="66">
        <v>32</v>
      </c>
      <c r="AB17" s="66">
        <v>32.700000000000003</v>
      </c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18</v>
      </c>
      <c r="AQ17" s="68">
        <f t="shared" si="2"/>
        <v>30.927777777777781</v>
      </c>
      <c r="AR17" s="68">
        <f>IFERROR(VLOOKUP(A17,Climatologia_TMAX!A:U,9+$E$2,FALSE),"")</f>
        <v>28.140217569786529</v>
      </c>
      <c r="AS17" s="68">
        <f t="shared" si="3"/>
        <v>2.7875602079912518</v>
      </c>
      <c r="AT17" s="74">
        <f t="shared" si="4"/>
        <v>32.700000000000003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-0.39999999999999858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>
        <v>25.1</v>
      </c>
      <c r="W18" s="66">
        <v>25</v>
      </c>
      <c r="X18" s="66">
        <v>24.6</v>
      </c>
      <c r="Y18" s="66">
        <v>24.8</v>
      </c>
      <c r="Z18" s="66">
        <v>24.8</v>
      </c>
      <c r="AA18" s="66">
        <v>25</v>
      </c>
      <c r="AB18" s="66">
        <v>25.6</v>
      </c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18</v>
      </c>
      <c r="AQ18" s="68">
        <f t="shared" si="2"/>
        <v>24.616666666666674</v>
      </c>
      <c r="AR18" s="68">
        <f>IFERROR(VLOOKUP(A18,Climatologia_TMAX!A:U,9+$E$2,FALSE),"")</f>
        <v>22.564435196194999</v>
      </c>
      <c r="AS18" s="68">
        <f t="shared" si="3"/>
        <v>2.0522314704716749</v>
      </c>
      <c r="AT18" s="74">
        <f t="shared" si="4"/>
        <v>25.6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-1.2999999999999972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3">
        <v>27.2</v>
      </c>
      <c r="V19" s="66">
        <v>30.2</v>
      </c>
      <c r="W19" s="66">
        <v>27.2</v>
      </c>
      <c r="X19" s="66">
        <v>29.3</v>
      </c>
      <c r="Y19" s="66">
        <v>31.2</v>
      </c>
      <c r="Z19" s="66">
        <v>30.9</v>
      </c>
      <c r="AA19" s="66">
        <v>34</v>
      </c>
      <c r="AB19" s="66">
        <v>31.4</v>
      </c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18</v>
      </c>
      <c r="AQ19" s="68">
        <f t="shared" si="2"/>
        <v>29.788888888888884</v>
      </c>
      <c r="AR19" s="68">
        <f>IFERROR(VLOOKUP(A19,Climatologia_TMAX!A:U,9+$E$2,FALSE),"")</f>
        <v>27.03996905393457</v>
      </c>
      <c r="AS19" s="68">
        <f t="shared" si="3"/>
        <v>2.7489198349543145</v>
      </c>
      <c r="AT19" s="74">
        <f t="shared" si="4"/>
        <v>34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>
        <v>31</v>
      </c>
      <c r="W20" s="66">
        <v>28.3</v>
      </c>
      <c r="X20" s="66">
        <v>31.1</v>
      </c>
      <c r="Y20" s="66">
        <v>31.3</v>
      </c>
      <c r="Z20" s="66">
        <v>32.200000000000003</v>
      </c>
      <c r="AA20" s="66">
        <v>35.1</v>
      </c>
      <c r="AB20" s="66">
        <v>33.799999999999997</v>
      </c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18</v>
      </c>
      <c r="AQ20" s="68">
        <f t="shared" si="2"/>
        <v>31.43333333333333</v>
      </c>
      <c r="AR20" s="68">
        <f>IFERROR(VLOOKUP(A20,Climatologia_TMAX!A:U,9+$E$2,FALSE),"")</f>
        <v>28.21960773581463</v>
      </c>
      <c r="AS20" s="68">
        <f t="shared" si="3"/>
        <v>3.2137255975186996</v>
      </c>
      <c r="AT20" s="74">
        <f t="shared" si="4"/>
        <v>35.1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>
        <v>36.200000000000003</v>
      </c>
      <c r="W21" s="66">
        <v>34.1</v>
      </c>
      <c r="X21" s="66">
        <v>34.6</v>
      </c>
      <c r="Y21" s="66">
        <v>35.200000000000003</v>
      </c>
      <c r="Z21" s="66">
        <v>34.6</v>
      </c>
      <c r="AA21" s="66">
        <v>35</v>
      </c>
      <c r="AB21" s="66">
        <v>36.1</v>
      </c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18</v>
      </c>
      <c r="AQ21" s="68">
        <f t="shared" si="2"/>
        <v>34.361111111111114</v>
      </c>
      <c r="AR21" s="68">
        <f>IFERROR(VLOOKUP(A21,Climatologia_TMAX!A:U,9+$E$2,FALSE),"")</f>
        <v>30.83648877941982</v>
      </c>
      <c r="AS21" s="68">
        <f t="shared" si="3"/>
        <v>3.5246223316912939</v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-0.59999999999999432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>
        <v>21.7</v>
      </c>
      <c r="W22" s="66">
        <v>20.6</v>
      </c>
      <c r="X22" s="66">
        <v>21.3</v>
      </c>
      <c r="Y22" s="66">
        <v>20.5</v>
      </c>
      <c r="Z22" s="66">
        <v>20.9</v>
      </c>
      <c r="AA22" s="66">
        <v>19.7</v>
      </c>
      <c r="AB22" s="66">
        <v>19.3</v>
      </c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18</v>
      </c>
      <c r="AQ22" s="68">
        <f t="shared" si="2"/>
        <v>20.111111111111111</v>
      </c>
      <c r="AR22" s="68">
        <f>IFERROR(VLOOKUP(A22,Climatologia_TMAX!A:U,9+$E$2,FALSE),"")</f>
        <v>19.205027672249159</v>
      </c>
      <c r="AS22" s="68">
        <f t="shared" si="3"/>
        <v>0.90608343886195186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-1.6000000000000014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>
        <v>34.6</v>
      </c>
      <c r="W23" s="66">
        <v>30.7</v>
      </c>
      <c r="X23" s="66">
        <v>34.200000000000003</v>
      </c>
      <c r="Y23" s="66">
        <v>34.799999999999997</v>
      </c>
      <c r="Z23" s="66">
        <v>33.299999999999997</v>
      </c>
      <c r="AA23" s="66">
        <v>36.799999999999997</v>
      </c>
      <c r="AB23" s="66">
        <v>35.299999999999997</v>
      </c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18</v>
      </c>
      <c r="AQ23" s="68">
        <f t="shared" si="2"/>
        <v>33.61666666666666</v>
      </c>
      <c r="AR23" s="68">
        <f>IFERROR(VLOOKUP(A23,Climatologia_TMAX!A:U,9+$E$2,FALSE),"")</f>
        <v>30.640448440448441</v>
      </c>
      <c r="AS23" s="68">
        <f t="shared" si="3"/>
        <v>2.9762182262182186</v>
      </c>
      <c r="AT23" s="74">
        <f t="shared" si="4"/>
        <v>36.799999999999997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1.6999999999999957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>
        <v>36.299999999999997</v>
      </c>
      <c r="W24" s="66">
        <v>35</v>
      </c>
      <c r="X24" s="66">
        <v>38.299999999999997</v>
      </c>
      <c r="Y24" s="66">
        <v>39</v>
      </c>
      <c r="Z24" s="66">
        <v>36.6</v>
      </c>
      <c r="AA24" s="66">
        <v>36.6</v>
      </c>
      <c r="AB24" s="66">
        <v>38</v>
      </c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18</v>
      </c>
      <c r="AQ24" s="68">
        <f t="shared" si="2"/>
        <v>36.750000000000007</v>
      </c>
      <c r="AR24" s="68">
        <f>IFERROR(VLOOKUP(A24,Climatologia_TMAX!A:U,9+$E$2,FALSE),"")</f>
        <v>34.911888888888889</v>
      </c>
      <c r="AS24" s="68">
        <f t="shared" si="3"/>
        <v>1.8381111111111181</v>
      </c>
      <c r="AT24" s="74">
        <f t="shared" si="4"/>
        <v>39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-1.5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>
        <v>28</v>
      </c>
      <c r="W25" s="66">
        <v>28.2</v>
      </c>
      <c r="X25" s="66">
        <v>28.2</v>
      </c>
      <c r="Y25" s="66">
        <v>27.8</v>
      </c>
      <c r="Z25" s="66">
        <v>28.5</v>
      </c>
      <c r="AA25" s="66">
        <v>28</v>
      </c>
      <c r="AB25" s="66">
        <v>28.3</v>
      </c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18</v>
      </c>
      <c r="AQ25" s="68">
        <f t="shared" si="2"/>
        <v>28.088888888888889</v>
      </c>
      <c r="AR25" s="68">
        <f>IFERROR(VLOOKUP(A25,Climatologia_TMAX!A:U,9+$E$2,FALSE),"")</f>
        <v>25.982387369533619</v>
      </c>
      <c r="AS25" s="68">
        <f t="shared" si="3"/>
        <v>2.1065015193552696</v>
      </c>
      <c r="AT25" s="74">
        <f t="shared" si="4"/>
        <v>29.8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-1.3999999999999986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>
        <v>17.399999999999999</v>
      </c>
      <c r="W26" s="66">
        <v>16.8</v>
      </c>
      <c r="X26" s="66">
        <v>16.600000000000001</v>
      </c>
      <c r="Y26" s="66">
        <v>15.6</v>
      </c>
      <c r="Z26" s="66">
        <v>16.2</v>
      </c>
      <c r="AA26" s="66">
        <v>15.8</v>
      </c>
      <c r="AB26" s="66">
        <v>15.8</v>
      </c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18</v>
      </c>
      <c r="AQ26" s="68">
        <f t="shared" si="2"/>
        <v>16.366666666666671</v>
      </c>
      <c r="AR26" s="68">
        <f>IFERROR(VLOOKUP(A26,Climatologia_TMAX!A:U,9+$E$2,FALSE),"")</f>
        <v>15.930309706257979</v>
      </c>
      <c r="AS26" s="68">
        <f t="shared" si="3"/>
        <v>0.43635696040869121</v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3">
        <v>29.2</v>
      </c>
      <c r="V27" s="66">
        <v>34.200000000000003</v>
      </c>
      <c r="W27" s="66">
        <v>29.2</v>
      </c>
      <c r="X27" s="66">
        <v>32.200000000000003</v>
      </c>
      <c r="Y27" s="66">
        <v>30.4</v>
      </c>
      <c r="Z27" s="66">
        <v>31.2</v>
      </c>
      <c r="AA27" s="66">
        <v>34</v>
      </c>
      <c r="AB27" s="66">
        <v>31.2</v>
      </c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18</v>
      </c>
      <c r="AQ27" s="68">
        <f t="shared" si="2"/>
        <v>31.955555555555552</v>
      </c>
      <c r="AR27" s="68">
        <f>IFERROR(VLOOKUP(A27,Climatologia_TMAX!A:U,9+$E$2,FALSE),"")</f>
        <v>30.947113847837979</v>
      </c>
      <c r="AS27" s="68">
        <f t="shared" si="3"/>
        <v>1.0084417077175729</v>
      </c>
      <c r="AT27" s="74">
        <f t="shared" si="4"/>
        <v>34.200000000000003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>
        <v>31.8</v>
      </c>
      <c r="W28" s="66">
        <v>32.9</v>
      </c>
      <c r="X28" s="66">
        <v>32.9</v>
      </c>
      <c r="Y28" s="66">
        <v>32.6</v>
      </c>
      <c r="Z28" s="66">
        <v>32.200000000000003</v>
      </c>
      <c r="AA28" s="66">
        <v>32.5</v>
      </c>
      <c r="AB28" s="66">
        <v>33.700000000000003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18</v>
      </c>
      <c r="AQ28" s="68">
        <f t="shared" si="2"/>
        <v>32.75555555555556</v>
      </c>
      <c r="AR28" s="68">
        <f>IFERROR(VLOOKUP(A28,Climatologia_TMAX!A:U,9+$E$2,FALSE),"")</f>
        <v>31.67147144681628</v>
      </c>
      <c r="AS28" s="68">
        <f t="shared" si="3"/>
        <v>1.0840841087392796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>
        <v>34.200000000000003</v>
      </c>
      <c r="W29" s="66">
        <v>34.4</v>
      </c>
      <c r="X29" s="66">
        <v>34.799999999999997</v>
      </c>
      <c r="Y29" s="66">
        <v>33.6</v>
      </c>
      <c r="Z29" s="66">
        <v>32.4</v>
      </c>
      <c r="AA29" s="66">
        <v>33</v>
      </c>
      <c r="AB29" s="66">
        <v>30</v>
      </c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18</v>
      </c>
      <c r="AQ29" s="68">
        <f t="shared" si="2"/>
        <v>33.461111111111109</v>
      </c>
      <c r="AR29" s="68">
        <f>IFERROR(VLOOKUP(A29,Climatologia_TMAX!A:U,9+$E$2,FALSE),"")</f>
        <v>32.684863258026162</v>
      </c>
      <c r="AS29" s="68">
        <f t="shared" si="3"/>
        <v>0.77624785308494637</v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>
        <v>31.4</v>
      </c>
      <c r="W30" s="66">
        <v>32.1</v>
      </c>
      <c r="X30" s="66">
        <v>33.200000000000003</v>
      </c>
      <c r="Y30" s="66">
        <v>32.200000000000003</v>
      </c>
      <c r="Z30" s="66">
        <v>32.299999999999997</v>
      </c>
      <c r="AA30" s="66">
        <v>31.9</v>
      </c>
      <c r="AB30" s="66">
        <v>28</v>
      </c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18</v>
      </c>
      <c r="AQ30" s="68">
        <f t="shared" si="2"/>
        <v>31.683333333333337</v>
      </c>
      <c r="AR30" s="68">
        <f>IFERROR(VLOOKUP(A30,Climatologia_TMAX!A:U,9+$E$2,FALSE),"")</f>
        <v>30.79898193760263</v>
      </c>
      <c r="AS30" s="68">
        <f t="shared" si="3"/>
        <v>0.88435139573070742</v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>
        <v>31</v>
      </c>
      <c r="W31" s="105">
        <v>31.5</v>
      </c>
      <c r="X31" s="105">
        <v>27.2</v>
      </c>
      <c r="Y31" s="105">
        <v>29.4</v>
      </c>
      <c r="Z31" s="105">
        <v>32.9</v>
      </c>
      <c r="AA31" s="105">
        <v>27.7</v>
      </c>
      <c r="AB31" s="105">
        <v>32.6</v>
      </c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18</v>
      </c>
      <c r="AQ31" s="68">
        <f t="shared" si="2"/>
        <v>31.794444444444441</v>
      </c>
      <c r="AR31" s="68">
        <f>IFERROR(VLOOKUP(A31,Climatologia_TMAX!A:U,9+$E$2,FALSE),"")</f>
        <v>31.98844385499557</v>
      </c>
      <c r="AS31" s="68">
        <f t="shared" si="3"/>
        <v>-0.1939994105511289</v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>
        <v>27.8</v>
      </c>
      <c r="AB32" s="66">
        <v>27.2</v>
      </c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2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>
        <f t="shared" si="5"/>
        <v>-0.39999999999999858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>
        <v>25.4</v>
      </c>
      <c r="W33" s="66">
        <v>22.4</v>
      </c>
      <c r="X33" s="66">
        <v>26</v>
      </c>
      <c r="Y33" s="66">
        <v>25.4</v>
      </c>
      <c r="Z33" s="66">
        <v>25.2</v>
      </c>
      <c r="AA33" s="66">
        <v>27</v>
      </c>
      <c r="AB33" s="66">
        <v>26.4</v>
      </c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18</v>
      </c>
      <c r="AQ33" s="68">
        <f t="shared" si="2"/>
        <v>25.666666666666661</v>
      </c>
      <c r="AR33" s="68">
        <f>IFERROR(VLOOKUP(A33,Climatologia_TMAX!A:U,9+$E$2,FALSE),"")</f>
        <v>24.23233678727139</v>
      </c>
      <c r="AS33" s="68">
        <f t="shared" si="3"/>
        <v>1.4343298793952712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>
        <v>38.799999999999997</v>
      </c>
      <c r="W36" s="66">
        <v>37</v>
      </c>
      <c r="X36" s="66">
        <v>38.6</v>
      </c>
      <c r="Y36" s="66">
        <v>36.799999999999997</v>
      </c>
      <c r="Z36" s="66">
        <v>35.799999999999997</v>
      </c>
      <c r="AA36" s="66">
        <v>41</v>
      </c>
      <c r="AB36" s="66">
        <v>38.4</v>
      </c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18</v>
      </c>
      <c r="AQ36" s="68">
        <f t="shared" si="2"/>
        <v>38.044444444444437</v>
      </c>
      <c r="AR36" s="68">
        <f>IFERROR(VLOOKUP(A36,Climatologia_TMAX!A:U,9+$E$2,FALSE),"")</f>
        <v>33.454009491466387</v>
      </c>
      <c r="AS36" s="68">
        <f t="shared" si="3"/>
        <v>4.5904349529780504</v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2">
        <v>30</v>
      </c>
      <c r="S38" s="66">
        <v>29</v>
      </c>
      <c r="T38" s="66">
        <v>31</v>
      </c>
      <c r="U38" s="66">
        <v>25</v>
      </c>
      <c r="V38" s="66">
        <v>29.2</v>
      </c>
      <c r="W38" s="66">
        <v>27.4</v>
      </c>
      <c r="X38" s="66">
        <v>29</v>
      </c>
      <c r="Y38" s="66">
        <v>28.4</v>
      </c>
      <c r="Z38" s="66">
        <v>27</v>
      </c>
      <c r="AA38" s="66">
        <v>31</v>
      </c>
      <c r="AB38" s="66">
        <v>29.2</v>
      </c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18</v>
      </c>
      <c r="AQ38" s="68">
        <f t="shared" si="2"/>
        <v>28.299999999999997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>
        <v>26.8</v>
      </c>
      <c r="W39" s="66">
        <v>25.4</v>
      </c>
      <c r="X39" s="66">
        <v>27.4</v>
      </c>
      <c r="Y39" s="66">
        <v>25.6</v>
      </c>
      <c r="Z39" s="66">
        <v>26.2</v>
      </c>
      <c r="AA39" s="66">
        <v>28.8</v>
      </c>
      <c r="AB39" s="66">
        <v>27.4</v>
      </c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18</v>
      </c>
      <c r="AQ39" s="68">
        <f t="shared" si="2"/>
        <v>26.855555555555551</v>
      </c>
      <c r="AR39" s="68">
        <f>IFERROR(VLOOKUP(A39,Climatologia_TMAX!A:U,9+$E$2,FALSE),"")</f>
        <v>23.447134238213408</v>
      </c>
      <c r="AS39" s="68">
        <f t="shared" si="3"/>
        <v>3.4084213173421425</v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>
        <v>23</v>
      </c>
      <c r="W40" s="66">
        <v>21.8</v>
      </c>
      <c r="X40" s="66">
        <v>22.4</v>
      </c>
      <c r="Y40" s="66">
        <v>23</v>
      </c>
      <c r="Z40" s="66">
        <v>22</v>
      </c>
      <c r="AA40" s="66">
        <v>22.8</v>
      </c>
      <c r="AB40" s="66">
        <v>23</v>
      </c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18</v>
      </c>
      <c r="AQ40" s="68">
        <f t="shared" si="2"/>
        <v>22.455555555555556</v>
      </c>
      <c r="AR40" s="68">
        <f>IFERROR(VLOOKUP(A40,Climatologia_TMAX!A:U,9+$E$2,FALSE),"")</f>
        <v>20.702408866995071</v>
      </c>
      <c r="AS40" s="68">
        <f t="shared" si="3"/>
        <v>1.7531466885604843</v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2">
        <v>33.4</v>
      </c>
      <c r="S42" s="66">
        <v>33</v>
      </c>
      <c r="T42" s="66">
        <v>33.6</v>
      </c>
      <c r="U42" s="66">
        <v>30.8</v>
      </c>
      <c r="V42" s="66">
        <v>32.200000000000003</v>
      </c>
      <c r="W42" s="66">
        <v>30.4</v>
      </c>
      <c r="X42" s="66">
        <v>32.799999999999997</v>
      </c>
      <c r="Y42" s="66">
        <v>30.6</v>
      </c>
      <c r="Z42" s="66">
        <v>31.8</v>
      </c>
      <c r="AA42" s="66">
        <v>33.6</v>
      </c>
      <c r="AB42" s="66">
        <v>34</v>
      </c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18</v>
      </c>
      <c r="AQ42" s="68">
        <f t="shared" si="2"/>
        <v>32.13333333333334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>
        <v>31.6</v>
      </c>
      <c r="W43" s="66">
        <v>32.6</v>
      </c>
      <c r="X43" s="66">
        <v>33.4</v>
      </c>
      <c r="Y43" s="66">
        <v>33</v>
      </c>
      <c r="Z43" s="66">
        <v>35.200000000000003</v>
      </c>
      <c r="AA43" s="66">
        <v>35.200000000000003</v>
      </c>
      <c r="AB43" s="66">
        <v>32.200000000000003</v>
      </c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18</v>
      </c>
      <c r="AQ43" s="68">
        <f t="shared" si="2"/>
        <v>32.722222222222229</v>
      </c>
      <c r="AR43" s="68">
        <f>IFERROR(VLOOKUP(A43,Climatologia_TMAX!A:U,9+$E$2,FALSE),"")</f>
        <v>31.718826815519439</v>
      </c>
      <c r="AS43" s="68">
        <f t="shared" si="3"/>
        <v>1.0033954067027899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0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>
        <v>27.4</v>
      </c>
      <c r="W44" s="66">
        <v>29</v>
      </c>
      <c r="X44" s="66">
        <v>28</v>
      </c>
      <c r="Y44" s="66">
        <v>26.8</v>
      </c>
      <c r="Z44" s="66">
        <v>26.8</v>
      </c>
      <c r="AA44" s="109">
        <v>29.8</v>
      </c>
      <c r="AB44" s="66">
        <v>29.6</v>
      </c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18</v>
      </c>
      <c r="AQ44" s="68">
        <f t="shared" si="2"/>
        <v>27.6</v>
      </c>
      <c r="AR44" s="68">
        <f>IFERROR(VLOOKUP(A44,Climatologia_TMAX!A:U,9+$E$2,FALSE),"")</f>
        <v>22.451263483642791</v>
      </c>
      <c r="AS44" s="68">
        <f t="shared" si="3"/>
        <v>5.1487365163572107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1.4000000000000021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>
        <v>36</v>
      </c>
      <c r="W45" s="66">
        <v>33</v>
      </c>
      <c r="X45" s="66">
        <v>34.200000000000003</v>
      </c>
      <c r="Y45" s="66">
        <v>35</v>
      </c>
      <c r="Z45" s="66">
        <v>32.200000000000003</v>
      </c>
      <c r="AA45" s="66">
        <v>36.799999999999997</v>
      </c>
      <c r="AB45" s="66">
        <v>36.6</v>
      </c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18</v>
      </c>
      <c r="AQ45" s="68">
        <f t="shared" si="2"/>
        <v>34.944444444444443</v>
      </c>
      <c r="AR45" s="68">
        <f>IFERROR(VLOOKUP(A45,Climatologia_TMAX!A:U,9+$E$2,FALSE),"")</f>
        <v>32.199781609195398</v>
      </c>
      <c r="AS45" s="68">
        <f t="shared" si="3"/>
        <v>2.744662835249045</v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>
        <v>31.4</v>
      </c>
      <c r="W46" s="66">
        <v>31.2</v>
      </c>
      <c r="X46" s="66">
        <v>31</v>
      </c>
      <c r="Y46" s="66">
        <v>30.2</v>
      </c>
      <c r="Z46" s="66">
        <v>31.8</v>
      </c>
      <c r="AA46" s="66">
        <v>32</v>
      </c>
      <c r="AB46" s="66">
        <v>31.8</v>
      </c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18</v>
      </c>
      <c r="AQ46" s="68">
        <f t="shared" si="2"/>
        <v>31.544444444444441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>
        <v>37.4</v>
      </c>
      <c r="W49" s="66">
        <v>31.8</v>
      </c>
      <c r="X49" s="66">
        <v>34.200000000000003</v>
      </c>
      <c r="Y49" s="66">
        <v>33.799999999999997</v>
      </c>
      <c r="Z49" s="66">
        <v>34.200000000000003</v>
      </c>
      <c r="AA49" s="66">
        <v>33.6</v>
      </c>
      <c r="AB49" s="66">
        <v>35.200000000000003</v>
      </c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18</v>
      </c>
      <c r="AQ49" s="68">
        <f t="shared" si="2"/>
        <v>34.37777777777778</v>
      </c>
      <c r="AR49" s="68">
        <f>IFERROR(VLOOKUP(A49,Climatologia_TMAX!A:U,9+$E$2,FALSE),"")</f>
        <v>32.006441202475692</v>
      </c>
      <c r="AS49" s="68">
        <f t="shared" si="3"/>
        <v>2.3713365753020881</v>
      </c>
      <c r="AT49" s="74">
        <f t="shared" si="4"/>
        <v>37.4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0.19999999999999574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>
        <v>32.200000000000003</v>
      </c>
      <c r="W52" s="66"/>
      <c r="X52" s="66">
        <v>31</v>
      </c>
      <c r="Y52" s="66">
        <v>31.8</v>
      </c>
      <c r="Z52" s="66">
        <v>31.2</v>
      </c>
      <c r="AA52" s="66">
        <v>34.200000000000003</v>
      </c>
      <c r="AB52" s="66">
        <v>32.4</v>
      </c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17</v>
      </c>
      <c r="AQ52" s="68">
        <f t="shared" si="2"/>
        <v>32.341176470588231</v>
      </c>
      <c r="AR52" s="68">
        <f>IFERROR(VLOOKUP(A52,Climatologia_TMAX!A:U,9+$E$2,FALSE),"")</f>
        <v>30.893504627065631</v>
      </c>
      <c r="AS52" s="68">
        <f t="shared" si="3"/>
        <v>1.447671843522599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>
        <v>34.200000000000003</v>
      </c>
      <c r="W53" s="66">
        <v>28.8</v>
      </c>
      <c r="X53" s="66">
        <v>34.200000000000003</v>
      </c>
      <c r="Y53" s="66">
        <v>33</v>
      </c>
      <c r="Z53" s="66">
        <v>33.799999999999997</v>
      </c>
      <c r="AA53" s="66">
        <v>35.200000000000003</v>
      </c>
      <c r="AB53" s="66">
        <v>35</v>
      </c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18</v>
      </c>
      <c r="AQ53" s="68">
        <f t="shared" si="2"/>
        <v>33.37777777777778</v>
      </c>
      <c r="AR53" s="68">
        <f>IFERROR(VLOOKUP(A53,Climatologia_TMAX!A:U,9+$E$2,FALSE),"")</f>
        <v>32.425316548075173</v>
      </c>
      <c r="AS53" s="68">
        <f t="shared" si="3"/>
        <v>0.95246122970260672</v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>
        <v>36.4</v>
      </c>
      <c r="Y54" s="66">
        <v>36.799999999999997</v>
      </c>
      <c r="Z54" s="66">
        <v>35</v>
      </c>
      <c r="AA54" s="66">
        <v>39.6</v>
      </c>
      <c r="AB54" s="66">
        <v>39.799999999999997</v>
      </c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16</v>
      </c>
      <c r="AQ54" s="68">
        <f t="shared" si="2"/>
        <v>36.724999999999994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39.799999999999997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0.19999999999999574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>
        <v>37</v>
      </c>
      <c r="W55" s="66">
        <v>31.6</v>
      </c>
      <c r="X55" s="66">
        <v>35.4</v>
      </c>
      <c r="Y55" s="66">
        <v>34</v>
      </c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15</v>
      </c>
      <c r="AQ55" s="68">
        <f t="shared" si="2"/>
        <v>34.946666666666673</v>
      </c>
      <c r="AR55" s="68">
        <f>IFERROR(VLOOKUP(A55,Climatologia_TMAX!A:U,9+$E$2,FALSE),"")</f>
        <v>32.47634846306795</v>
      </c>
      <c r="AS55" s="68">
        <f t="shared" si="3"/>
        <v>2.4703182035987226</v>
      </c>
      <c r="AT55" s="111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>
        <v>33</v>
      </c>
      <c r="W67" s="66">
        <v>33</v>
      </c>
      <c r="X67" s="66">
        <v>34.1</v>
      </c>
      <c r="Y67" s="66">
        <v>32.4</v>
      </c>
      <c r="Z67" s="66">
        <v>34.1</v>
      </c>
      <c r="AA67" s="66">
        <v>34</v>
      </c>
      <c r="AB67" s="66">
        <v>36.4</v>
      </c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18</v>
      </c>
      <c r="AQ67" s="68">
        <f t="shared" si="2"/>
        <v>33.055555555555557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1.3999999999999986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>
        <v>33.6</v>
      </c>
      <c r="V72" s="66">
        <v>35.200000000000003</v>
      </c>
      <c r="W72" s="66">
        <v>33.200000000000003</v>
      </c>
      <c r="X72" s="66">
        <v>34.6</v>
      </c>
      <c r="Y72" s="66">
        <v>34</v>
      </c>
      <c r="Z72" s="66">
        <v>35.200000000000003</v>
      </c>
      <c r="AA72" s="66">
        <v>40.4</v>
      </c>
      <c r="AB72" s="66">
        <v>37</v>
      </c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8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>
        <f t="shared" si="9"/>
        <v>40.4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>
        <f t="shared" si="10"/>
        <v>2.6000000000000014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>
        <v>35</v>
      </c>
      <c r="W76" s="66">
        <v>31.4</v>
      </c>
      <c r="X76" s="66">
        <v>33.200000000000003</v>
      </c>
      <c r="Y76" s="66">
        <v>34.4</v>
      </c>
      <c r="Z76" s="66">
        <v>31.6</v>
      </c>
      <c r="AA76" s="66">
        <v>36</v>
      </c>
      <c r="AB76" s="66">
        <v>35.4</v>
      </c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18</v>
      </c>
      <c r="AQ76" s="68">
        <f t="shared" si="7"/>
        <v>34.044444444444444</v>
      </c>
      <c r="AR76" s="68">
        <f>IFERROR(VLOOKUP(A76,Climatologia_TMAX!A:U,9+$E$2,FALSE),"")</f>
        <v>31.452593153972469</v>
      </c>
      <c r="AS76" s="68">
        <f t="shared" si="8"/>
        <v>2.5918512904719755</v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/>
      <c r="W77" s="66">
        <v>29.8</v>
      </c>
      <c r="X77" s="66">
        <v>33.4</v>
      </c>
      <c r="Y77" s="66">
        <v>26.8</v>
      </c>
      <c r="Z77" s="66">
        <v>30.6</v>
      </c>
      <c r="AA77" s="66">
        <v>33.200000000000003</v>
      </c>
      <c r="AB77" s="66">
        <v>33.200000000000003</v>
      </c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16</v>
      </c>
      <c r="AQ77" s="68">
        <f t="shared" si="7"/>
        <v>31.487500000000001</v>
      </c>
      <c r="AR77" s="68">
        <f>IFERROR(VLOOKUP(A77,Climatologia_TMAX!A:U,9+$E$2,FALSE),"")</f>
        <v>31.66925925925926</v>
      </c>
      <c r="AS77" s="68">
        <f t="shared" si="8"/>
        <v>-0.18175925925925895</v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/>
      <c r="W79" s="66">
        <v>30.8</v>
      </c>
      <c r="X79" s="66">
        <v>30.4</v>
      </c>
      <c r="Y79" s="66">
        <v>31.4</v>
      </c>
      <c r="Z79" s="66">
        <v>30.9</v>
      </c>
      <c r="AA79" s="66">
        <v>31.8</v>
      </c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16</v>
      </c>
      <c r="AQ79" s="68">
        <f t="shared" si="7"/>
        <v>32.093749999999993</v>
      </c>
      <c r="AR79" s="68">
        <f>IFERROR(VLOOKUP(A79,Climatologia_TMAX!A:U,9+$E$2,FALSE),"")</f>
        <v>31.542409364140131</v>
      </c>
      <c r="AS79" s="68">
        <f t="shared" si="8"/>
        <v>0.55134063585986226</v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>
        <v>34</v>
      </c>
      <c r="W80" s="66">
        <v>33.200000000000003</v>
      </c>
      <c r="X80" s="66">
        <v>33.4</v>
      </c>
      <c r="Y80" s="66">
        <v>32</v>
      </c>
      <c r="Z80" s="66">
        <v>31.6</v>
      </c>
      <c r="AA80" s="66">
        <v>32.6</v>
      </c>
      <c r="AB80" s="66">
        <v>30.4</v>
      </c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17</v>
      </c>
      <c r="AQ80" s="68">
        <f t="shared" si="7"/>
        <v>32.247058823529407</v>
      </c>
      <c r="AR80" s="68">
        <f>IFERROR(VLOOKUP(A80,Climatologia_TMAX!A:U,9+$E$2,FALSE),"")</f>
        <v>31.501529678282552</v>
      </c>
      <c r="AS80" s="68">
        <f t="shared" si="8"/>
        <v>0.74552914524685576</v>
      </c>
      <c r="AT80" s="74">
        <f t="shared" si="9"/>
        <v>34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-1.3999999999999986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>
        <v>32.6</v>
      </c>
      <c r="W81" s="66">
        <v>32.4</v>
      </c>
      <c r="X81" s="66">
        <v>32.799999999999997</v>
      </c>
      <c r="Y81" s="66">
        <v>32.4</v>
      </c>
      <c r="Z81" s="66">
        <v>31.8</v>
      </c>
      <c r="AA81" s="66">
        <v>32</v>
      </c>
      <c r="AB81" s="66">
        <v>28.4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18</v>
      </c>
      <c r="AQ81" s="68">
        <f t="shared" si="7"/>
        <v>31.955555555555552</v>
      </c>
      <c r="AR81" s="68">
        <f>IFERROR(VLOOKUP(A81,Climatologia_TMAX!A:U,9+$E$2,FALSE),"")</f>
        <v>31.10612903516844</v>
      </c>
      <c r="AS81" s="68">
        <f t="shared" si="8"/>
        <v>0.8494265203871123</v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>
        <v>33.200000000000003</v>
      </c>
      <c r="W83" s="66">
        <v>30</v>
      </c>
      <c r="X83" s="66">
        <v>33.799999999999997</v>
      </c>
      <c r="Y83" s="66">
        <v>31.8</v>
      </c>
      <c r="Z83" s="66">
        <v>32.4</v>
      </c>
      <c r="AA83" s="66">
        <v>32.799999999999997</v>
      </c>
      <c r="AB83" s="66">
        <v>31.6</v>
      </c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18</v>
      </c>
      <c r="AQ83" s="68">
        <f t="shared" si="7"/>
        <v>32.511111111111106</v>
      </c>
      <c r="AR83" s="68">
        <f>IFERROR(VLOOKUP(A83,Climatologia_TMAX!A:U,9+$E$2,FALSE),"")</f>
        <v>31.067557033171731</v>
      </c>
      <c r="AS83" s="68">
        <f t="shared" si="8"/>
        <v>1.4435540779393747</v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>
        <v>32.4</v>
      </c>
      <c r="W85" s="66">
        <v>28.4</v>
      </c>
      <c r="X85" s="66">
        <v>32.6</v>
      </c>
      <c r="Y85" s="66">
        <v>32.200000000000003</v>
      </c>
      <c r="Z85" s="66">
        <v>32</v>
      </c>
      <c r="AA85" s="66">
        <v>32</v>
      </c>
      <c r="AB85" s="66">
        <v>29.2</v>
      </c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18</v>
      </c>
      <c r="AQ85" s="68">
        <f t="shared" si="7"/>
        <v>31.633333333333333</v>
      </c>
      <c r="AR85" s="68">
        <f>IFERROR(VLOOKUP(A85,Climatologia_TMAX!A:U,9+$E$2,FALSE),"")</f>
        <v>31.130077169796991</v>
      </c>
      <c r="AS85" s="68">
        <f t="shared" si="8"/>
        <v>0.50325616353634217</v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/>
      <c r="W86" s="66"/>
      <c r="X86" s="66">
        <v>30.8</v>
      </c>
      <c r="Y86" s="66">
        <v>32.799999999999997</v>
      </c>
      <c r="Z86" s="66">
        <v>30.6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14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>
        <v>32.799999999999997</v>
      </c>
      <c r="W87" s="66">
        <v>30.4</v>
      </c>
      <c r="X87" s="66">
        <v>32.6</v>
      </c>
      <c r="Y87" s="66">
        <v>33.200000000000003</v>
      </c>
      <c r="Z87" s="66">
        <v>31.6</v>
      </c>
      <c r="AA87" s="66">
        <v>33.200000000000003</v>
      </c>
      <c r="AB87" s="66">
        <v>31.8</v>
      </c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18</v>
      </c>
      <c r="AQ87" s="68">
        <f t="shared" si="7"/>
        <v>32.211111111111116</v>
      </c>
      <c r="AR87" s="68">
        <f>IFERROR(VLOOKUP(A87,Climatologia_TMAX!A:U,9+$E$2,FALSE),"")</f>
        <v>31.478230462470751</v>
      </c>
      <c r="AS87" s="68">
        <f t="shared" si="8"/>
        <v>0.73288064864036429</v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>
        <v>32.200000000000003</v>
      </c>
      <c r="W90" s="66">
        <v>32.1</v>
      </c>
      <c r="X90" s="66">
        <v>32.4</v>
      </c>
      <c r="Y90" s="66">
        <v>30.3</v>
      </c>
      <c r="Z90" s="66">
        <v>31.2</v>
      </c>
      <c r="AA90" s="66">
        <v>32</v>
      </c>
      <c r="AB90" s="66">
        <v>33</v>
      </c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18</v>
      </c>
      <c r="AQ90" s="68">
        <f t="shared" si="7"/>
        <v>31.716666666666658</v>
      </c>
      <c r="AR90" s="68">
        <f>IFERROR(VLOOKUP(A90,Climatologia_TMAX!A:U,9+$E$2,FALSE),"")</f>
        <v>31.099937562083159</v>
      </c>
      <c r="AS90" s="68">
        <f t="shared" si="8"/>
        <v>0.61672910458349861</v>
      </c>
      <c r="AT90" s="74">
        <f t="shared" si="9"/>
        <v>33.200000000000003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-1.5999999999999943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>
        <v>33</v>
      </c>
      <c r="W91" s="66">
        <v>31.2</v>
      </c>
      <c r="X91" s="66">
        <v>33.299999999999997</v>
      </c>
      <c r="Y91" s="66">
        <v>33.1</v>
      </c>
      <c r="Z91" s="107">
        <v>33.1</v>
      </c>
      <c r="AA91" s="66">
        <v>33.4</v>
      </c>
      <c r="AB91" s="66">
        <v>33.4</v>
      </c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17</v>
      </c>
      <c r="AQ91" s="68">
        <f t="shared" si="7"/>
        <v>32.523529411764706</v>
      </c>
      <c r="AR91" s="68">
        <f>IFERROR(VLOOKUP(A91,Climatologia_TMAX!A:U,9+$E$2,FALSE),"")</f>
        <v>31.92355343062879</v>
      </c>
      <c r="AS91" s="68">
        <f t="shared" si="8"/>
        <v>0.59997598113591621</v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>
        <v>32.6</v>
      </c>
      <c r="W94" s="66">
        <v>32</v>
      </c>
      <c r="X94" s="66">
        <v>34</v>
      </c>
      <c r="Y94" s="66">
        <v>31.2</v>
      </c>
      <c r="Z94" s="66">
        <v>30.4</v>
      </c>
      <c r="AA94" s="66">
        <v>32.799999999999997</v>
      </c>
      <c r="AB94" s="66">
        <v>32.200000000000003</v>
      </c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18</v>
      </c>
      <c r="AQ94" s="68">
        <f t="shared" si="7"/>
        <v>32.366666666666667</v>
      </c>
      <c r="AR94" s="68">
        <f>IFERROR(VLOOKUP(A94,Climatologia_TMAX!A:U,9+$E$2,FALSE),"")</f>
        <v>31.991304063769562</v>
      </c>
      <c r="AS94" s="68">
        <f t="shared" si="8"/>
        <v>0.37536260289710555</v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>
        <v>26.4</v>
      </c>
      <c r="W99" s="66">
        <v>27.2</v>
      </c>
      <c r="X99" s="66">
        <v>28</v>
      </c>
      <c r="Y99" s="66">
        <v>28</v>
      </c>
      <c r="Z99" s="66">
        <v>25.2</v>
      </c>
      <c r="AA99" s="66">
        <v>29</v>
      </c>
      <c r="AB99" s="66">
        <v>28</v>
      </c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18</v>
      </c>
      <c r="AQ99" s="68">
        <f t="shared" si="7"/>
        <v>27.333333333333329</v>
      </c>
      <c r="AR99" s="68">
        <f>IFERROR(VLOOKUP(A99,Climatologia_TMAX!A:U,9+$E$2,FALSE),"")</f>
        <v>25.859893128991061</v>
      </c>
      <c r="AS99" s="68">
        <f t="shared" si="8"/>
        <v>1.4734402043422676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>
        <v>40</v>
      </c>
      <c r="W100" s="66">
        <v>39.799999999999997</v>
      </c>
      <c r="X100" s="66">
        <v>43</v>
      </c>
      <c r="Y100" s="66">
        <v>40.799999999999997</v>
      </c>
      <c r="Z100" s="107">
        <v>38.799999999999997</v>
      </c>
      <c r="AA100" s="66">
        <v>40</v>
      </c>
      <c r="AB100" s="66">
        <v>40.799999999999997</v>
      </c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18</v>
      </c>
      <c r="AQ100" s="68">
        <f t="shared" si="7"/>
        <v>39.933333333333323</v>
      </c>
      <c r="AR100" s="68">
        <f>IFERROR(VLOOKUP(A100,Climatologia_TMAX!A:U,9+$E$2,FALSE),"")</f>
        <v>36.623448411009093</v>
      </c>
      <c r="AS100" s="68">
        <f t="shared" si="8"/>
        <v>3.3098849223242297</v>
      </c>
      <c r="AT100" s="74">
        <f t="shared" si="9"/>
        <v>43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>
        <v>31</v>
      </c>
      <c r="W102" s="66">
        <v>31.6</v>
      </c>
      <c r="X102" s="66">
        <v>31.8</v>
      </c>
      <c r="Y102" s="66">
        <v>33</v>
      </c>
      <c r="Z102" s="66">
        <v>33.6</v>
      </c>
      <c r="AA102" s="66">
        <v>30.2</v>
      </c>
      <c r="AB102" s="66">
        <v>32.799999999999997</v>
      </c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18</v>
      </c>
      <c r="AQ102" s="68">
        <f t="shared" si="7"/>
        <v>31.144444444444446</v>
      </c>
      <c r="AR102" s="68">
        <f>IFERROR(VLOOKUP(A102,Climatologia_TMAX!A:U,9+$E$2,FALSE),"")</f>
        <v>28.401216931216929</v>
      </c>
      <c r="AS102" s="68">
        <f t="shared" si="8"/>
        <v>2.7432275132275166</v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>
        <v>38.799999999999997</v>
      </c>
      <c r="W104" s="66">
        <v>38.200000000000003</v>
      </c>
      <c r="X104" s="66">
        <v>39.6</v>
      </c>
      <c r="Y104" s="66">
        <v>38.4</v>
      </c>
      <c r="Z104" s="66">
        <v>37.6</v>
      </c>
      <c r="AA104" s="66">
        <v>38.6</v>
      </c>
      <c r="AB104" s="66">
        <v>39.200000000000003</v>
      </c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18</v>
      </c>
      <c r="AQ104" s="68">
        <f t="shared" si="7"/>
        <v>38.544444444444451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>
        <v>30.4</v>
      </c>
      <c r="W105" s="66">
        <v>33.4</v>
      </c>
      <c r="X105" s="66">
        <v>31.4</v>
      </c>
      <c r="Y105" s="66">
        <v>32</v>
      </c>
      <c r="Z105" s="66">
        <v>30.6</v>
      </c>
      <c r="AA105" s="66">
        <v>32.799999999999997</v>
      </c>
      <c r="AB105" s="66">
        <v>32.4</v>
      </c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18</v>
      </c>
      <c r="AQ105" s="68">
        <f t="shared" si="7"/>
        <v>32.11666666666666</v>
      </c>
      <c r="AR105" s="68">
        <f>IFERROR(VLOOKUP(A105,Climatologia_TMAX!A:U,9+$E$2,FALSE),"")</f>
        <v>31.333378216621981</v>
      </c>
      <c r="AS105" s="68">
        <f t="shared" si="8"/>
        <v>0.78328845004467951</v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>
        <v>27.8</v>
      </c>
      <c r="W106" s="66">
        <v>28.6</v>
      </c>
      <c r="X106" s="66">
        <v>29.4</v>
      </c>
      <c r="Y106" s="66">
        <v>27.2</v>
      </c>
      <c r="Z106" s="66">
        <v>25.4</v>
      </c>
      <c r="AA106" s="66">
        <v>26.8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17</v>
      </c>
      <c r="AQ106" s="68">
        <f t="shared" si="7"/>
        <v>27.18823529411765</v>
      </c>
      <c r="AR106" s="68">
        <f>IFERROR(VLOOKUP(A106,Climatologia_TMAX!A:U,9+$E$2,FALSE),"")</f>
        <v>25.893091954022989</v>
      </c>
      <c r="AS106" s="68">
        <f t="shared" si="8"/>
        <v>1.2951433400946613</v>
      </c>
      <c r="AT106" s="74">
        <f t="shared" si="9"/>
        <v>29.4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>
        <v>32.6</v>
      </c>
      <c r="W108" s="66">
        <v>31.8</v>
      </c>
      <c r="X108" s="66">
        <v>35</v>
      </c>
      <c r="Y108" s="66">
        <v>32</v>
      </c>
      <c r="Z108" s="66">
        <v>31</v>
      </c>
      <c r="AA108" s="66">
        <v>32.6</v>
      </c>
      <c r="AB108" s="66">
        <v>32.200000000000003</v>
      </c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18</v>
      </c>
      <c r="AQ108" s="68">
        <f t="shared" si="7"/>
        <v>32.633333333333347</v>
      </c>
      <c r="AR108" s="68">
        <f>IFERROR(VLOOKUP(A108,Climatologia_TMAX!A:U,9+$E$2,FALSE),"")</f>
        <v>31.57003010399562</v>
      </c>
      <c r="AS108" s="68">
        <f t="shared" si="8"/>
        <v>1.0633032293377269</v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>
        <v>26</v>
      </c>
      <c r="W109" s="66">
        <v>28.5</v>
      </c>
      <c r="X109" s="66">
        <v>30.2</v>
      </c>
      <c r="Y109" s="66">
        <v>29.2</v>
      </c>
      <c r="Z109" s="66">
        <v>24</v>
      </c>
      <c r="AA109" s="66">
        <v>28.6</v>
      </c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17</v>
      </c>
      <c r="AQ109" s="68">
        <f t="shared" si="7"/>
        <v>28.041176470588233</v>
      </c>
      <c r="AR109" s="68">
        <f>IFERROR(VLOOKUP(A109,Climatologia_TMAX!A:U,9+$E$2,FALSE),"")</f>
        <v>26.601765290194411</v>
      </c>
      <c r="AS109" s="68">
        <f t="shared" si="8"/>
        <v>1.4394111803938223</v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>
        <v>38</v>
      </c>
      <c r="W111" s="66">
        <v>39.4</v>
      </c>
      <c r="X111" s="66">
        <v>37.4</v>
      </c>
      <c r="Y111" s="66">
        <v>38.6</v>
      </c>
      <c r="Z111" s="66">
        <v>39.200000000000003</v>
      </c>
      <c r="AA111" s="109">
        <v>40.4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17</v>
      </c>
      <c r="AQ111" s="68">
        <f t="shared" si="7"/>
        <v>38.094117647058823</v>
      </c>
      <c r="AR111" s="68">
        <f>IFERROR(VLOOKUP(A111,Climatologia_TMAX!A:U,9+$E$2,FALSE),"")</f>
        <v>33.956722503192843</v>
      </c>
      <c r="AS111" s="68">
        <f t="shared" si="8"/>
        <v>4.1373951438659802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0.60000000000000142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>
        <v>35.6</v>
      </c>
      <c r="W112" s="66">
        <v>36.6</v>
      </c>
      <c r="X112" s="66">
        <v>34.6</v>
      </c>
      <c r="Y112" s="66">
        <v>37.6</v>
      </c>
      <c r="Z112" s="66">
        <v>36.200000000000003</v>
      </c>
      <c r="AA112" s="66">
        <v>39.200000000000003</v>
      </c>
      <c r="AB112" s="66">
        <v>42</v>
      </c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18</v>
      </c>
      <c r="AQ112" s="68">
        <f t="shared" si="7"/>
        <v>37.233333333333341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42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2">
        <v>39</v>
      </c>
      <c r="S114" s="66">
        <v>39.4</v>
      </c>
      <c r="T114" s="66">
        <v>37</v>
      </c>
      <c r="U114" s="66">
        <v>36.4</v>
      </c>
      <c r="V114" s="66">
        <v>37.799999999999997</v>
      </c>
      <c r="W114" s="66">
        <v>36.200000000000003</v>
      </c>
      <c r="X114" s="66">
        <v>36.4</v>
      </c>
      <c r="Y114" s="66">
        <v>35.4</v>
      </c>
      <c r="Z114" s="66">
        <v>31.4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35.999999999999993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/>
      <c r="V115" s="66">
        <v>37</v>
      </c>
      <c r="W115" s="66">
        <v>37</v>
      </c>
      <c r="X115" s="66">
        <v>36.4</v>
      </c>
      <c r="Y115" s="66">
        <v>37.200000000000003</v>
      </c>
      <c r="Z115" s="66">
        <v>36.200000000000003</v>
      </c>
      <c r="AA115" s="66">
        <v>38.4</v>
      </c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16</v>
      </c>
      <c r="AQ115" s="68">
        <f t="shared" si="7"/>
        <v>37.287499999999994</v>
      </c>
      <c r="AR115" s="68">
        <f>IFERROR(VLOOKUP(A115,Climatologia_TMAX!A:U,9+$E$2,FALSE),"")</f>
        <v>34.78786103005671</v>
      </c>
      <c r="AS115" s="68">
        <f t="shared" si="8"/>
        <v>2.4996389699432839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>
        <v>37.6</v>
      </c>
      <c r="W118" s="66">
        <v>36.6</v>
      </c>
      <c r="X118" s="66">
        <v>34.200000000000003</v>
      </c>
      <c r="Y118" s="66">
        <v>36.4</v>
      </c>
      <c r="Z118" s="66">
        <v>37.4</v>
      </c>
      <c r="AA118" s="66">
        <v>40</v>
      </c>
      <c r="AB118" s="66">
        <v>39</v>
      </c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18</v>
      </c>
      <c r="AQ118" s="68">
        <f t="shared" si="7"/>
        <v>37.022222222222219</v>
      </c>
      <c r="AR118" s="68">
        <f>IFERROR(VLOOKUP(A118,Climatologia_TMAX!A:U,9+$E$2,FALSE),"")</f>
        <v>33.363033585720373</v>
      </c>
      <c r="AS118" s="68">
        <f t="shared" si="8"/>
        <v>3.6591886365018453</v>
      </c>
      <c r="AT118" s="74">
        <f t="shared" si="9"/>
        <v>40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0.20000000000000284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>
        <v>38.6</v>
      </c>
      <c r="W119" s="66">
        <v>39.6</v>
      </c>
      <c r="X119" s="66">
        <v>37.799999999999997</v>
      </c>
      <c r="Y119" s="66">
        <v>38.6</v>
      </c>
      <c r="Z119" s="66">
        <v>32.799999999999997</v>
      </c>
      <c r="AA119" s="66">
        <v>38.6</v>
      </c>
      <c r="AB119" s="66">
        <v>39.200000000000003</v>
      </c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18</v>
      </c>
      <c r="AQ119" s="68">
        <f t="shared" si="7"/>
        <v>37.422222222222224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>
        <v>39.6</v>
      </c>
      <c r="W120" s="66">
        <v>38.799999999999997</v>
      </c>
      <c r="X120" s="66">
        <v>38.200000000000003</v>
      </c>
      <c r="Y120" s="66">
        <v>37.6</v>
      </c>
      <c r="Z120" s="66">
        <v>33.6</v>
      </c>
      <c r="AA120" s="66">
        <v>31.8</v>
      </c>
      <c r="AB120" s="66">
        <v>36.200000000000003</v>
      </c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18</v>
      </c>
      <c r="AQ120" s="68">
        <f t="shared" si="7"/>
        <v>37.177777777777777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>
        <v>24</v>
      </c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>
        <f t="shared" si="9"/>
        <v>24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>
        <f t="shared" si="10"/>
        <v>-3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>
        <v>31.6</v>
      </c>
      <c r="W122" s="66">
        <v>30.4</v>
      </c>
      <c r="X122" s="66">
        <v>32.4</v>
      </c>
      <c r="Y122" s="66">
        <v>32.6</v>
      </c>
      <c r="Z122" s="66">
        <v>28.8</v>
      </c>
      <c r="AA122" s="66">
        <v>32.799999999999997</v>
      </c>
      <c r="AB122" s="66">
        <v>33.6</v>
      </c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18</v>
      </c>
      <c r="AQ122" s="68">
        <f t="shared" si="7"/>
        <v>30.788888888888884</v>
      </c>
      <c r="AR122" s="68">
        <f>IFERROR(VLOOKUP(A122,Climatologia_TMAX!A:U,9+$E$2,FALSE),"")</f>
        <v>28.13066666666667</v>
      </c>
      <c r="AS122" s="68">
        <f t="shared" si="8"/>
        <v>2.6582222222222143</v>
      </c>
      <c r="AT122" s="74">
        <f t="shared" si="9"/>
        <v>33.6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0.39999999999999858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>
        <v>32</v>
      </c>
      <c r="W123" s="66">
        <v>29.8</v>
      </c>
      <c r="X123" s="66">
        <v>32.6</v>
      </c>
      <c r="Y123" s="66">
        <v>32</v>
      </c>
      <c r="Z123" s="66">
        <v>31.8</v>
      </c>
      <c r="AA123" s="66">
        <v>32.4</v>
      </c>
      <c r="AB123" s="66">
        <v>32.200000000000003</v>
      </c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18</v>
      </c>
      <c r="AQ123" s="68">
        <f t="shared" si="7"/>
        <v>31.900000000000002</v>
      </c>
      <c r="AR123" s="68">
        <f>IFERROR(VLOOKUP(A123,Climatologia_TMAX!A:U,9+$E$2,FALSE),"")</f>
        <v>30.61551559934319</v>
      </c>
      <c r="AS123" s="68">
        <f t="shared" si="8"/>
        <v>1.2844844006568117</v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>
        <v>33.4</v>
      </c>
      <c r="W124" s="66">
        <v>30</v>
      </c>
      <c r="X124" s="66">
        <v>33.6</v>
      </c>
      <c r="Y124" s="66">
        <v>33.4</v>
      </c>
      <c r="Z124" s="66">
        <v>33.4</v>
      </c>
      <c r="AA124" s="66">
        <v>32.6</v>
      </c>
      <c r="AB124" s="66">
        <v>31.8</v>
      </c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18</v>
      </c>
      <c r="AQ124" s="68">
        <f t="shared" si="7"/>
        <v>32.777777777777779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>
        <v>29.2</v>
      </c>
      <c r="W127" s="66">
        <v>26</v>
      </c>
      <c r="X127" s="66">
        <v>27.6</v>
      </c>
      <c r="Y127" s="66">
        <v>28</v>
      </c>
      <c r="Z127" s="66">
        <v>26</v>
      </c>
      <c r="AA127" s="66">
        <v>26.6</v>
      </c>
      <c r="AB127" s="66">
        <v>27.2</v>
      </c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18</v>
      </c>
      <c r="AQ127" s="68">
        <f t="shared" si="7"/>
        <v>27.055555555555557</v>
      </c>
      <c r="AR127" s="68">
        <f>IFERROR(VLOOKUP(A127,Climatologia_TMAX!A:U,9+$E$2,FALSE),"")</f>
        <v>24.09794521944821</v>
      </c>
      <c r="AS127" s="68">
        <f t="shared" si="8"/>
        <v>2.9576103361073471</v>
      </c>
      <c r="AT127" s="74">
        <f t="shared" si="9"/>
        <v>29.2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>
        <v>22.4</v>
      </c>
      <c r="W128" s="112">
        <v>23.4</v>
      </c>
      <c r="X128" s="66">
        <v>26</v>
      </c>
      <c r="Y128" s="66">
        <v>21</v>
      </c>
      <c r="Z128" s="66">
        <v>24.4</v>
      </c>
      <c r="AA128" s="66">
        <v>24.4</v>
      </c>
      <c r="AB128" s="66">
        <v>25.4</v>
      </c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18</v>
      </c>
      <c r="AQ128" s="68">
        <f t="shared" si="7"/>
        <v>23.499999999999993</v>
      </c>
      <c r="AR128" s="68">
        <f>IFERROR(VLOOKUP(A128,Climatologia_TMAX!A:U,9+$E$2,FALSE),"")</f>
        <v>19.967338391365981</v>
      </c>
      <c r="AS128" s="68">
        <f t="shared" si="8"/>
        <v>3.5326616086340117</v>
      </c>
      <c r="AT128" s="74">
        <f t="shared" si="9"/>
        <v>26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-0.19999999999999929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>
        <v>28.4</v>
      </c>
      <c r="W129" s="66">
        <v>25.4</v>
      </c>
      <c r="X129" s="66">
        <v>28.8</v>
      </c>
      <c r="Y129" s="66">
        <v>27.8</v>
      </c>
      <c r="Z129" s="66">
        <v>28.2</v>
      </c>
      <c r="AA129" s="66">
        <v>27</v>
      </c>
      <c r="AB129" s="66">
        <v>25.4</v>
      </c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14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28.8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>
        <v>20.399999999999999</v>
      </c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>
        <v>20</v>
      </c>
      <c r="W133" s="66">
        <v>16.2</v>
      </c>
      <c r="X133" s="66">
        <v>18</v>
      </c>
      <c r="Y133" s="66">
        <v>18.399999999999999</v>
      </c>
      <c r="Z133" s="66">
        <v>17.399999999999999</v>
      </c>
      <c r="AA133" s="66">
        <v>19.399999999999999</v>
      </c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14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20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>
        <v>24.4</v>
      </c>
      <c r="W135" s="66">
        <v>23</v>
      </c>
      <c r="X135" s="66">
        <v>23.8</v>
      </c>
      <c r="Y135" s="66">
        <v>24</v>
      </c>
      <c r="Z135" s="66">
        <v>24.6</v>
      </c>
      <c r="AA135" s="66">
        <v>24</v>
      </c>
      <c r="AB135" s="66">
        <v>23.4</v>
      </c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18</v>
      </c>
      <c r="AQ135" s="68">
        <f t="shared" si="12"/>
        <v>23.755555555555553</v>
      </c>
      <c r="AR135" s="68">
        <f>IFERROR(VLOOKUP(A135,Climatologia_TMAX!A:U,9+$E$2,FALSE),"")</f>
        <v>24.414423280423279</v>
      </c>
      <c r="AS135" s="68">
        <f t="shared" si="13"/>
        <v>-0.65886772486772571</v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2">
        <v>23.6</v>
      </c>
      <c r="S138" s="66">
        <v>24</v>
      </c>
      <c r="T138" s="66">
        <v>23</v>
      </c>
      <c r="U138" s="66">
        <v>21.7</v>
      </c>
      <c r="V138" s="66">
        <v>24.8</v>
      </c>
      <c r="W138" s="66">
        <v>21.8</v>
      </c>
      <c r="X138" s="66">
        <v>23.8</v>
      </c>
      <c r="Y138" s="66">
        <v>23</v>
      </c>
      <c r="Z138" s="66">
        <v>22</v>
      </c>
      <c r="AA138" s="66"/>
      <c r="AB138" s="66">
        <v>24</v>
      </c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17</v>
      </c>
      <c r="AQ138" s="68">
        <f t="shared" si="12"/>
        <v>22.5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1.1999999999999993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>
        <v>22.8</v>
      </c>
      <c r="W139" s="66">
        <v>21.2</v>
      </c>
      <c r="X139" s="66">
        <v>24.2</v>
      </c>
      <c r="Y139" s="66">
        <v>22.4</v>
      </c>
      <c r="Z139" s="66">
        <v>22</v>
      </c>
      <c r="AA139" s="66">
        <v>22.8</v>
      </c>
      <c r="AB139" s="66">
        <v>21.8</v>
      </c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18</v>
      </c>
      <c r="AQ139" s="68">
        <f t="shared" si="12"/>
        <v>22.288888888888884</v>
      </c>
      <c r="AR139" s="68">
        <f>IFERROR(VLOOKUP(A139,Climatologia_TMAX!A:U,9+$E$2,FALSE),"")</f>
        <v>21.860804597701151</v>
      </c>
      <c r="AS139" s="68">
        <f t="shared" si="13"/>
        <v>0.42808429118773361</v>
      </c>
      <c r="AT139" s="74">
        <f t="shared" si="14"/>
        <v>24.2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-2.4000000000000021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>
        <v>20.399999999999999</v>
      </c>
      <c r="W141" s="66">
        <v>18.8</v>
      </c>
      <c r="X141" s="66">
        <v>19.600000000000001</v>
      </c>
      <c r="Y141" s="66">
        <v>20.8</v>
      </c>
      <c r="Z141" s="66">
        <v>20.2</v>
      </c>
      <c r="AA141" s="66">
        <v>20.399999999999999</v>
      </c>
      <c r="AB141" s="66">
        <v>20.8</v>
      </c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18</v>
      </c>
      <c r="AQ141" s="68">
        <f t="shared" si="12"/>
        <v>19.433333333333334</v>
      </c>
      <c r="AR141" s="68">
        <f>IFERROR(VLOOKUP(A141,Climatologia_TMAX!A:U,9+$E$2,FALSE),"")</f>
        <v>18.581666666666671</v>
      </c>
      <c r="AS141" s="68">
        <f t="shared" si="13"/>
        <v>0.85166666666666302</v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>
        <v>20.399999999999999</v>
      </c>
      <c r="W142" s="66">
        <v>16</v>
      </c>
      <c r="X142" s="66">
        <v>20</v>
      </c>
      <c r="Y142" s="66">
        <v>20.2</v>
      </c>
      <c r="Z142" s="66">
        <v>19.2</v>
      </c>
      <c r="AA142" s="66">
        <v>19.2</v>
      </c>
      <c r="AB142" s="66">
        <v>18.399999999999999</v>
      </c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18</v>
      </c>
      <c r="AQ142" s="68">
        <f t="shared" si="12"/>
        <v>18.255555555555553</v>
      </c>
      <c r="AR142" s="68">
        <f>IFERROR(VLOOKUP(A142,Climatologia_TMAX!A:U,9+$E$2,FALSE),"")</f>
        <v>18.785310944301099</v>
      </c>
      <c r="AS142" s="68">
        <f t="shared" si="13"/>
        <v>-0.52975538874554573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-3.4000000000000021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>
        <v>32</v>
      </c>
      <c r="V143" s="66">
        <v>33.200000000000003</v>
      </c>
      <c r="W143" s="66"/>
      <c r="X143" s="66">
        <v>34</v>
      </c>
      <c r="Y143" s="66">
        <v>33.6</v>
      </c>
      <c r="Z143" s="66">
        <v>31</v>
      </c>
      <c r="AA143" s="66">
        <v>32</v>
      </c>
      <c r="AB143" s="66">
        <v>34</v>
      </c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32.733333333333334</v>
      </c>
      <c r="AR143" s="68">
        <f>IFERROR(VLOOKUP(A143,Climatologia_TMAX!A:U,9+$E$2,FALSE),"")</f>
        <v>31.481520525451561</v>
      </c>
      <c r="AS143" s="68">
        <f t="shared" si="13"/>
        <v>1.2518128078817732</v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>
        <v>22.4</v>
      </c>
      <c r="W145" s="66">
        <v>21.4</v>
      </c>
      <c r="X145" s="66">
        <v>24.4</v>
      </c>
      <c r="Y145" s="66">
        <v>24.2</v>
      </c>
      <c r="Z145" s="66">
        <v>23.2</v>
      </c>
      <c r="AA145" s="66">
        <v>25</v>
      </c>
      <c r="AB145" s="66">
        <v>23.4</v>
      </c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18</v>
      </c>
      <c r="AQ145" s="68">
        <f t="shared" si="12"/>
        <v>23.099999999999994</v>
      </c>
      <c r="AR145" s="68">
        <f>IFERROR(VLOOKUP(A145,Climatologia_TMAX!A:U,9+$E$2,FALSE),"")</f>
        <v>21.467271711366539</v>
      </c>
      <c r="AS145" s="68">
        <f t="shared" si="13"/>
        <v>1.6327282886334551</v>
      </c>
      <c r="AT145" s="74">
        <f t="shared" si="14"/>
        <v>25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-1.1999999999999993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>
        <v>24</v>
      </c>
      <c r="W146" s="66">
        <v>20.6</v>
      </c>
      <c r="X146" s="66">
        <v>22.4</v>
      </c>
      <c r="Y146" s="66">
        <v>23</v>
      </c>
      <c r="Z146" s="66">
        <v>21.8</v>
      </c>
      <c r="AA146" s="66">
        <v>21.6</v>
      </c>
      <c r="AB146" s="66">
        <v>21.2</v>
      </c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18</v>
      </c>
      <c r="AQ146" s="68">
        <f t="shared" si="12"/>
        <v>21.8</v>
      </c>
      <c r="AR146" s="68">
        <f>IFERROR(VLOOKUP(A146,Climatologia_TMAX!A:U,9+$E$2,FALSE),"")</f>
        <v>21.55397335070656</v>
      </c>
      <c r="AS146" s="68">
        <f t="shared" si="13"/>
        <v>0.24602664929344087</v>
      </c>
      <c r="AT146" s="74">
        <f t="shared" si="14"/>
        <v>24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-2.8000000000000007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>
        <v>24.6</v>
      </c>
      <c r="W147" s="66">
        <v>20.2</v>
      </c>
      <c r="X147" s="66">
        <v>24.2</v>
      </c>
      <c r="Y147" s="66">
        <v>22.8</v>
      </c>
      <c r="Z147" s="66">
        <v>22.6</v>
      </c>
      <c r="AA147" s="66">
        <v>22.8</v>
      </c>
      <c r="AB147" s="66">
        <v>21</v>
      </c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17</v>
      </c>
      <c r="AQ147" s="68">
        <f t="shared" si="12"/>
        <v>22.28235294117647</v>
      </c>
      <c r="AR147" s="68">
        <f>IFERROR(VLOOKUP(A147,Climatologia_TMAX!A:U,9+$E$2,FALSE),"")</f>
        <v>23.05814951651158</v>
      </c>
      <c r="AS147" s="68">
        <f t="shared" si="13"/>
        <v>-0.77579657533511082</v>
      </c>
      <c r="AT147" s="74">
        <f t="shared" si="14"/>
        <v>24.6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-3.1999999999999993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>
        <v>26.4</v>
      </c>
      <c r="W148" s="66">
        <v>27.2</v>
      </c>
      <c r="X148" s="66">
        <v>27.2</v>
      </c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13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>
        <v>34.6</v>
      </c>
      <c r="W151" s="66">
        <v>34</v>
      </c>
      <c r="X151" s="66">
        <v>34</v>
      </c>
      <c r="Y151" s="66">
        <v>35</v>
      </c>
      <c r="Z151" s="66">
        <v>34.799999999999997</v>
      </c>
      <c r="AA151" s="66">
        <v>35.200000000000003</v>
      </c>
      <c r="AB151" s="66">
        <v>35</v>
      </c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15</v>
      </c>
      <c r="AQ151" s="68">
        <f t="shared" si="12"/>
        <v>34.506666666666668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>
        <v>23</v>
      </c>
      <c r="W153" s="66">
        <v>20</v>
      </c>
      <c r="X153" s="66">
        <v>21.8</v>
      </c>
      <c r="Y153" s="66">
        <v>21.2</v>
      </c>
      <c r="Z153" s="66">
        <v>20.8</v>
      </c>
      <c r="AA153" s="66">
        <v>20.6</v>
      </c>
      <c r="AB153" s="66">
        <v>21.2</v>
      </c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18</v>
      </c>
      <c r="AQ153" s="68">
        <f t="shared" si="12"/>
        <v>20.711111111111116</v>
      </c>
      <c r="AR153" s="68">
        <f>IFERROR(VLOOKUP(A153,Climatologia_TMAX!A:U,9+$E$2,FALSE),"")</f>
        <v>18.093990147783249</v>
      </c>
      <c r="AS153" s="68">
        <f t="shared" si="13"/>
        <v>2.6171209633278671</v>
      </c>
      <c r="AT153" s="74">
        <f t="shared" si="14"/>
        <v>23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>
        <v>20.2</v>
      </c>
      <c r="W154" s="66">
        <v>17</v>
      </c>
      <c r="X154" s="66">
        <v>19.600000000000001</v>
      </c>
      <c r="Y154" s="66">
        <v>20.2</v>
      </c>
      <c r="Z154" s="66">
        <v>17.2</v>
      </c>
      <c r="AA154" s="66">
        <v>17.600000000000001</v>
      </c>
      <c r="AB154" s="66">
        <v>19</v>
      </c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18</v>
      </c>
      <c r="AQ154" s="68">
        <f t="shared" si="12"/>
        <v>18.43333333333333</v>
      </c>
      <c r="AR154" s="68">
        <f>IFERROR(VLOOKUP(A154,Climatologia_TMAX!A:U,9+$E$2,FALSE),"")</f>
        <v>18.64260102992246</v>
      </c>
      <c r="AS154" s="68">
        <f t="shared" si="13"/>
        <v>-0.20926769658913003</v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>
        <v>23.4</v>
      </c>
      <c r="W156" s="66">
        <v>21</v>
      </c>
      <c r="X156" s="66">
        <v>22.4</v>
      </c>
      <c r="Y156" s="66">
        <v>23</v>
      </c>
      <c r="Z156" s="66">
        <v>21</v>
      </c>
      <c r="AA156" s="66">
        <v>20.399999999999999</v>
      </c>
      <c r="AB156" s="66">
        <v>20</v>
      </c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18</v>
      </c>
      <c r="AQ156" s="68">
        <f t="shared" si="12"/>
        <v>20.944444444444443</v>
      </c>
      <c r="AR156" s="68">
        <f>IFERROR(VLOOKUP(A156,Climatologia_TMAX!A:U,9+$E$2,FALSE),"")</f>
        <v>21.040558620689659</v>
      </c>
      <c r="AS156" s="68">
        <f t="shared" si="13"/>
        <v>-9.6114176245215788E-2</v>
      </c>
      <c r="AT156" s="74">
        <f t="shared" si="14"/>
        <v>23.4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-1.8000000000000007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>
        <v>25.8</v>
      </c>
      <c r="W158" s="66">
        <v>24.4</v>
      </c>
      <c r="X158" s="66">
        <v>25</v>
      </c>
      <c r="Y158" s="66">
        <v>25.2</v>
      </c>
      <c r="Z158" s="66">
        <v>22</v>
      </c>
      <c r="AA158" s="66">
        <v>21</v>
      </c>
      <c r="AB158" s="66">
        <v>22.4</v>
      </c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18</v>
      </c>
      <c r="AQ158" s="68">
        <f t="shared" si="12"/>
        <v>23.511111111111106</v>
      </c>
      <c r="AR158" s="68">
        <f>IFERROR(VLOOKUP(A158,Climatologia_TMAX!A:U,9+$E$2,FALSE),"")</f>
        <v>23.69400067733557</v>
      </c>
      <c r="AS158" s="68">
        <f t="shared" si="13"/>
        <v>-0.18288956622446406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-3.8000000000000007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>
        <v>32.200000000000003</v>
      </c>
      <c r="W160" s="66">
        <v>31.8</v>
      </c>
      <c r="X160" s="66">
        <v>32.4</v>
      </c>
      <c r="Y160" s="66">
        <v>31.8</v>
      </c>
      <c r="Z160" s="66">
        <v>32</v>
      </c>
      <c r="AA160" s="66">
        <v>31.8</v>
      </c>
      <c r="AB160" s="66">
        <v>31.6</v>
      </c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18</v>
      </c>
      <c r="AQ160" s="68">
        <f t="shared" si="12"/>
        <v>31.544444444444441</v>
      </c>
      <c r="AR160" s="68">
        <f>IFERROR(VLOOKUP(A160,Climatologia_TMAX!A:U,9+$E$2,FALSE),"")</f>
        <v>29.810556198187779</v>
      </c>
      <c r="AS160" s="68">
        <f t="shared" si="13"/>
        <v>1.7338882462566616</v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>
        <v>19</v>
      </c>
      <c r="W164" s="66">
        <v>18</v>
      </c>
      <c r="X164" s="66">
        <v>17.600000000000001</v>
      </c>
      <c r="Y164" s="66">
        <v>18.399999999999999</v>
      </c>
      <c r="Z164" s="66">
        <v>18.600000000000001</v>
      </c>
      <c r="AA164" s="66">
        <v>19.600000000000001</v>
      </c>
      <c r="AB164" s="66">
        <v>17.2</v>
      </c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18</v>
      </c>
      <c r="AQ164" s="68">
        <f t="shared" si="12"/>
        <v>18.344444444444449</v>
      </c>
      <c r="AR164" s="68">
        <f>IFERROR(VLOOKUP(A164,Climatologia_TMAX!A:U,9+$E$2,FALSE),"")</f>
        <v>17.33622330219147</v>
      </c>
      <c r="AS164" s="68">
        <f t="shared" si="13"/>
        <v>1.0082211422529781</v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>
        <v>13.6</v>
      </c>
      <c r="W165" s="66">
        <v>13</v>
      </c>
      <c r="X165" s="66">
        <v>14</v>
      </c>
      <c r="Y165" s="66">
        <v>14.6</v>
      </c>
      <c r="Z165" s="66">
        <v>15</v>
      </c>
      <c r="AA165" s="66">
        <v>15.2</v>
      </c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16</v>
      </c>
      <c r="AQ165" s="68">
        <f t="shared" si="12"/>
        <v>14.624999999999998</v>
      </c>
      <c r="AR165" s="68">
        <f>IFERROR(VLOOKUP(A165,Climatologia_TMAX!A:U,9+$E$2,FALSE),"")</f>
        <v>13.83966666666667</v>
      </c>
      <c r="AS165" s="68">
        <f t="shared" si="13"/>
        <v>0.78533333333332855</v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>
        <v>15</v>
      </c>
      <c r="W166" s="66">
        <v>16.399999999999999</v>
      </c>
      <c r="X166" s="66">
        <v>17.2</v>
      </c>
      <c r="Y166" s="66">
        <v>16.399999999999999</v>
      </c>
      <c r="Z166" s="66">
        <v>14.4</v>
      </c>
      <c r="AA166" s="66">
        <v>16</v>
      </c>
      <c r="AB166" s="66">
        <v>15.4</v>
      </c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18</v>
      </c>
      <c r="AQ166" s="68">
        <f t="shared" si="12"/>
        <v>15.777777777777779</v>
      </c>
      <c r="AR166" s="68">
        <f>IFERROR(VLOOKUP(A166,Climatologia_TMAX!A:U,9+$E$2,FALSE),"")</f>
        <v>15.254814574724669</v>
      </c>
      <c r="AS166" s="68">
        <f t="shared" si="13"/>
        <v>0.52296320305310928</v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>
        <v>18.2</v>
      </c>
      <c r="W167" s="66">
        <v>16.8</v>
      </c>
      <c r="X167" s="66">
        <v>18.2</v>
      </c>
      <c r="Y167" s="66">
        <v>16.399999999999999</v>
      </c>
      <c r="Z167" s="66">
        <v>17.8</v>
      </c>
      <c r="AA167" s="66">
        <v>17</v>
      </c>
      <c r="AB167" s="66">
        <v>18.2</v>
      </c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18</v>
      </c>
      <c r="AQ167" s="68">
        <f t="shared" si="12"/>
        <v>17.633333333333333</v>
      </c>
      <c r="AR167" s="68">
        <f>IFERROR(VLOOKUP(A167,Climatologia_TMAX!A:U,9+$E$2,FALSE),"")</f>
        <v>16.18561379310345</v>
      </c>
      <c r="AS167" s="68">
        <f t="shared" si="13"/>
        <v>1.4477195402298833</v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>
        <v>23.8</v>
      </c>
      <c r="W168" s="66">
        <v>22.6</v>
      </c>
      <c r="X168" s="66">
        <v>22.2</v>
      </c>
      <c r="Y168" s="66">
        <v>23.2</v>
      </c>
      <c r="Z168" s="66">
        <v>22.6</v>
      </c>
      <c r="AA168" s="66">
        <v>22.6</v>
      </c>
      <c r="AB168" s="66">
        <v>21.2</v>
      </c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18</v>
      </c>
      <c r="AQ168" s="68">
        <f t="shared" si="12"/>
        <v>22.888888888888893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>
        <v>25.8</v>
      </c>
      <c r="W172" s="66">
        <v>26</v>
      </c>
      <c r="X172" s="66">
        <v>24</v>
      </c>
      <c r="Y172" s="66">
        <v>24.6</v>
      </c>
      <c r="Z172" s="66">
        <v>24.4</v>
      </c>
      <c r="AA172" s="66">
        <v>23.6</v>
      </c>
      <c r="AB172" s="66">
        <v>24.4</v>
      </c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18</v>
      </c>
      <c r="AQ172" s="68">
        <f t="shared" si="12"/>
        <v>24.366666666666664</v>
      </c>
      <c r="AR172" s="68">
        <f>IFERROR(VLOOKUP(A172,Climatologia_TMAX!A:U,9+$E$2,FALSE),"")</f>
        <v>21.815994501380949</v>
      </c>
      <c r="AS172" s="68">
        <f t="shared" si="13"/>
        <v>2.5506721652857145</v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>
        <v>16.600000000000001</v>
      </c>
      <c r="W173" s="66">
        <v>22.6</v>
      </c>
      <c r="X173" s="66">
        <v>21</v>
      </c>
      <c r="Y173" s="66">
        <v>20.399999999999999</v>
      </c>
      <c r="Z173" s="66">
        <v>18.2</v>
      </c>
      <c r="AA173" s="66">
        <v>21.6</v>
      </c>
      <c r="AB173" s="66">
        <v>19</v>
      </c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18</v>
      </c>
      <c r="AQ173" s="68">
        <f t="shared" si="12"/>
        <v>20.077777777777776</v>
      </c>
      <c r="AR173" s="68">
        <f>IFERROR(VLOOKUP(A173,Climatologia_TMAX!A:U,9+$E$2,FALSE),"")</f>
        <v>20.099785014899961</v>
      </c>
      <c r="AS173" s="68">
        <f t="shared" si="13"/>
        <v>-2.200723712218533E-2</v>
      </c>
      <c r="AT173" s="74">
        <f t="shared" si="14"/>
        <v>22.6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-2.5999999999999979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>
        <v>20.399999999999999</v>
      </c>
      <c r="W175" s="66">
        <v>18.600000000000001</v>
      </c>
      <c r="X175" s="66">
        <v>17.8</v>
      </c>
      <c r="Y175" s="66">
        <v>18.399999999999999</v>
      </c>
      <c r="Z175" s="66">
        <v>19.2</v>
      </c>
      <c r="AA175" s="66">
        <v>19.2</v>
      </c>
      <c r="AB175" s="66">
        <v>18.2</v>
      </c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18</v>
      </c>
      <c r="AQ175" s="68">
        <f t="shared" si="12"/>
        <v>18.855555555555551</v>
      </c>
      <c r="AR175" s="68">
        <f>IFERROR(VLOOKUP(A175,Climatologia_TMAX!A:U,9+$E$2,FALSE),"")</f>
        <v>17.642557374659329</v>
      </c>
      <c r="AS175" s="68">
        <f t="shared" si="13"/>
        <v>1.2129981808962214</v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>
        <v>21.9</v>
      </c>
      <c r="W176" s="66">
        <v>20.7</v>
      </c>
      <c r="X176" s="66">
        <v>21.2</v>
      </c>
      <c r="Y176" s="66">
        <v>21.4</v>
      </c>
      <c r="Z176" s="66">
        <v>19.899999999999999</v>
      </c>
      <c r="AA176" s="66">
        <v>21.8</v>
      </c>
      <c r="AB176" s="66">
        <v>20.399999999999999</v>
      </c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18</v>
      </c>
      <c r="AQ176" s="68">
        <f t="shared" si="12"/>
        <v>20.844444444444441</v>
      </c>
      <c r="AR176" s="68">
        <f>IFERROR(VLOOKUP(A176,Climatologia_TMAX!A:U,9+$E$2,FALSE),"")</f>
        <v>19.335880952380951</v>
      </c>
      <c r="AS176" s="68">
        <f t="shared" si="13"/>
        <v>1.5085634920634909</v>
      </c>
      <c r="AT176" s="74">
        <f t="shared" si="14"/>
        <v>22.5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-0.5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>
        <v>27.2</v>
      </c>
      <c r="W180" s="66">
        <v>26.4</v>
      </c>
      <c r="X180" s="66">
        <v>26.4</v>
      </c>
      <c r="Y180" s="66">
        <v>25.4</v>
      </c>
      <c r="Z180" s="66">
        <v>24.4</v>
      </c>
      <c r="AA180" s="66">
        <v>27.2</v>
      </c>
      <c r="AB180" s="66">
        <v>24.6</v>
      </c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18</v>
      </c>
      <c r="AQ180" s="68">
        <f t="shared" si="12"/>
        <v>25.766666666666666</v>
      </c>
      <c r="AR180" s="68">
        <f>IFERROR(VLOOKUP(A180,Climatologia_TMAX!A:U,9+$E$2,FALSE),"")</f>
        <v>22.8164890530925</v>
      </c>
      <c r="AS180" s="68">
        <f t="shared" si="13"/>
        <v>2.9501776135741657</v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>
        <v>20.399999999999999</v>
      </c>
      <c r="W181" s="66">
        <v>20</v>
      </c>
      <c r="X181" s="66">
        <v>19.399999999999999</v>
      </c>
      <c r="Y181" s="66">
        <v>19.2</v>
      </c>
      <c r="Z181" s="66">
        <v>18</v>
      </c>
      <c r="AA181" s="66">
        <v>17.2</v>
      </c>
      <c r="AB181" s="66">
        <v>19</v>
      </c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16</v>
      </c>
      <c r="AQ181" s="68">
        <f t="shared" si="12"/>
        <v>19.387499999999999</v>
      </c>
      <c r="AR181" s="68">
        <f>IFERROR(VLOOKUP(A181,Climatologia_TMAX!A:U,9+$E$2,FALSE),"")</f>
        <v>18.29491428068123</v>
      </c>
      <c r="AS181" s="68">
        <f t="shared" si="13"/>
        <v>1.0925857193187696</v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>
        <v>29</v>
      </c>
      <c r="W182" s="66">
        <v>29.4</v>
      </c>
      <c r="X182" s="66">
        <v>28.2</v>
      </c>
      <c r="Y182" s="66">
        <v>29</v>
      </c>
      <c r="Z182" s="66">
        <v>29.2</v>
      </c>
      <c r="AA182" s="66">
        <v>29.6</v>
      </c>
      <c r="AB182" s="66">
        <v>28.8</v>
      </c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18</v>
      </c>
      <c r="AQ182" s="68">
        <f t="shared" si="12"/>
        <v>28.37777777777778</v>
      </c>
      <c r="AR182" s="68">
        <f>IFERROR(VLOOKUP(A182,Climatologia_TMAX!A:U,9+$E$2,FALSE),"")</f>
        <v>24.92273106468112</v>
      </c>
      <c r="AS182" s="68">
        <f t="shared" si="13"/>
        <v>3.4550467130966602</v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>
        <v>33.200000000000003</v>
      </c>
      <c r="W183" s="66">
        <v>31.8</v>
      </c>
      <c r="X183" s="66">
        <v>29.6</v>
      </c>
      <c r="Y183" s="66">
        <v>31.4</v>
      </c>
      <c r="Z183" s="66">
        <v>29.2</v>
      </c>
      <c r="AA183" s="66">
        <v>31.8</v>
      </c>
      <c r="AB183" s="66">
        <v>30.4</v>
      </c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18</v>
      </c>
      <c r="AQ183" s="68">
        <f t="shared" si="12"/>
        <v>30.86666666666666</v>
      </c>
      <c r="AR183" s="68">
        <f>IFERROR(VLOOKUP(A183,Climatologia_TMAX!A:U,9+$E$2,FALSE),"")</f>
        <v>27.352242768241581</v>
      </c>
      <c r="AS183" s="68">
        <f t="shared" si="13"/>
        <v>3.5144238984250791</v>
      </c>
      <c r="AT183" s="74">
        <f t="shared" si="14"/>
        <v>33.200000000000003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0.80000000000000426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>
        <v>17.8</v>
      </c>
      <c r="W184" s="66">
        <v>17.600000000000001</v>
      </c>
      <c r="X184" s="66">
        <v>17.399999999999999</v>
      </c>
      <c r="Y184" s="66">
        <v>17</v>
      </c>
      <c r="Z184" s="66">
        <v>15.8</v>
      </c>
      <c r="AA184" s="66">
        <v>17.8</v>
      </c>
      <c r="AB184" s="66">
        <v>17.2</v>
      </c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18</v>
      </c>
      <c r="AQ184" s="68">
        <f t="shared" si="12"/>
        <v>16.766666666666666</v>
      </c>
      <c r="AR184" s="68">
        <f>IFERROR(VLOOKUP(A184,Climatologia_TMAX!A:U,9+$E$2,FALSE),"")</f>
        <v>15.3996091954023</v>
      </c>
      <c r="AS184" s="68">
        <f t="shared" si="13"/>
        <v>1.3670574712643653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>
        <v>25.4</v>
      </c>
      <c r="W185" s="66">
        <v>31.8</v>
      </c>
      <c r="X185" s="66">
        <v>33.799999999999997</v>
      </c>
      <c r="Y185" s="66">
        <v>33.4</v>
      </c>
      <c r="Z185" s="66">
        <v>32.6</v>
      </c>
      <c r="AA185" s="66">
        <v>33.4</v>
      </c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17</v>
      </c>
      <c r="AQ185" s="68">
        <f t="shared" si="12"/>
        <v>31.141176470588235</v>
      </c>
      <c r="AR185" s="68">
        <f>IFERROR(VLOOKUP(A185,Climatologia_TMAX!A:U,9+$E$2,FALSE),"")</f>
        <v>27.69362790770483</v>
      </c>
      <c r="AS185" s="68">
        <f t="shared" si="13"/>
        <v>3.4475485628834051</v>
      </c>
      <c r="AT185" s="74">
        <f t="shared" si="14"/>
        <v>33.799999999999997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1.7999999999999972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>
        <v>28.8</v>
      </c>
      <c r="W186" s="66">
        <v>28.8</v>
      </c>
      <c r="X186" s="66">
        <v>31.8</v>
      </c>
      <c r="Y186" s="66">
        <v>30.4</v>
      </c>
      <c r="Z186" s="66">
        <v>29.8</v>
      </c>
      <c r="AA186" s="66">
        <v>30</v>
      </c>
      <c r="AB186" s="66">
        <v>30.2</v>
      </c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18</v>
      </c>
      <c r="AQ186" s="68">
        <f t="shared" si="12"/>
        <v>30.033333333333335</v>
      </c>
      <c r="AR186" s="68">
        <f>IFERROR(VLOOKUP(A186,Climatologia_TMAX!A:U,9+$E$2,FALSE),"")</f>
        <v>27.282753147235908</v>
      </c>
      <c r="AS186" s="68">
        <f t="shared" si="13"/>
        <v>2.7505801860974266</v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>
        <v>27.6</v>
      </c>
      <c r="W187" s="66">
        <v>25.2</v>
      </c>
      <c r="X187" s="66">
        <v>28.4</v>
      </c>
      <c r="Y187" s="66">
        <v>28.2</v>
      </c>
      <c r="Z187" s="66">
        <v>27.6</v>
      </c>
      <c r="AA187" s="66">
        <v>30.2</v>
      </c>
      <c r="AB187" s="66">
        <v>29.8</v>
      </c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18</v>
      </c>
      <c r="AQ187" s="68">
        <f t="shared" si="12"/>
        <v>27.722222222222218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30.2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1.8000000000000007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>
        <v>14.6</v>
      </c>
      <c r="W188" s="66">
        <v>12.8</v>
      </c>
      <c r="X188" s="66">
        <v>13.8</v>
      </c>
      <c r="Y188" s="66">
        <v>14.6</v>
      </c>
      <c r="Z188" s="66">
        <v>13</v>
      </c>
      <c r="AA188" s="66">
        <v>13.2</v>
      </c>
      <c r="AB188" s="66">
        <v>12.2</v>
      </c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18</v>
      </c>
      <c r="AQ188" s="68">
        <f t="shared" si="12"/>
        <v>12.933333333333332</v>
      </c>
      <c r="AR188" s="68">
        <f>IFERROR(VLOOKUP(A188,Climatologia_TMAX!A:U,9+$E$2,FALSE),"")</f>
        <v>13.71344968140675</v>
      </c>
      <c r="AS188" s="68">
        <f t="shared" si="13"/>
        <v>-0.78011634807341856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>
        <v>36.6</v>
      </c>
      <c r="W191" s="66">
        <v>32.6</v>
      </c>
      <c r="X191" s="66">
        <v>37</v>
      </c>
      <c r="Y191" s="66">
        <v>37.799999999999997</v>
      </c>
      <c r="Z191" s="66">
        <v>36.6</v>
      </c>
      <c r="AA191" s="66">
        <v>35.6</v>
      </c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17</v>
      </c>
      <c r="AQ191" s="68">
        <f t="shared" si="12"/>
        <v>36.341176470588238</v>
      </c>
      <c r="AR191" s="68">
        <f>IFERROR(VLOOKUP(A191,Climatologia_TMAX!A:U,9+$E$2,FALSE),"")</f>
        <v>34.685813415236723</v>
      </c>
      <c r="AS191" s="68">
        <f t="shared" si="13"/>
        <v>1.6553630553515148</v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-2.2000000000000028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>
        <v>30.6</v>
      </c>
      <c r="W192" s="66">
        <v>28</v>
      </c>
      <c r="X192" s="66">
        <v>33.200000000000003</v>
      </c>
      <c r="Y192" s="66">
        <v>32.799999999999997</v>
      </c>
      <c r="Z192" s="66">
        <v>33</v>
      </c>
      <c r="AA192" s="66">
        <v>33.6</v>
      </c>
      <c r="AB192" s="66">
        <v>32.200000000000003</v>
      </c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18</v>
      </c>
      <c r="AQ192" s="68">
        <f t="shared" si="12"/>
        <v>31.533333333333335</v>
      </c>
      <c r="AR192" s="68">
        <f>IFERROR(VLOOKUP(A192,Climatologia_TMAX!A:U,9+$E$2,FALSE),"")</f>
        <v>30.4095652173913</v>
      </c>
      <c r="AS192" s="68">
        <f t="shared" si="13"/>
        <v>1.1237681159420347</v>
      </c>
      <c r="AT192" s="74">
        <f t="shared" si="14"/>
        <v>33.6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-0.60000000000000142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3">
        <v>34.200000000000003</v>
      </c>
      <c r="V193" s="66">
        <v>36</v>
      </c>
      <c r="W193" s="66">
        <v>32.4</v>
      </c>
      <c r="X193" s="66">
        <v>36.6</v>
      </c>
      <c r="Y193" s="66">
        <v>36.200000000000003</v>
      </c>
      <c r="Z193" s="66">
        <v>33</v>
      </c>
      <c r="AA193" s="66">
        <v>35.6</v>
      </c>
      <c r="AB193" s="66">
        <v>34.799999999999997</v>
      </c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18</v>
      </c>
      <c r="AQ193" s="68">
        <f t="shared" si="12"/>
        <v>35.1</v>
      </c>
      <c r="AR193" s="68">
        <f>IFERROR(VLOOKUP(A193,Climatologia_TMAX!A:U,9+$E$2,FALSE),"")</f>
        <v>32.380779918578327</v>
      </c>
      <c r="AS193" s="68">
        <f t="shared" si="13"/>
        <v>2.7192200814216747</v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>
        <v>37</v>
      </c>
      <c r="W194" s="66">
        <v>33.6</v>
      </c>
      <c r="X194" s="66">
        <v>37.4</v>
      </c>
      <c r="Y194" s="66">
        <v>36.6</v>
      </c>
      <c r="Z194" s="66">
        <v>36</v>
      </c>
      <c r="AA194" s="66">
        <v>37</v>
      </c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17</v>
      </c>
      <c r="AQ194" s="68">
        <f t="shared" si="12"/>
        <v>36.047058823529412</v>
      </c>
      <c r="AR194" s="68">
        <f>IFERROR(VLOOKUP(A194,Climatologia_TMAX!A:U,9+$E$2,FALSE),"")</f>
        <v>33.541315599343193</v>
      </c>
      <c r="AS194" s="68">
        <f t="shared" si="13"/>
        <v>2.5057432241862188</v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>
        <v>35.200000000000003</v>
      </c>
      <c r="V197" s="66">
        <v>36.6</v>
      </c>
      <c r="W197" s="66">
        <v>34.799999999999997</v>
      </c>
      <c r="X197" s="66">
        <v>37.200000000000003</v>
      </c>
      <c r="Y197" s="66">
        <v>37</v>
      </c>
      <c r="Z197" s="66">
        <v>33.200000000000003</v>
      </c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15</v>
      </c>
      <c r="AQ197" s="68">
        <f t="shared" ref="AQ197:AQ260" si="17">IF(AP197&gt;14,AVERAGE(K197:AO197),"")</f>
        <v>36.440000000000005</v>
      </c>
      <c r="AR197" s="68">
        <f>IFERROR(VLOOKUP(A197,Climatologia_TMAX!A:U,9+$E$2,FALSE),"")</f>
        <v>32.992364601630797</v>
      </c>
      <c r="AS197" s="68">
        <f t="shared" ref="AS197:AS260" si="18">IF(OR(AQ197="",AR197=""),"",IFERROR(AQ197-AR197,""))</f>
        <v>3.4476353983692078</v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>
        <v>36.4</v>
      </c>
      <c r="W199" s="66">
        <v>33.6</v>
      </c>
      <c r="X199" s="66">
        <v>36</v>
      </c>
      <c r="Y199" s="66">
        <v>35.200000000000003</v>
      </c>
      <c r="Z199" s="66">
        <v>34.799999999999997</v>
      </c>
      <c r="AA199" s="66">
        <v>36</v>
      </c>
      <c r="AB199" s="66">
        <v>37.200000000000003</v>
      </c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18</v>
      </c>
      <c r="AQ199" s="68">
        <f t="shared" si="17"/>
        <v>35.599999999999994</v>
      </c>
      <c r="AR199" s="68">
        <f>IFERROR(VLOOKUP(A199,Climatologia_TMAX!A:U,9+$E$2,FALSE),"")</f>
        <v>32.209496897641714</v>
      </c>
      <c r="AS199" s="68">
        <f t="shared" si="18"/>
        <v>3.3905031023582808</v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>
        <v>19</v>
      </c>
      <c r="W200" s="66">
        <v>17.8</v>
      </c>
      <c r="X200" s="66">
        <v>19</v>
      </c>
      <c r="Y200" s="66">
        <v>19.2</v>
      </c>
      <c r="Z200" s="66">
        <v>18</v>
      </c>
      <c r="AA200" s="66">
        <v>19.2</v>
      </c>
      <c r="AB200" s="66">
        <v>19.399999999999999</v>
      </c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18</v>
      </c>
      <c r="AQ200" s="68">
        <f t="shared" si="17"/>
        <v>18.866666666666667</v>
      </c>
      <c r="AR200" s="68">
        <f>IFERROR(VLOOKUP(A200,Climatologia_TMAX!A:U,9+$E$2,FALSE),"")</f>
        <v>17.974891443167309</v>
      </c>
      <c r="AS200" s="68">
        <f t="shared" si="18"/>
        <v>0.89177522349935856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>
        <v>22.2</v>
      </c>
      <c r="W203" s="66">
        <v>19.2</v>
      </c>
      <c r="X203" s="66">
        <v>21.8</v>
      </c>
      <c r="Y203" s="66">
        <v>19.600000000000001</v>
      </c>
      <c r="Z203" s="66">
        <v>20</v>
      </c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16</v>
      </c>
      <c r="AQ203" s="68">
        <f t="shared" si="17"/>
        <v>20.399999999999999</v>
      </c>
      <c r="AR203" s="68">
        <f>IFERROR(VLOOKUP(A203,Climatologia_TMAX!A:U,9+$E$2,FALSE),"")</f>
        <v>20.392161330049259</v>
      </c>
      <c r="AS203" s="68">
        <f t="shared" si="18"/>
        <v>7.838669950739785E-3</v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>
        <v>28.6</v>
      </c>
      <c r="W205" s="66">
        <v>26</v>
      </c>
      <c r="X205" s="66">
        <v>29</v>
      </c>
      <c r="Y205" s="66">
        <v>29</v>
      </c>
      <c r="Z205" s="66">
        <v>28.8</v>
      </c>
      <c r="AA205" s="66">
        <v>29</v>
      </c>
      <c r="AB205" s="66">
        <v>29.8</v>
      </c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18</v>
      </c>
      <c r="AQ205" s="68">
        <f t="shared" si="17"/>
        <v>28.177777777777781</v>
      </c>
      <c r="AR205" s="68">
        <f>IFERROR(VLOOKUP(A205,Climatologia_TMAX!A:U,9+$E$2,FALSE),"")</f>
        <v>26.57162068965517</v>
      </c>
      <c r="AS205" s="68">
        <f t="shared" si="18"/>
        <v>1.606157088122611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>
        <v>34.200000000000003</v>
      </c>
      <c r="W208" s="66">
        <v>32</v>
      </c>
      <c r="X208" s="66">
        <v>34.4</v>
      </c>
      <c r="Y208" s="66">
        <v>34.200000000000003</v>
      </c>
      <c r="Z208" s="66">
        <v>33.799999999999997</v>
      </c>
      <c r="AA208" s="66">
        <v>35.4</v>
      </c>
      <c r="AB208" s="66">
        <v>35</v>
      </c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18</v>
      </c>
      <c r="AQ208" s="68">
        <f t="shared" si="17"/>
        <v>33.883333333333326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>
        <v>23.8</v>
      </c>
      <c r="W209" s="66">
        <v>23</v>
      </c>
      <c r="X209" s="66">
        <v>25</v>
      </c>
      <c r="Y209" s="66">
        <v>26.8</v>
      </c>
      <c r="Z209" s="66">
        <v>26</v>
      </c>
      <c r="AA209" s="66">
        <v>25.2</v>
      </c>
      <c r="AB209" s="66">
        <v>26.4</v>
      </c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18</v>
      </c>
      <c r="AQ209" s="68">
        <f t="shared" si="17"/>
        <v>24.722222222222221</v>
      </c>
      <c r="AR209" s="68">
        <f>IFERROR(VLOOKUP(A209,Climatologia_TMAX!A:U,9+$E$2,FALSE),"")</f>
        <v>24.245733077905491</v>
      </c>
      <c r="AS209" s="68">
        <f t="shared" si="18"/>
        <v>0.47648914431673006</v>
      </c>
      <c r="AT209" s="74">
        <f t="shared" si="19"/>
        <v>26.8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-2.5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>
        <v>31.6</v>
      </c>
      <c r="W210" s="66">
        <v>28.4</v>
      </c>
      <c r="X210" s="66">
        <v>33</v>
      </c>
      <c r="Y210" s="66">
        <v>32.799999999999997</v>
      </c>
      <c r="Z210" s="66">
        <v>32</v>
      </c>
      <c r="AA210" s="66">
        <v>31.8</v>
      </c>
      <c r="AB210" s="66">
        <v>32</v>
      </c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18</v>
      </c>
      <c r="AQ210" s="68">
        <f t="shared" si="17"/>
        <v>31.355555555555554</v>
      </c>
      <c r="AR210" s="68">
        <f>IFERROR(VLOOKUP(A210,Climatologia_TMAX!A:U,9+$E$2,FALSE),"")</f>
        <v>29.646482393723769</v>
      </c>
      <c r="AS210" s="68">
        <f t="shared" si="18"/>
        <v>1.7090731618317854</v>
      </c>
      <c r="AT210" s="74">
        <f t="shared" si="19"/>
        <v>33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-1.7999999999999972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>
        <v>32</v>
      </c>
      <c r="W214" s="66">
        <v>29.4</v>
      </c>
      <c r="X214" s="66">
        <v>31.4</v>
      </c>
      <c r="Y214" s="66">
        <v>30.6</v>
      </c>
      <c r="Z214" s="66">
        <v>30.2</v>
      </c>
      <c r="AA214" s="66">
        <v>30</v>
      </c>
      <c r="AB214" s="66">
        <v>31.2</v>
      </c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18</v>
      </c>
      <c r="AQ214" s="68">
        <f t="shared" si="17"/>
        <v>30.311111111111114</v>
      </c>
      <c r="AR214" s="68">
        <f>IFERROR(VLOOKUP(A214,Climatologia_TMAX!A:U,9+$E$2,FALSE),"")</f>
        <v>29.972884729064042</v>
      </c>
      <c r="AS214" s="68">
        <f t="shared" si="18"/>
        <v>0.33822638204707189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>
        <v>28</v>
      </c>
      <c r="W216" s="66">
        <v>27.8</v>
      </c>
      <c r="X216" s="66">
        <v>28.8</v>
      </c>
      <c r="Y216" s="66">
        <v>28.2</v>
      </c>
      <c r="Z216" s="66">
        <v>27.6</v>
      </c>
      <c r="AA216" s="66">
        <v>30.2</v>
      </c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17</v>
      </c>
      <c r="AQ216" s="68">
        <f t="shared" si="17"/>
        <v>27.776470588235298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30.2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>
        <v>27.4</v>
      </c>
      <c r="W217" s="66">
        <v>27.2</v>
      </c>
      <c r="X217" s="66">
        <v>27.2</v>
      </c>
      <c r="Y217" s="66">
        <v>27.6</v>
      </c>
      <c r="Z217" s="66">
        <v>27.6</v>
      </c>
      <c r="AA217" s="66">
        <v>28.4</v>
      </c>
      <c r="AB217" s="66">
        <v>28.4</v>
      </c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18</v>
      </c>
      <c r="AQ217" s="68">
        <f t="shared" si="17"/>
        <v>26.999999999999996</v>
      </c>
      <c r="AR217" s="68">
        <f>IFERROR(VLOOKUP(A217,Climatologia_TMAX!A:U,9+$E$2,FALSE),"")</f>
        <v>23.75456916901744</v>
      </c>
      <c r="AS217" s="68">
        <f t="shared" si="18"/>
        <v>3.2454308309825564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0.59999999999999787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>
        <v>24.2</v>
      </c>
      <c r="W222" s="66">
        <v>24.4</v>
      </c>
      <c r="X222" s="66">
        <v>24</v>
      </c>
      <c r="Y222" s="66">
        <v>24</v>
      </c>
      <c r="Z222" s="66">
        <v>24</v>
      </c>
      <c r="AA222" s="109">
        <v>28.6</v>
      </c>
      <c r="AB222" s="66">
        <v>25</v>
      </c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18</v>
      </c>
      <c r="AQ222" s="68">
        <f t="shared" si="17"/>
        <v>24.388888888888889</v>
      </c>
      <c r="AR222" s="68">
        <f>IFERROR(VLOOKUP(A222,Climatologia_TMAX!A:U,9+$E$2,FALSE),"")</f>
        <v>22.364222333277809</v>
      </c>
      <c r="AS222" s="68">
        <f t="shared" si="18"/>
        <v>2.0246665556110806</v>
      </c>
      <c r="AT222" s="74">
        <f t="shared" si="19"/>
        <v>28.6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>
        <v>30</v>
      </c>
      <c r="V224" s="66">
        <v>34.200000000000003</v>
      </c>
      <c r="W224" s="66">
        <v>33.200000000000003</v>
      </c>
      <c r="X224" s="66"/>
      <c r="Y224" s="66">
        <v>34</v>
      </c>
      <c r="Z224" s="66">
        <v>33</v>
      </c>
      <c r="AA224" s="66">
        <v>35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16</v>
      </c>
      <c r="AQ224" s="68">
        <f t="shared" si="17"/>
        <v>33.53125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/>
      <c r="X229" s="66">
        <v>31.8</v>
      </c>
      <c r="Y229" s="66"/>
      <c r="Z229" s="66">
        <v>34.4</v>
      </c>
      <c r="AA229" s="66">
        <v>35.200000000000003</v>
      </c>
      <c r="AB229" s="66">
        <v>33.4</v>
      </c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5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>
        <f t="shared" si="19"/>
        <v>35.200000000000003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-1.7999999999999972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>
        <v>32.6</v>
      </c>
      <c r="W231" s="66">
        <v>33.6</v>
      </c>
      <c r="X231" s="66">
        <v>32.6</v>
      </c>
      <c r="Y231" s="66">
        <v>34</v>
      </c>
      <c r="Z231" s="66">
        <v>33.4</v>
      </c>
      <c r="AA231" s="109">
        <v>34.799999999999997</v>
      </c>
      <c r="AB231" s="66">
        <v>33.6</v>
      </c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18</v>
      </c>
      <c r="AQ231" s="68">
        <f t="shared" si="17"/>
        <v>33.122222222222227</v>
      </c>
      <c r="AR231" s="68">
        <f>IFERROR(VLOOKUP(A231,Climatologia_TMAX!A:U,9+$E$2,FALSE),"")</f>
        <v>30.222298052824382</v>
      </c>
      <c r="AS231" s="68">
        <f t="shared" si="18"/>
        <v>2.8999241693978455</v>
      </c>
      <c r="AT231" s="74">
        <f t="shared" si="19"/>
        <v>34.799999999999997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0.59999999999999432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>
        <v>34.200000000000003</v>
      </c>
      <c r="W235" s="66">
        <v>33.200000000000003</v>
      </c>
      <c r="X235" s="66">
        <v>34</v>
      </c>
      <c r="Y235" s="66">
        <v>34</v>
      </c>
      <c r="Z235" s="66">
        <v>33</v>
      </c>
      <c r="AA235" s="109">
        <v>36.200000000000003</v>
      </c>
      <c r="AB235" s="66">
        <v>35</v>
      </c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18</v>
      </c>
      <c r="AQ235" s="68">
        <f t="shared" si="17"/>
        <v>33.188888888888897</v>
      </c>
      <c r="AR235" s="68">
        <f>IFERROR(VLOOKUP(A235,Climatologia_TMAX!A:U,9+$E$2,FALSE),"")</f>
        <v>30.25025408348457</v>
      </c>
      <c r="AS235" s="68">
        <f t="shared" si="18"/>
        <v>2.9386348054043268</v>
      </c>
      <c r="AT235" s="74">
        <f t="shared" si="19"/>
        <v>36.200000000000003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1.1000000000000014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>
        <v>31.4</v>
      </c>
      <c r="S238" s="66">
        <v>32.4</v>
      </c>
      <c r="T238" s="66">
        <v>32.4</v>
      </c>
      <c r="U238" s="66">
        <v>30.2</v>
      </c>
      <c r="V238" s="66"/>
      <c r="W238" s="66">
        <v>32.4</v>
      </c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9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>
        <v>30</v>
      </c>
      <c r="W244" s="66">
        <v>30</v>
      </c>
      <c r="X244" s="66">
        <v>32</v>
      </c>
      <c r="Y244" s="66">
        <v>32</v>
      </c>
      <c r="Z244" s="66">
        <v>28.2</v>
      </c>
      <c r="AA244" s="66">
        <v>30</v>
      </c>
      <c r="AB244" s="66">
        <v>30.2</v>
      </c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16</v>
      </c>
      <c r="AQ244" s="68">
        <f t="shared" si="17"/>
        <v>29.674999999999997</v>
      </c>
      <c r="AR244" s="68">
        <f>IFERROR(VLOOKUP(A244,Climatologia_TMAX!A:U,9+$E$2,FALSE),"")</f>
        <v>25.891908045977011</v>
      </c>
      <c r="AS244" s="68">
        <f t="shared" si="18"/>
        <v>3.7830919540229857</v>
      </c>
      <c r="AT244" s="74">
        <f t="shared" si="19"/>
        <v>32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0.19999999999999929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>
        <v>34.6</v>
      </c>
      <c r="W246" s="66">
        <v>34.200000000000003</v>
      </c>
      <c r="X246" s="66">
        <v>35.4</v>
      </c>
      <c r="Y246" s="66">
        <v>35.200000000000003</v>
      </c>
      <c r="Z246" s="66">
        <v>31.6</v>
      </c>
      <c r="AA246" s="66">
        <v>35.6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16</v>
      </c>
      <c r="AQ246" s="68">
        <f t="shared" si="17"/>
        <v>34.024999999999999</v>
      </c>
      <c r="AR246" s="68">
        <f>IFERROR(VLOOKUP(A246,Climatologia_TMAX!A:U,9+$E$2,FALSE),"")</f>
        <v>29.700592680671161</v>
      </c>
      <c r="AS246" s="68">
        <f t="shared" si="18"/>
        <v>4.3244073193288379</v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>
        <v>39.200000000000003</v>
      </c>
      <c r="W247" s="66">
        <v>38.200000000000003</v>
      </c>
      <c r="X247" s="66">
        <v>39.200000000000003</v>
      </c>
      <c r="Y247" s="66">
        <v>39.6</v>
      </c>
      <c r="Z247" s="66">
        <v>36.4</v>
      </c>
      <c r="AA247" s="66">
        <v>39.200000000000003</v>
      </c>
      <c r="AB247" s="66">
        <v>41</v>
      </c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18</v>
      </c>
      <c r="AQ247" s="68">
        <f t="shared" si="17"/>
        <v>38.099999999999994</v>
      </c>
      <c r="AR247" s="68">
        <f>IFERROR(VLOOKUP(A247,Climatologia_TMAX!A:U,9+$E$2,FALSE),"")</f>
        <v>35.267343185550082</v>
      </c>
      <c r="AS247" s="68">
        <f t="shared" si="18"/>
        <v>2.832656814449912</v>
      </c>
      <c r="AT247" s="74">
        <f t="shared" si="19"/>
        <v>41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>
        <v>39.6</v>
      </c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>
        <v>38.6</v>
      </c>
      <c r="W248" s="66">
        <v>37.6</v>
      </c>
      <c r="X248" s="66">
        <v>39</v>
      </c>
      <c r="Y248" s="66">
        <v>37.6</v>
      </c>
      <c r="Z248" s="66">
        <v>36.4</v>
      </c>
      <c r="AA248" s="66">
        <v>39.200000000000003</v>
      </c>
      <c r="AB248" s="66">
        <v>39.6</v>
      </c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18</v>
      </c>
      <c r="AQ248" s="68">
        <f t="shared" si="17"/>
        <v>37.788888888888899</v>
      </c>
      <c r="AR248" s="68">
        <f>IFERROR(VLOOKUP(A248,Climatologia_TMAX!A:U,9+$E$2,FALSE),"")</f>
        <v>33.731045299345787</v>
      </c>
      <c r="AS248" s="68">
        <f t="shared" si="18"/>
        <v>4.0578435895431113</v>
      </c>
      <c r="AT248" s="74">
        <f t="shared" si="19"/>
        <v>39.6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>
        <v>32.6</v>
      </c>
      <c r="W249" s="106">
        <v>31.4</v>
      </c>
      <c r="X249" s="66">
        <v>31</v>
      </c>
      <c r="Y249" s="106">
        <v>31.8</v>
      </c>
      <c r="Z249" s="66">
        <v>30.4</v>
      </c>
      <c r="AA249" s="66">
        <v>35.6</v>
      </c>
      <c r="AB249" s="66">
        <v>33.4</v>
      </c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18</v>
      </c>
      <c r="AQ249" s="68">
        <f t="shared" si="17"/>
        <v>32.12222222222222</v>
      </c>
      <c r="AR249" s="68">
        <f>IFERROR(VLOOKUP(A249,Climatologia_TMAX!A:U,9+$E$2,FALSE),"")</f>
        <v>31.849166666666662</v>
      </c>
      <c r="AS249" s="68">
        <f t="shared" si="18"/>
        <v>0.27305555555555827</v>
      </c>
      <c r="AT249" s="74">
        <f t="shared" si="19"/>
        <v>35.6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-1.3999999999999986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>
        <v>39.6</v>
      </c>
      <c r="W250" s="66">
        <v>38.4</v>
      </c>
      <c r="X250" s="66">
        <v>40.4</v>
      </c>
      <c r="Y250" s="66">
        <v>40</v>
      </c>
      <c r="Z250" s="66">
        <v>38</v>
      </c>
      <c r="AA250" s="66">
        <v>41.4</v>
      </c>
      <c r="AB250" s="66">
        <v>41.4</v>
      </c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16</v>
      </c>
      <c r="AQ250" s="68">
        <f t="shared" si="17"/>
        <v>39.125</v>
      </c>
      <c r="AR250" s="68">
        <f>IFERROR(VLOOKUP(A250,Climatologia_TMAX!A:U,9+$E$2,FALSE),"")</f>
        <v>35.703584328231692</v>
      </c>
      <c r="AS250" s="68">
        <f t="shared" si="18"/>
        <v>3.4214156717683082</v>
      </c>
      <c r="AT250" s="74">
        <f t="shared" si="19"/>
        <v>41.4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-0.39999999999999858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>
        <v>40</v>
      </c>
      <c r="W252" s="66">
        <v>39.799999999999997</v>
      </c>
      <c r="X252" s="66">
        <v>40.200000000000003</v>
      </c>
      <c r="Y252" s="66">
        <v>41</v>
      </c>
      <c r="Z252" s="66">
        <v>40.6</v>
      </c>
      <c r="AA252" s="66">
        <v>41.4</v>
      </c>
      <c r="AB252" s="66">
        <v>41.4</v>
      </c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18</v>
      </c>
      <c r="AQ252" s="68">
        <f t="shared" si="17"/>
        <v>39.544444444444444</v>
      </c>
      <c r="AR252" s="68">
        <f>IFERROR(VLOOKUP(A252,Climatologia_TMAX!A:U,9+$E$2,FALSE),"")</f>
        <v>34.670477410573667</v>
      </c>
      <c r="AS252" s="68">
        <f t="shared" si="18"/>
        <v>4.8739670338707768</v>
      </c>
      <c r="AT252" s="74">
        <f t="shared" si="19"/>
        <v>41.4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>
        <v>37.799999999999997</v>
      </c>
      <c r="W255" s="66">
        <v>35</v>
      </c>
      <c r="X255" s="66">
        <v>38.200000000000003</v>
      </c>
      <c r="Y255" s="66">
        <v>37.200000000000003</v>
      </c>
      <c r="Z255" s="66"/>
      <c r="AA255" s="66"/>
      <c r="AB255" s="66">
        <v>37.200000000000003</v>
      </c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16</v>
      </c>
      <c r="AQ255" s="68">
        <f t="shared" si="17"/>
        <v>37.100000000000009</v>
      </c>
      <c r="AR255" s="68">
        <f>IFERROR(VLOOKUP(A255,Climatologia_TMAX!A:U,9+$E$2,FALSE),"")</f>
        <v>33.242094712934822</v>
      </c>
      <c r="AS255" s="68">
        <f t="shared" si="18"/>
        <v>3.8579052870651864</v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>
        <v>26.4</v>
      </c>
      <c r="W258" s="66">
        <v>26.8</v>
      </c>
      <c r="X258" s="66">
        <v>27.4</v>
      </c>
      <c r="Y258" s="66">
        <v>26.2</v>
      </c>
      <c r="Z258" s="66">
        <v>23.6</v>
      </c>
      <c r="AA258" s="66">
        <v>27.8</v>
      </c>
      <c r="AB258" s="66">
        <v>27.6</v>
      </c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18</v>
      </c>
      <c r="AQ258" s="68">
        <f t="shared" si="17"/>
        <v>26.133333333333333</v>
      </c>
      <c r="AR258" s="68">
        <f>IFERROR(VLOOKUP(A258,Climatologia_TMAX!A:U,9+$E$2,FALSE),"")</f>
        <v>22.819631675276192</v>
      </c>
      <c r="AS258" s="68">
        <f t="shared" si="18"/>
        <v>3.3137016580571412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>
        <v>28.4</v>
      </c>
      <c r="W259" s="66">
        <v>27.6</v>
      </c>
      <c r="X259" s="66">
        <v>29.8</v>
      </c>
      <c r="Y259" s="66">
        <v>28.6</v>
      </c>
      <c r="Z259" s="66">
        <v>27.8</v>
      </c>
      <c r="AA259" s="66">
        <v>29.4</v>
      </c>
      <c r="AB259" s="66">
        <v>28.4</v>
      </c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18</v>
      </c>
      <c r="AQ259" s="68">
        <f t="shared" si="17"/>
        <v>27.93333333333333</v>
      </c>
      <c r="AR259" s="68">
        <f>IFERROR(VLOOKUP(A259,Climatologia_TMAX!A:U,9+$E$2,FALSE),"")</f>
        <v>27.28826717088787</v>
      </c>
      <c r="AS259" s="68">
        <f t="shared" si="18"/>
        <v>0.64506616244545967</v>
      </c>
      <c r="AT259" s="74">
        <f t="shared" si="19"/>
        <v>29.8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>
        <v>22.6</v>
      </c>
      <c r="W260" s="109">
        <v>21</v>
      </c>
      <c r="X260" s="66">
        <v>24</v>
      </c>
      <c r="Y260" s="66">
        <v>22</v>
      </c>
      <c r="Z260" s="66">
        <v>22</v>
      </c>
      <c r="AA260" s="66">
        <v>23.4</v>
      </c>
      <c r="AB260" s="66">
        <v>24</v>
      </c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18</v>
      </c>
      <c r="AQ260" s="68">
        <f t="shared" si="17"/>
        <v>22.4</v>
      </c>
      <c r="AR260" s="68">
        <f>IFERROR(VLOOKUP(A260,Climatologia_TMAX!A:U,9+$E$2,FALSE),"")</f>
        <v>18.65319922126082</v>
      </c>
      <c r="AS260" s="68">
        <f t="shared" si="18"/>
        <v>3.7468007787391784</v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>
        <v>37.6</v>
      </c>
      <c r="W261" s="66">
        <v>36.200000000000003</v>
      </c>
      <c r="X261" s="66">
        <v>38.4</v>
      </c>
      <c r="Y261" s="66">
        <v>37.6</v>
      </c>
      <c r="Z261" s="66">
        <v>36.4</v>
      </c>
      <c r="AA261" s="66">
        <v>37.4</v>
      </c>
      <c r="AB261" s="66">
        <v>38.6</v>
      </c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18</v>
      </c>
      <c r="AQ261" s="68">
        <f t="shared" ref="AQ261:AQ288" si="22">IF(AP261&gt;14,AVERAGE(K261:AO261),"")</f>
        <v>36.855555555555554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>
        <v>23.6</v>
      </c>
      <c r="W262" s="66">
        <v>22.2</v>
      </c>
      <c r="X262" s="66">
        <v>23.2</v>
      </c>
      <c r="Y262" s="66">
        <v>24.6</v>
      </c>
      <c r="Z262" s="66">
        <v>20.399999999999999</v>
      </c>
      <c r="AA262" s="66">
        <v>23.6</v>
      </c>
      <c r="AB262" s="66">
        <v>24.2</v>
      </c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18</v>
      </c>
      <c r="AQ262" s="68">
        <f t="shared" si="22"/>
        <v>23.144444444444446</v>
      </c>
      <c r="AR262" s="68">
        <f>IFERROR(VLOOKUP(A262,Climatologia_TMAX!A:U,9+$E$2,FALSE),"")</f>
        <v>20.946002371829959</v>
      </c>
      <c r="AS262" s="68">
        <f t="shared" si="23"/>
        <v>2.1984420726144869</v>
      </c>
      <c r="AT262" s="74">
        <f t="shared" si="24"/>
        <v>24.6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-0.79999999999999716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>
        <v>20.2</v>
      </c>
      <c r="X266" s="66">
        <v>19.600000000000001</v>
      </c>
      <c r="Y266" s="66">
        <v>19.2</v>
      </c>
      <c r="Z266" s="66">
        <v>18.600000000000001</v>
      </c>
      <c r="AA266" s="66">
        <v>19.399999999999999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16</v>
      </c>
      <c r="AQ266" s="68">
        <f t="shared" si="22"/>
        <v>18.875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-4.1999999999999993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>
        <v>15</v>
      </c>
      <c r="W268" s="66">
        <v>15.6</v>
      </c>
      <c r="X268" s="66">
        <v>15.8</v>
      </c>
      <c r="Y268" s="66">
        <v>15.4</v>
      </c>
      <c r="Z268" s="66">
        <v>14.8</v>
      </c>
      <c r="AA268" s="66">
        <v>15.4</v>
      </c>
      <c r="AB268" s="66">
        <v>15.8</v>
      </c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18</v>
      </c>
      <c r="AQ268" s="68">
        <f t="shared" si="22"/>
        <v>15.488888888888889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>
        <v>22.6</v>
      </c>
      <c r="W269" s="66">
        <v>20.399999999999999</v>
      </c>
      <c r="X269" s="66">
        <v>21.2</v>
      </c>
      <c r="Y269" s="66">
        <v>21</v>
      </c>
      <c r="Z269" s="66">
        <v>21.6</v>
      </c>
      <c r="AA269" s="66">
        <v>21</v>
      </c>
      <c r="AB269" s="66">
        <v>20.8</v>
      </c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18</v>
      </c>
      <c r="AQ269" s="68">
        <f t="shared" si="22"/>
        <v>20.87777777777778</v>
      </c>
      <c r="AR269" s="68">
        <f>IFERROR(VLOOKUP(A269,Climatologia_TMAX!A:U,9+$E$2,FALSE),"")</f>
        <v>19.615369580929929</v>
      </c>
      <c r="AS269" s="68">
        <f t="shared" si="23"/>
        <v>1.2624081968478507</v>
      </c>
      <c r="AT269" s="74">
        <f t="shared" si="24"/>
        <v>22.6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-2.5999999999999979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>
        <v>20.6</v>
      </c>
      <c r="W270" s="66">
        <v>16.399999999999999</v>
      </c>
      <c r="X270" s="66">
        <v>19.600000000000001</v>
      </c>
      <c r="Y270" s="66">
        <v>19</v>
      </c>
      <c r="Z270" s="66">
        <v>18.399999999999999</v>
      </c>
      <c r="AA270" s="66">
        <v>18</v>
      </c>
      <c r="AB270" s="66">
        <v>18.2</v>
      </c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18</v>
      </c>
      <c r="AQ270" s="68">
        <f t="shared" si="22"/>
        <v>18.555555555555554</v>
      </c>
      <c r="AR270" s="68">
        <f>IFERROR(VLOOKUP(A270,Climatologia_TMAX!A:U,9+$E$2,FALSE),"")</f>
        <v>16.70976812790186</v>
      </c>
      <c r="AS270" s="68">
        <f t="shared" si="23"/>
        <v>1.8457874276536934</v>
      </c>
      <c r="AT270" s="74">
        <f t="shared" si="24"/>
        <v>20.6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>
        <v>18.8</v>
      </c>
      <c r="W271" s="66">
        <v>16.8</v>
      </c>
      <c r="X271" s="66">
        <v>18.600000000000001</v>
      </c>
      <c r="Y271" s="66">
        <v>18.2</v>
      </c>
      <c r="Z271" s="66">
        <v>17.600000000000001</v>
      </c>
      <c r="AA271" s="66">
        <v>15.4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17</v>
      </c>
      <c r="AQ271" s="68">
        <f t="shared" si="22"/>
        <v>17.376470588235296</v>
      </c>
      <c r="AR271" s="68">
        <f>IFERROR(VLOOKUP(A271,Climatologia_TMAX!A:U,9+$E$2,FALSE),"")</f>
        <v>17.895683826932089</v>
      </c>
      <c r="AS271" s="68">
        <f t="shared" si="23"/>
        <v>-0.5192132386967927</v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>
        <v>24.6</v>
      </c>
      <c r="T272" s="66">
        <v>23.4</v>
      </c>
      <c r="U272" s="66">
        <v>23.2</v>
      </c>
      <c r="V272" s="66">
        <v>24</v>
      </c>
      <c r="W272" s="66">
        <v>19</v>
      </c>
      <c r="X272" s="66">
        <v>25.4</v>
      </c>
      <c r="Y272" s="66">
        <v>24.8</v>
      </c>
      <c r="Z272" s="66">
        <v>23.2</v>
      </c>
      <c r="AA272" s="66">
        <v>22</v>
      </c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16</v>
      </c>
      <c r="AQ272" s="68">
        <f t="shared" si="22"/>
        <v>22.15</v>
      </c>
      <c r="AR272" s="68">
        <f>IFERROR(VLOOKUP(A272,Climatologia_TMAX!A:U,9+$E$2,FALSE),"")</f>
        <v>21.308765035858141</v>
      </c>
      <c r="AS272" s="68">
        <f t="shared" si="23"/>
        <v>0.84123496414185794</v>
      </c>
      <c r="AT272" s="74">
        <f t="shared" si="24"/>
        <v>25.4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>
        <v>28.4</v>
      </c>
      <c r="W273" s="66">
        <v>28</v>
      </c>
      <c r="X273" s="66">
        <v>29.2</v>
      </c>
      <c r="Y273" s="66">
        <v>28.2</v>
      </c>
      <c r="Z273" s="66">
        <v>26.2</v>
      </c>
      <c r="AA273" s="66">
        <v>27.6</v>
      </c>
      <c r="AB273" s="66">
        <v>29</v>
      </c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18</v>
      </c>
      <c r="AQ273" s="68">
        <f t="shared" si="22"/>
        <v>27.633333333333333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>
        <v>11.8</v>
      </c>
      <c r="V275" s="66">
        <v>14.8</v>
      </c>
      <c r="W275" s="66">
        <v>12</v>
      </c>
      <c r="X275" s="66">
        <v>13.4</v>
      </c>
      <c r="Y275" s="66">
        <v>13.6</v>
      </c>
      <c r="Z275" s="66">
        <v>13</v>
      </c>
      <c r="AA275" s="66">
        <v>12.4</v>
      </c>
      <c r="AB275" s="66">
        <v>10</v>
      </c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18</v>
      </c>
      <c r="AQ275" s="68">
        <f t="shared" si="22"/>
        <v>11.97777777777778</v>
      </c>
      <c r="AR275" s="68">
        <f>IFERROR(VLOOKUP(A275,Climatologia_TMAX!A:U,9+$E$2,FALSE),"")</f>
        <v>12.157791724558971</v>
      </c>
      <c r="AS275" s="68">
        <f t="shared" si="23"/>
        <v>-0.18001394678119098</v>
      </c>
      <c r="AT275" s="74">
        <f t="shared" si="24"/>
        <v>14.8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-2.8000000000000007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>
        <v>34.799999999999997</v>
      </c>
      <c r="W278" s="66">
        <v>33.6</v>
      </c>
      <c r="X278" s="66">
        <v>35</v>
      </c>
      <c r="Y278" s="66">
        <v>34.200000000000003</v>
      </c>
      <c r="Z278" s="66">
        <v>31.8</v>
      </c>
      <c r="AA278" s="66">
        <v>35.4</v>
      </c>
      <c r="AB278" s="66">
        <v>34.799999999999997</v>
      </c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18</v>
      </c>
      <c r="AQ278" s="68">
        <f t="shared" si="22"/>
        <v>33.911111111111111</v>
      </c>
      <c r="AR278" s="68">
        <f>IFERROR(VLOOKUP(A278,Climatologia_TMAX!A:U,9+$E$2,FALSE),"")</f>
        <v>31.68806366047745</v>
      </c>
      <c r="AS278" s="68">
        <f t="shared" si="23"/>
        <v>2.2230474506336613</v>
      </c>
      <c r="AT278" s="74">
        <f t="shared" si="24"/>
        <v>35.4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>
        <v>20.6</v>
      </c>
      <c r="S279" s="66">
        <v>21.8</v>
      </c>
      <c r="T279" s="66">
        <v>22</v>
      </c>
      <c r="U279" s="66">
        <v>20.8</v>
      </c>
      <c r="V279" s="66">
        <v>22.8</v>
      </c>
      <c r="W279" s="66">
        <v>23.2</v>
      </c>
      <c r="X279" s="66">
        <v>22.4</v>
      </c>
      <c r="Y279" s="66">
        <v>20.6</v>
      </c>
      <c r="Z279" s="66">
        <v>19.8</v>
      </c>
      <c r="AA279" s="66">
        <v>19.2</v>
      </c>
      <c r="AB279" s="66">
        <v>19.8</v>
      </c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18</v>
      </c>
      <c r="AQ279" s="68">
        <f t="shared" si="22"/>
        <v>21.13333333333334</v>
      </c>
      <c r="AR279" s="68">
        <f>IFERROR(VLOOKUP(A279,Climatologia_TMAX!A:U,9+$E$2,FALSE),"")</f>
        <v>20.848528735632179</v>
      </c>
      <c r="AS279" s="68">
        <f t="shared" si="23"/>
        <v>0.28480459770116084</v>
      </c>
      <c r="AT279" s="74">
        <f t="shared" si="24"/>
        <v>23.2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>
        <v>34.4</v>
      </c>
      <c r="W280" s="66">
        <v>33.799999999999997</v>
      </c>
      <c r="X280" s="66">
        <v>34.799999999999997</v>
      </c>
      <c r="Y280" s="66">
        <v>33.4</v>
      </c>
      <c r="Z280" s="66">
        <v>31.4</v>
      </c>
      <c r="AA280" s="66">
        <v>33.6</v>
      </c>
      <c r="AB280" s="66">
        <v>34.6</v>
      </c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18</v>
      </c>
      <c r="AQ280" s="68">
        <f t="shared" si="22"/>
        <v>33.333333333333336</v>
      </c>
      <c r="AR280" s="68">
        <f>IFERROR(VLOOKUP(A280,Climatologia_TMAX!A:U,9+$E$2,FALSE),"")</f>
        <v>30.025088149634769</v>
      </c>
      <c r="AS280" s="68">
        <f t="shared" si="23"/>
        <v>3.3082451836985669</v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>
        <v>22</v>
      </c>
      <c r="W281" s="66">
        <v>22.2</v>
      </c>
      <c r="X281" s="66">
        <v>23</v>
      </c>
      <c r="Y281" s="66">
        <v>21.6</v>
      </c>
      <c r="Z281" s="66">
        <v>21.8</v>
      </c>
      <c r="AA281" s="66">
        <v>23</v>
      </c>
      <c r="AB281" s="66">
        <v>23.2</v>
      </c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18</v>
      </c>
      <c r="AQ281" s="68">
        <f t="shared" si="22"/>
        <v>22.022222222222226</v>
      </c>
      <c r="AR281" s="68">
        <f>IFERROR(VLOOKUP(A281,Climatologia_TMAX!A:U,9+$E$2,FALSE),"")</f>
        <v>20.187784893267651</v>
      </c>
      <c r="AS281" s="68">
        <f t="shared" si="23"/>
        <v>1.834437328954575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>
        <v>21.2</v>
      </c>
      <c r="W284" s="66">
        <v>17.8</v>
      </c>
      <c r="X284" s="66">
        <v>20.8</v>
      </c>
      <c r="Y284" s="66">
        <v>18.8</v>
      </c>
      <c r="Z284" s="66">
        <v>18.600000000000001</v>
      </c>
      <c r="AA284" s="66"/>
      <c r="AB284" s="66">
        <v>19.600000000000001</v>
      </c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17</v>
      </c>
      <c r="AQ284" s="68">
        <f t="shared" si="22"/>
        <v>19.541176470588237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-1.8000000000000007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>
        <v>21.8</v>
      </c>
      <c r="W285" s="66">
        <v>21.2</v>
      </c>
      <c r="X285" s="66">
        <v>21.8</v>
      </c>
      <c r="Y285" s="66">
        <v>20</v>
      </c>
      <c r="Z285" s="66">
        <v>22</v>
      </c>
      <c r="AA285" s="66">
        <v>22</v>
      </c>
      <c r="AB285" s="66">
        <v>22.4</v>
      </c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18</v>
      </c>
      <c r="AQ285" s="68">
        <f t="shared" si="22"/>
        <v>21.144444444444446</v>
      </c>
      <c r="AR285" s="68">
        <f>IFERROR(VLOOKUP(A285,Climatologia_TMAX!A:U,9+$E$2,FALSE),"")</f>
        <v>19.841617540739382</v>
      </c>
      <c r="AS285" s="68">
        <f t="shared" si="23"/>
        <v>1.3028269037050642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>
        <v>20</v>
      </c>
      <c r="W287" s="66">
        <v>19.600000000000001</v>
      </c>
      <c r="X287" s="66">
        <v>20</v>
      </c>
      <c r="Y287" s="66">
        <v>19</v>
      </c>
      <c r="Z287" s="66">
        <v>20.2</v>
      </c>
      <c r="AA287" s="66">
        <v>19.600000000000001</v>
      </c>
      <c r="AB287" s="66">
        <v>19.2</v>
      </c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18</v>
      </c>
      <c r="AQ287" s="68">
        <f t="shared" si="22"/>
        <v>19.322222222222223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-2.8000000000000007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autoFilter ref="AW1:AW472" xr:uid="{00000000-0009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48" width="11.42578125" style="42" customWidth="1"/>
    <col min="149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2026-09-19T15:35:33Z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2026-09-19T14:59:33Z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27353528-e2f1-4af9-aba2-60d577cde13b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