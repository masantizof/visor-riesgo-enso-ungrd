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9233870-153A-45A3-BF41-9C9DC03C0FDE}" xr6:coauthVersionLast="47" xr6:coauthVersionMax="47" xr10:uidLastSave="{00000000-0000-0000-0000-000000000000}"/>
  <bookViews>
    <workbookView xWindow="2868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14" i="1" l="1"/>
  <c r="V190" i="3"/>
  <c r="AR212" i="1"/>
  <c r="AP212" i="1"/>
  <c r="AQ212" i="1" s="1"/>
  <c r="AS212" i="1" s="1"/>
  <c r="AR211" i="1"/>
  <c r="AP211" i="1"/>
  <c r="AQ211" i="1" s="1"/>
  <c r="AS211" i="1" s="1"/>
  <c r="AR210" i="1"/>
  <c r="AP210" i="1"/>
  <c r="AQ210" i="1" s="1"/>
  <c r="AS210" i="1" s="1"/>
  <c r="AR209" i="1"/>
  <c r="AP209" i="1"/>
  <c r="AQ209" i="1" s="1"/>
  <c r="AS209" i="1" s="1"/>
  <c r="AR208" i="1"/>
  <c r="AQ208" i="1"/>
  <c r="AS208" i="1" s="1"/>
  <c r="AP208" i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P204" i="1"/>
  <c r="AQ204" i="1" s="1"/>
  <c r="AS204" i="1" s="1"/>
  <c r="AR203" i="1"/>
  <c r="AQ203" i="1"/>
  <c r="AS203" i="1" s="1"/>
  <c r="AP203" i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S199" i="1" s="1"/>
  <c r="AR198" i="1"/>
  <c r="AQ198" i="1"/>
  <c r="AS198" i="1" s="1"/>
  <c r="AP198" i="1"/>
  <c r="AR197" i="1"/>
  <c r="AP197" i="1"/>
  <c r="AQ197" i="1" s="1"/>
  <c r="AS197" i="1" s="1"/>
  <c r="AR196" i="1"/>
  <c r="AP196" i="1"/>
  <c r="AQ196" i="1" s="1"/>
  <c r="AS196" i="1" s="1"/>
  <c r="AR195" i="1"/>
  <c r="AP195" i="1"/>
  <c r="AQ195" i="1" s="1"/>
  <c r="AS195" i="1" s="1"/>
  <c r="AR194" i="1"/>
  <c r="AP194" i="1"/>
  <c r="AQ194" i="1" s="1"/>
  <c r="AS194" i="1" s="1"/>
  <c r="AR193" i="1"/>
  <c r="AQ193" i="1"/>
  <c r="AS193" i="1" s="1"/>
  <c r="AP193" i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P189" i="1"/>
  <c r="AQ189" i="1" s="1"/>
  <c r="AS189" i="1" s="1"/>
  <c r="AR188" i="1"/>
  <c r="AQ188" i="1"/>
  <c r="AS188" i="1" s="1"/>
  <c r="AP188" i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P184" i="1"/>
  <c r="AQ184" i="1" s="1"/>
  <c r="AS184" i="1" s="1"/>
  <c r="AR183" i="1"/>
  <c r="AQ183" i="1"/>
  <c r="AS183" i="1" s="1"/>
  <c r="AP183" i="1"/>
  <c r="AR182" i="1"/>
  <c r="AP182" i="1"/>
  <c r="AQ182" i="1" s="1"/>
  <c r="AS182" i="1" s="1"/>
  <c r="AR181" i="1"/>
  <c r="AP181" i="1"/>
  <c r="AQ181" i="1" s="1"/>
  <c r="AS181" i="1" s="1"/>
  <c r="AR180" i="1"/>
  <c r="AP180" i="1"/>
  <c r="AQ180" i="1" s="1"/>
  <c r="AS180" i="1" s="1"/>
  <c r="AR179" i="1"/>
  <c r="AP179" i="1"/>
  <c r="AQ179" i="1" s="1"/>
  <c r="AS179" i="1" s="1"/>
  <c r="AR178" i="1"/>
  <c r="AQ178" i="1"/>
  <c r="AS178" i="1" s="1"/>
  <c r="AP178" i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S174" i="1" s="1"/>
  <c r="AR173" i="1"/>
  <c r="AQ173" i="1"/>
  <c r="AS173" i="1" s="1"/>
  <c r="AP173" i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P169" i="1"/>
  <c r="AQ169" i="1" s="1"/>
  <c r="AS169" i="1" s="1"/>
  <c r="AR168" i="1"/>
  <c r="AQ168" i="1"/>
  <c r="AS168" i="1" s="1"/>
  <c r="AP168" i="1"/>
  <c r="AR167" i="1"/>
  <c r="AP167" i="1"/>
  <c r="AQ167" i="1" s="1"/>
  <c r="AS167" i="1" s="1"/>
  <c r="AR166" i="1"/>
  <c r="AP166" i="1"/>
  <c r="AQ166" i="1" s="1"/>
  <c r="AS166" i="1" s="1"/>
  <c r="AR165" i="1"/>
  <c r="AP165" i="1"/>
  <c r="AQ165" i="1" s="1"/>
  <c r="AS165" i="1" s="1"/>
  <c r="AR164" i="1"/>
  <c r="AP164" i="1"/>
  <c r="AQ164" i="1" s="1"/>
  <c r="AS164" i="1" s="1"/>
  <c r="AR163" i="1"/>
  <c r="AQ163" i="1"/>
  <c r="AS163" i="1" s="1"/>
  <c r="AP163" i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P159" i="1"/>
  <c r="AQ159" i="1" s="1"/>
  <c r="AS159" i="1" s="1"/>
  <c r="AR158" i="1"/>
  <c r="AQ158" i="1"/>
  <c r="AS158" i="1" s="1"/>
  <c r="AP158" i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S154" i="1" s="1"/>
  <c r="AR153" i="1"/>
  <c r="AQ153" i="1"/>
  <c r="AS153" i="1" s="1"/>
  <c r="AP153" i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P149" i="1"/>
  <c r="AQ149" i="1" s="1"/>
  <c r="AS149" i="1" s="1"/>
  <c r="AR148" i="1"/>
  <c r="AQ148" i="1"/>
  <c r="AS148" i="1" s="1"/>
  <c r="AP148" i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S144" i="1" s="1"/>
  <c r="AR143" i="1"/>
  <c r="AQ143" i="1"/>
  <c r="AS143" i="1" s="1"/>
  <c r="AP143" i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S139" i="1" s="1"/>
  <c r="AR138" i="1"/>
  <c r="AQ138" i="1"/>
  <c r="AS138" i="1" s="1"/>
  <c r="AP138" i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S134" i="1" s="1"/>
  <c r="AR133" i="1"/>
  <c r="AQ133" i="1"/>
  <c r="AS133" i="1" s="1"/>
  <c r="AP133" i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P129" i="1"/>
  <c r="AQ129" i="1" s="1"/>
  <c r="AS129" i="1" s="1"/>
  <c r="AR128" i="1"/>
  <c r="AQ128" i="1"/>
  <c r="AS128" i="1" s="1"/>
  <c r="AP128" i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Q123" i="1"/>
  <c r="AS123" i="1" s="1"/>
  <c r="AP123" i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Q118" i="1"/>
  <c r="AS118" i="1" s="1"/>
  <c r="AP118" i="1"/>
  <c r="AR117" i="1"/>
  <c r="AP117" i="1"/>
  <c r="AQ117" i="1" s="1"/>
  <c r="AS117" i="1" s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R113" i="1"/>
  <c r="AQ113" i="1"/>
  <c r="AS113" i="1" s="1"/>
  <c r="AP113" i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Q108" i="1"/>
  <c r="AS108" i="1" s="1"/>
  <c r="AP108" i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Q103" i="1"/>
  <c r="AS103" i="1" s="1"/>
  <c r="AP103" i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S100" i="1" s="1"/>
  <c r="AR99" i="1"/>
  <c r="AP99" i="1"/>
  <c r="AQ99" i="1" s="1"/>
  <c r="AS99" i="1" s="1"/>
  <c r="AR98" i="1"/>
  <c r="AQ98" i="1"/>
  <c r="AS98" i="1" s="1"/>
  <c r="AP98" i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Q93" i="1"/>
  <c r="AS93" i="1" s="1"/>
  <c r="AP93" i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Q88" i="1"/>
  <c r="AS88" i="1" s="1"/>
  <c r="AP88" i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P84" i="1"/>
  <c r="AQ84" i="1" s="1"/>
  <c r="AS84" i="1" s="1"/>
  <c r="AR83" i="1"/>
  <c r="AQ83" i="1"/>
  <c r="AS83" i="1" s="1"/>
  <c r="AP83" i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Q78" i="1"/>
  <c r="AS78" i="1" s="1"/>
  <c r="AP78" i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Q73" i="1"/>
  <c r="AS73" i="1" s="1"/>
  <c r="AP73" i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P69" i="1"/>
  <c r="AQ69" i="1" s="1"/>
  <c r="AS69" i="1" s="1"/>
  <c r="AR68" i="1"/>
  <c r="AQ68" i="1"/>
  <c r="AS68" i="1" s="1"/>
  <c r="AP68" i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Q63" i="1"/>
  <c r="AS63" i="1" s="1"/>
  <c r="AP63" i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Q58" i="1"/>
  <c r="AS58" i="1" s="1"/>
  <c r="AP58" i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Q53" i="1"/>
  <c r="AS53" i="1" s="1"/>
  <c r="AP53" i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Q48" i="1"/>
  <c r="AS48" i="1" s="1"/>
  <c r="AP48" i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Q43" i="1"/>
  <c r="AS43" i="1" s="1"/>
  <c r="AP43" i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Q38" i="1"/>
  <c r="AS38" i="1" s="1"/>
  <c r="AP38" i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Q33" i="1"/>
  <c r="AS33" i="1" s="1"/>
  <c r="AP33" i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Q23" i="1"/>
  <c r="AS23" i="1" s="1"/>
  <c r="AP23" i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<sst xmlns="http://schemas.openxmlformats.org/spreadsheetml/2006/main" count="3690" uniqueCount="1514">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</sst>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T3" zoomScaleNormal="100" workbookViewId="0">
      <selection activeCell="AG3" sqref="AG3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42" width="32.42578125" style="50" customWidth="1"/>
    <col min="143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>
        <v>29.9</v>
      </c>
      <c r="V5" s="56">
        <v>29.9</v>
      </c>
      <c r="W5" s="56">
        <v>30</v>
      </c>
      <c r="X5" s="56">
        <v>30.4</v>
      </c>
      <c r="Y5" s="56">
        <v>30</v>
      </c>
      <c r="Z5" s="56">
        <v>30.2</v>
      </c>
      <c r="AA5" s="56">
        <v>29</v>
      </c>
      <c r="AB5" s="56">
        <v>28.2</v>
      </c>
      <c r="AC5" s="56">
        <v>29.2</v>
      </c>
      <c r="AD5" s="56">
        <v>30.2</v>
      </c>
      <c r="AE5" s="56">
        <v>30.3</v>
      </c>
      <c r="AF5" s="56">
        <v>29.9</v>
      </c>
      <c r="AG5" s="56">
        <v>28.8</v>
      </c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23</v>
      </c>
      <c r="AQ5" s="71">
        <f t="shared" ref="AQ5:AQ68" si="1">IF(AP5&gt;14,AVERAGE(K5:AO5),"")</f>
        <v>29.604347826086951</v>
      </c>
      <c r="AR5" s="71">
        <f>IFERROR(VLOOKUP(A5,Climatologia_TMED!A:U,9+$E$2,FALSE),"")</f>
        <v>28.292205052411301</v>
      </c>
      <c r="AS5" s="71">
        <f t="shared" ref="AS5:AS68" si="2">IF(OR(AQ5="",AR5=""),"",IFERROR(AQ5-AR5,""))</f>
        <v>1.3121427736756495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>
        <v>30.1</v>
      </c>
      <c r="V6" s="56">
        <v>29.8</v>
      </c>
      <c r="W6" s="56">
        <v>29.7</v>
      </c>
      <c r="X6" s="56">
        <v>29.6</v>
      </c>
      <c r="Y6" s="56">
        <v>29.7</v>
      </c>
      <c r="Z6" s="56">
        <v>29.6</v>
      </c>
      <c r="AA6" s="56">
        <v>29.5</v>
      </c>
      <c r="AB6" s="56">
        <v>28.1</v>
      </c>
      <c r="AC6" s="56">
        <v>29.5</v>
      </c>
      <c r="AD6" s="56">
        <v>29.4</v>
      </c>
      <c r="AE6" s="56">
        <v>29.9</v>
      </c>
      <c r="AF6" s="56">
        <v>29.8</v>
      </c>
      <c r="AG6" s="56">
        <v>29.9</v>
      </c>
      <c r="AH6" s="56"/>
      <c r="AI6" s="56"/>
      <c r="AJ6" s="56"/>
      <c r="AK6" s="56"/>
      <c r="AL6" s="56"/>
      <c r="AM6" s="56"/>
      <c r="AN6" s="56"/>
      <c r="AO6" s="56"/>
      <c r="AP6" s="58">
        <f t="shared" si="0"/>
        <v>23</v>
      </c>
      <c r="AQ6" s="71">
        <f t="shared" si="1"/>
        <v>29.478260869565212</v>
      </c>
      <c r="AR6" s="71">
        <f>IFERROR(VLOOKUP(A6,Climatologia_TMED!A:U,9+$E$2,FALSE),"")</f>
        <v>28.542323510282561</v>
      </c>
      <c r="AS6" s="71">
        <f t="shared" si="2"/>
        <v>0.93593735928265076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>
        <v>32.700000000000003</v>
      </c>
      <c r="V7" s="56">
        <v>32.6</v>
      </c>
      <c r="W7" s="56">
        <v>30.7</v>
      </c>
      <c r="X7" s="56">
        <v>30.4</v>
      </c>
      <c r="Y7" s="56">
        <v>32.299999999999997</v>
      </c>
      <c r="Z7" s="56">
        <v>30.8</v>
      </c>
      <c r="AA7" s="56">
        <v>26.9</v>
      </c>
      <c r="AB7" s="56">
        <v>29.6</v>
      </c>
      <c r="AC7" s="56">
        <v>30.9</v>
      </c>
      <c r="AD7" s="56">
        <v>32.200000000000003</v>
      </c>
      <c r="AE7" s="56">
        <v>32.700000000000003</v>
      </c>
      <c r="AF7" s="56">
        <v>30.9</v>
      </c>
      <c r="AG7" s="56">
        <v>28.8</v>
      </c>
      <c r="AH7" s="56"/>
      <c r="AI7" s="56"/>
      <c r="AJ7" s="56"/>
      <c r="AK7" s="56"/>
      <c r="AL7" s="56"/>
      <c r="AM7" s="56"/>
      <c r="AN7" s="56"/>
      <c r="AO7" s="56"/>
      <c r="AP7" s="58">
        <f t="shared" si="0"/>
        <v>23</v>
      </c>
      <c r="AQ7" s="71">
        <f t="shared" si="1"/>
        <v>31.091304347826089</v>
      </c>
      <c r="AR7" s="71">
        <f>IFERROR(VLOOKUP(A7,Climatologia_TMED!A:U,9+$E$2,FALSE),"")</f>
        <v>28.878924731182799</v>
      </c>
      <c r="AS7" s="71">
        <f t="shared" si="2"/>
        <v>2.2123796166432896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>
        <v>30.4</v>
      </c>
      <c r="V8" s="56">
        <v>30.5</v>
      </c>
      <c r="W8" s="56">
        <v>30.2</v>
      </c>
      <c r="X8" s="56">
        <v>30.6</v>
      </c>
      <c r="Y8" s="56">
        <v>30.3</v>
      </c>
      <c r="Z8" s="56">
        <v>30.7</v>
      </c>
      <c r="AA8" s="56">
        <v>28.1</v>
      </c>
      <c r="AB8" s="56">
        <v>29.5</v>
      </c>
      <c r="AC8" s="56">
        <v>29.8</v>
      </c>
      <c r="AD8" s="56">
        <v>29.8</v>
      </c>
      <c r="AE8" s="56">
        <v>29</v>
      </c>
      <c r="AF8" s="56">
        <v>29.2</v>
      </c>
      <c r="AG8" s="56">
        <v>28.8</v>
      </c>
      <c r="AH8" s="56"/>
      <c r="AI8" s="56"/>
      <c r="AJ8" s="56"/>
      <c r="AK8" s="56"/>
      <c r="AL8" s="56"/>
      <c r="AM8" s="56"/>
      <c r="AN8" s="56"/>
      <c r="AO8" s="56"/>
      <c r="AP8" s="58">
        <f t="shared" si="0"/>
        <v>23</v>
      </c>
      <c r="AQ8" s="71">
        <f t="shared" si="1"/>
        <v>29.917391304347824</v>
      </c>
      <c r="AR8" s="71">
        <f>IFERROR(VLOOKUP(A8,Climatologia_TMED!A:U,9+$E$2,FALSE),"")</f>
        <v>28.663204007006499</v>
      </c>
      <c r="AS8" s="71">
        <f t="shared" si="2"/>
        <v>1.2541872973413248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>
        <v>30.5</v>
      </c>
      <c r="V9" s="56">
        <v>31.4</v>
      </c>
      <c r="W9" s="56">
        <v>30.4</v>
      </c>
      <c r="X9" s="56">
        <v>29.2</v>
      </c>
      <c r="Y9" s="56">
        <v>30.6</v>
      </c>
      <c r="Z9" s="56">
        <v>31</v>
      </c>
      <c r="AA9" s="56">
        <v>28.7</v>
      </c>
      <c r="AB9" s="56">
        <v>29</v>
      </c>
      <c r="AC9" s="56">
        <v>30.2</v>
      </c>
      <c r="AD9" s="56">
        <v>31.5</v>
      </c>
      <c r="AE9" s="56">
        <v>30.1</v>
      </c>
      <c r="AF9" s="56">
        <v>29.3</v>
      </c>
      <c r="AG9" s="56">
        <v>28.1</v>
      </c>
      <c r="AH9" s="56"/>
      <c r="AI9" s="56"/>
      <c r="AJ9" s="56"/>
      <c r="AK9" s="56"/>
      <c r="AL9" s="56"/>
      <c r="AM9" s="56"/>
      <c r="AN9" s="56"/>
      <c r="AO9" s="56"/>
      <c r="AP9" s="58">
        <f t="shared" si="0"/>
        <v>23</v>
      </c>
      <c r="AQ9" s="71">
        <f t="shared" si="1"/>
        <v>29.939130434782609</v>
      </c>
      <c r="AR9" s="71">
        <f>IFERROR(VLOOKUP(A9,Climatologia_TMED!A:U,9+$E$2,FALSE),"")</f>
        <v>29.925161290322539</v>
      </c>
      <c r="AS9" s="71">
        <f t="shared" si="2"/>
        <v>1.3969144460070027E-2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>
        <v>32.200000000000003</v>
      </c>
      <c r="V10" s="56">
        <v>31.9</v>
      </c>
      <c r="W10" s="56">
        <v>32.6</v>
      </c>
      <c r="X10" s="56">
        <v>31.9</v>
      </c>
      <c r="Y10" s="56">
        <v>31.5</v>
      </c>
      <c r="Z10" s="56">
        <v>32.700000000000003</v>
      </c>
      <c r="AA10" s="56">
        <v>30.5</v>
      </c>
      <c r="AB10" s="56">
        <v>29.9</v>
      </c>
      <c r="AC10" s="56">
        <v>32.1</v>
      </c>
      <c r="AD10" s="56">
        <v>34.299999999999997</v>
      </c>
      <c r="AE10" s="56">
        <v>31.5</v>
      </c>
      <c r="AF10" s="56">
        <v>29.5</v>
      </c>
      <c r="AG10" s="56">
        <v>29.3</v>
      </c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23</v>
      </c>
      <c r="AQ10" s="71">
        <f t="shared" si="1"/>
        <v>31.791304347826085</v>
      </c>
      <c r="AR10" s="71">
        <f>IFERROR(VLOOKUP(A10,Climatologia_TMED!A:U,9+$E$2,FALSE),"")</f>
        <v>29.55639347861802</v>
      </c>
      <c r="AS10" s="71">
        <f t="shared" si="2"/>
        <v>2.2349108692080648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>
        <v>35.6</v>
      </c>
      <c r="V11" s="56">
        <v>33.200000000000003</v>
      </c>
      <c r="W11" s="56">
        <v>33.5</v>
      </c>
      <c r="X11" s="56">
        <v>33.799999999999997</v>
      </c>
      <c r="Y11" s="56">
        <v>34</v>
      </c>
      <c r="Z11" s="56">
        <v>33</v>
      </c>
      <c r="AA11" s="56">
        <v>30.6</v>
      </c>
      <c r="AB11" s="56">
        <v>31.8</v>
      </c>
      <c r="AC11" s="56">
        <v>33.1</v>
      </c>
      <c r="AD11" s="56">
        <v>33.700000000000003</v>
      </c>
      <c r="AE11" s="56">
        <v>33.4</v>
      </c>
      <c r="AF11" s="56">
        <v>31.9</v>
      </c>
      <c r="AG11" s="56">
        <v>30.3</v>
      </c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23</v>
      </c>
      <c r="AQ11" s="71">
        <f t="shared" si="1"/>
        <v>32.973913043478255</v>
      </c>
      <c r="AR11" s="71">
        <f>IFERROR(VLOOKUP(A11,Climatologia_TMED!A:U,9+$E$2,FALSE),"")</f>
        <v>29.275519036173971</v>
      </c>
      <c r="AS11" s="71">
        <f t="shared" si="2"/>
        <v>3.6983940073042838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>
        <v>31.3</v>
      </c>
      <c r="V12" s="56">
        <v>31.7</v>
      </c>
      <c r="W12" s="56">
        <v>29.4</v>
      </c>
      <c r="X12" s="56">
        <v>30.5</v>
      </c>
      <c r="Y12" s="56">
        <v>30.9</v>
      </c>
      <c r="Z12" s="56">
        <v>30.1</v>
      </c>
      <c r="AA12" s="56">
        <v>27.2</v>
      </c>
      <c r="AB12" s="56">
        <v>28.8</v>
      </c>
      <c r="AC12" s="56">
        <v>30.8</v>
      </c>
      <c r="AD12" s="56">
        <v>30.3</v>
      </c>
      <c r="AE12" s="56">
        <v>31.3</v>
      </c>
      <c r="AF12" s="56">
        <v>28</v>
      </c>
      <c r="AG12" s="56">
        <v>30.3</v>
      </c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23</v>
      </c>
      <c r="AQ12" s="71">
        <f t="shared" si="1"/>
        <v>30.03478260869564</v>
      </c>
      <c r="AR12" s="71">
        <f>IFERROR(VLOOKUP(A12,Climatologia_TMED!A:U,9+$E$2,FALSE),"")</f>
        <v>28.08210560234475</v>
      </c>
      <c r="AS12" s="71">
        <f t="shared" si="2"/>
        <v>1.9526770063508891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>
        <v>33.4</v>
      </c>
      <c r="V13" s="56">
        <v>33.4</v>
      </c>
      <c r="W13" s="56">
        <v>31.9</v>
      </c>
      <c r="X13" s="56">
        <v>31.2</v>
      </c>
      <c r="Y13" s="56">
        <v>31.1</v>
      </c>
      <c r="Z13" s="56">
        <v>30.4</v>
      </c>
      <c r="AA13" s="56">
        <v>28.4</v>
      </c>
      <c r="AB13" s="56">
        <v>28</v>
      </c>
      <c r="AC13" s="56">
        <v>30.2</v>
      </c>
      <c r="AD13" s="56">
        <v>31.8</v>
      </c>
      <c r="AE13" s="56">
        <v>30.5</v>
      </c>
      <c r="AF13" s="56">
        <v>28.7</v>
      </c>
      <c r="AG13" s="56">
        <v>29</v>
      </c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23</v>
      </c>
      <c r="AQ13" s="71">
        <f t="shared" si="1"/>
        <v>30.77391304347826</v>
      </c>
      <c r="AR13" s="71">
        <f>IFERROR(VLOOKUP(A13,Climatologia_TMED!A:U,9+$E$2,FALSE),"")</f>
        <v>28.275630329996261</v>
      </c>
      <c r="AS13" s="71">
        <f t="shared" si="2"/>
        <v>2.4982827134819985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>
        <v>27</v>
      </c>
      <c r="V14" s="56">
        <v>26.6</v>
      </c>
      <c r="W14" s="56">
        <v>26</v>
      </c>
      <c r="X14" s="56">
        <v>25.5</v>
      </c>
      <c r="Y14" s="56">
        <v>25.3</v>
      </c>
      <c r="Z14" s="56">
        <v>22.5</v>
      </c>
      <c r="AA14" s="56">
        <v>22.9</v>
      </c>
      <c r="AB14" s="56">
        <v>22.2</v>
      </c>
      <c r="AC14" s="56">
        <v>24.8</v>
      </c>
      <c r="AD14" s="56">
        <v>25.9</v>
      </c>
      <c r="AE14" s="56">
        <v>24.5</v>
      </c>
      <c r="AF14" s="56">
        <v>23.4</v>
      </c>
      <c r="AG14" s="56">
        <v>23.6</v>
      </c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23</v>
      </c>
      <c r="AQ14" s="71">
        <f t="shared" si="1"/>
        <v>24.556521739130432</v>
      </c>
      <c r="AR14" s="71">
        <f>IFERROR(VLOOKUP(A14,Climatologia_TMED!A:U,9+$E$2,FALSE),"")</f>
        <v>21.814997932175341</v>
      </c>
      <c r="AS14" s="71">
        <f t="shared" si="2"/>
        <v>2.7415238069550902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>
        <v>31.4</v>
      </c>
      <c r="V15" s="56">
        <v>33.1</v>
      </c>
      <c r="W15" s="56">
        <v>33</v>
      </c>
      <c r="X15" s="56">
        <v>31.1</v>
      </c>
      <c r="Y15" s="56">
        <v>28.8</v>
      </c>
      <c r="Z15" s="56">
        <v>28.6</v>
      </c>
      <c r="AA15" s="56">
        <v>29.5</v>
      </c>
      <c r="AB15" s="56">
        <v>29.3</v>
      </c>
      <c r="AC15" s="56">
        <v>31.4</v>
      </c>
      <c r="AD15" s="56">
        <v>30.8</v>
      </c>
      <c r="AE15" s="56">
        <v>31.8</v>
      </c>
      <c r="AF15" s="56">
        <v>30.6</v>
      </c>
      <c r="AG15" s="56">
        <v>28.5</v>
      </c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23</v>
      </c>
      <c r="AQ15" s="71">
        <f t="shared" si="1"/>
        <v>30.817391304347826</v>
      </c>
      <c r="AR15" s="71">
        <f>IFERROR(VLOOKUP(A15,Climatologia_TMED!A:U,9+$E$2,FALSE),"")</f>
        <v>28.742611827956981</v>
      </c>
      <c r="AS15" s="71">
        <f t="shared" si="2"/>
        <v>2.0747794763908445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>
        <v>29.9</v>
      </c>
      <c r="V16" s="56">
        <v>29.9</v>
      </c>
      <c r="W16" s="56">
        <v>29.3</v>
      </c>
      <c r="X16" s="56">
        <v>29.8</v>
      </c>
      <c r="Y16" s="56">
        <v>28.7</v>
      </c>
      <c r="Z16" s="56">
        <v>28.5</v>
      </c>
      <c r="AA16" s="56">
        <v>25.3</v>
      </c>
      <c r="AB16" s="56">
        <v>27.8</v>
      </c>
      <c r="AC16" s="56">
        <v>30.2</v>
      </c>
      <c r="AD16" s="56">
        <v>30.1</v>
      </c>
      <c r="AE16" s="56">
        <v>30.1</v>
      </c>
      <c r="AF16" s="56">
        <v>26.8</v>
      </c>
      <c r="AG16" s="56">
        <v>29.2</v>
      </c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23</v>
      </c>
      <c r="AQ16" s="71">
        <f t="shared" si="1"/>
        <v>28.534782608695654</v>
      </c>
      <c r="AR16" s="71">
        <f>IFERROR(VLOOKUP(A16,Climatologia_TMED!A:U,9+$E$2,FALSE),"")</f>
        <v>27.745849035404088</v>
      </c>
      <c r="AS16" s="71">
        <f t="shared" si="2"/>
        <v>0.78893357329156544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>
        <v>26.4</v>
      </c>
      <c r="V17" s="56">
        <v>26.7</v>
      </c>
      <c r="W17" s="56">
        <v>26.8</v>
      </c>
      <c r="X17" s="56">
        <v>27.2</v>
      </c>
      <c r="Y17" s="56">
        <v>27.5</v>
      </c>
      <c r="Z17" s="56">
        <v>24.6</v>
      </c>
      <c r="AA17" s="56">
        <v>21.2</v>
      </c>
      <c r="AB17" s="56">
        <v>24.1</v>
      </c>
      <c r="AC17" s="56">
        <v>26.2</v>
      </c>
      <c r="AD17" s="56">
        <v>26.3</v>
      </c>
      <c r="AE17" s="56">
        <v>26.6</v>
      </c>
      <c r="AF17" s="56">
        <v>24.4</v>
      </c>
      <c r="AG17" s="56">
        <v>23.7</v>
      </c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23</v>
      </c>
      <c r="AQ17" s="71">
        <f t="shared" si="1"/>
        <v>25.686956521739127</v>
      </c>
      <c r="AR17" s="71">
        <f>IFERROR(VLOOKUP(A17,Climatologia_TMED!A:U,9+$E$2,FALSE),"")</f>
        <v>23.942684331797231</v>
      </c>
      <c r="AS17" s="71">
        <f t="shared" si="2"/>
        <v>1.7442721899418956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>
        <v>19</v>
      </c>
      <c r="V18" s="56">
        <v>18.8</v>
      </c>
      <c r="W18" s="56">
        <v>19.3</v>
      </c>
      <c r="X18" s="56">
        <v>20.2</v>
      </c>
      <c r="Y18" s="56">
        <v>20.100000000000001</v>
      </c>
      <c r="Z18" s="56">
        <v>19.7</v>
      </c>
      <c r="AA18" s="56">
        <v>17.5</v>
      </c>
      <c r="AB18" s="56">
        <v>18.7</v>
      </c>
      <c r="AC18" s="56">
        <v>19.100000000000001</v>
      </c>
      <c r="AD18" s="56">
        <v>19.2</v>
      </c>
      <c r="AE18" s="56">
        <v>19.5</v>
      </c>
      <c r="AF18" s="56">
        <v>19.3</v>
      </c>
      <c r="AG18" s="56">
        <v>19</v>
      </c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23</v>
      </c>
      <c r="AQ18" s="71">
        <f t="shared" si="1"/>
        <v>19.221739130434788</v>
      </c>
      <c r="AR18" s="71">
        <f>IFERROR(VLOOKUP(A18,Climatologia_TMED!A:U,9+$E$2,FALSE),"")</f>
        <v>17.429768704357489</v>
      </c>
      <c r="AS18" s="71">
        <f t="shared" si="2"/>
        <v>1.7919704260772988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>
        <v>27</v>
      </c>
      <c r="V19" s="56">
        <v>26.4</v>
      </c>
      <c r="W19" s="56">
        <v>25.5</v>
      </c>
      <c r="X19" s="56">
        <v>25.3</v>
      </c>
      <c r="Y19" s="56">
        <v>25</v>
      </c>
      <c r="Z19" s="56">
        <v>21.1</v>
      </c>
      <c r="AA19" s="56">
        <v>19.8</v>
      </c>
      <c r="AB19" s="56">
        <v>23.5</v>
      </c>
      <c r="AC19" s="56">
        <v>25.4</v>
      </c>
      <c r="AD19" s="56">
        <v>25.7</v>
      </c>
      <c r="AE19" s="56">
        <v>25.8</v>
      </c>
      <c r="AF19" s="56">
        <v>22.6</v>
      </c>
      <c r="AG19" s="56">
        <v>24.7</v>
      </c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23</v>
      </c>
      <c r="AQ19" s="71">
        <f t="shared" si="1"/>
        <v>24.560869565217395</v>
      </c>
      <c r="AR19" s="71">
        <f>IFERROR(VLOOKUP(A19,Climatologia_TMED!A:U,9+$E$2,FALSE),"")</f>
        <v>22.368290322580641</v>
      </c>
      <c r="AS19" s="71">
        <f t="shared" si="2"/>
        <v>2.1925792426367536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>
        <v>26.5</v>
      </c>
      <c r="V20" s="56">
        <v>26.2</v>
      </c>
      <c r="W20" s="56">
        <v>25.9</v>
      </c>
      <c r="X20" s="56">
        <v>25.3</v>
      </c>
      <c r="Y20" s="56">
        <v>24.9</v>
      </c>
      <c r="Z20" s="56">
        <v>22.6</v>
      </c>
      <c r="AA20" s="56">
        <v>21.2</v>
      </c>
      <c r="AB20" s="56">
        <v>23.9</v>
      </c>
      <c r="AC20" s="56">
        <v>24.5</v>
      </c>
      <c r="AD20" s="56">
        <v>25.7</v>
      </c>
      <c r="AE20" s="56">
        <v>25.7</v>
      </c>
      <c r="AF20" s="56">
        <v>24.5</v>
      </c>
      <c r="AG20" s="56">
        <v>24.6</v>
      </c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22</v>
      </c>
      <c r="AQ20" s="71">
        <f t="shared" si="1"/>
        <v>24.70454545454545</v>
      </c>
      <c r="AR20" s="71">
        <f>IFERROR(VLOOKUP(A20,Climatologia_TMED!A:U,9+$E$2,FALSE),"")</f>
        <v>22.807707609594701</v>
      </c>
      <c r="AS20" s="71">
        <f t="shared" si="2"/>
        <v>1.896837844950749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>
        <v>29.6</v>
      </c>
      <c r="V21" s="56">
        <v>29.1</v>
      </c>
      <c r="W21" s="56">
        <v>29.2</v>
      </c>
      <c r="X21" s="56">
        <v>29.1</v>
      </c>
      <c r="Y21" s="56">
        <v>28.8</v>
      </c>
      <c r="Z21" s="56">
        <v>24.6</v>
      </c>
      <c r="AA21" s="56">
        <v>24.3</v>
      </c>
      <c r="AB21" s="56">
        <v>26.3</v>
      </c>
      <c r="AC21" s="56">
        <v>29</v>
      </c>
      <c r="AD21" s="56">
        <v>29.3</v>
      </c>
      <c r="AE21" s="56">
        <v>28.6</v>
      </c>
      <c r="AF21" s="56">
        <v>27.6</v>
      </c>
      <c r="AG21" s="56">
        <v>28.1</v>
      </c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23</v>
      </c>
      <c r="AQ21" s="71">
        <f t="shared" si="1"/>
        <v>28.286956521739135</v>
      </c>
      <c r="AR21" s="71">
        <f>IFERROR(VLOOKUP(A21,Climatologia_TMED!A:U,9+$E$2,FALSE),"")</f>
        <v>25.445872233516159</v>
      </c>
      <c r="AS21" s="71">
        <f t="shared" si="2"/>
        <v>2.8410842882229765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>
        <v>16.3</v>
      </c>
      <c r="V22" s="56">
        <v>17</v>
      </c>
      <c r="W22" s="56">
        <v>16</v>
      </c>
      <c r="X22" s="56">
        <v>15.8</v>
      </c>
      <c r="Y22" s="56">
        <v>16.600000000000001</v>
      </c>
      <c r="Z22" s="56">
        <v>15.1</v>
      </c>
      <c r="AA22" s="56">
        <v>15.4</v>
      </c>
      <c r="AB22" s="56">
        <v>16</v>
      </c>
      <c r="AC22" s="56">
        <v>17</v>
      </c>
      <c r="AD22" s="56">
        <v>16.3</v>
      </c>
      <c r="AE22" s="56">
        <v>15.2</v>
      </c>
      <c r="AF22" s="56">
        <v>14.2</v>
      </c>
      <c r="AG22" s="56">
        <v>15.6</v>
      </c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23</v>
      </c>
      <c r="AQ22" s="71">
        <f t="shared" si="1"/>
        <v>15.678260869565218</v>
      </c>
      <c r="AR22" s="71">
        <f>IFERROR(VLOOKUP(A22,Climatologia_TMED!A:U,9+$E$2,FALSE),"")</f>
        <v>13.827819728473219</v>
      </c>
      <c r="AS22" s="71">
        <f t="shared" si="2"/>
        <v>1.8504411410919985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>
        <v>27.2</v>
      </c>
      <c r="V23" s="56">
        <v>26.3</v>
      </c>
      <c r="W23" s="56">
        <v>27.7</v>
      </c>
      <c r="X23" s="56">
        <v>25.8</v>
      </c>
      <c r="Y23" s="56">
        <v>26.1</v>
      </c>
      <c r="Z23" s="56">
        <v>23.9</v>
      </c>
      <c r="AA23" s="56">
        <v>22.8</v>
      </c>
      <c r="AB23" s="56">
        <v>26.2</v>
      </c>
      <c r="AC23" s="56">
        <v>27</v>
      </c>
      <c r="AD23" s="56">
        <v>27.4</v>
      </c>
      <c r="AE23" s="56">
        <v>26.9</v>
      </c>
      <c r="AF23" s="56">
        <v>27.7</v>
      </c>
      <c r="AG23" s="56">
        <v>27.9</v>
      </c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22</v>
      </c>
      <c r="AQ23" s="71">
        <f t="shared" si="1"/>
        <v>26.400000000000002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>
        <v>31.3</v>
      </c>
      <c r="V24" s="56">
        <v>28.3</v>
      </c>
      <c r="W24" s="56">
        <v>31.5</v>
      </c>
      <c r="X24" s="56">
        <v>29.8</v>
      </c>
      <c r="Y24" s="56">
        <v>31.3</v>
      </c>
      <c r="Z24" s="56">
        <v>28.4</v>
      </c>
      <c r="AA24" s="56">
        <v>27.6</v>
      </c>
      <c r="AB24" s="56">
        <v>30.7</v>
      </c>
      <c r="AC24" s="56">
        <v>31.5</v>
      </c>
      <c r="AD24" s="56">
        <v>31.1</v>
      </c>
      <c r="AE24" s="56">
        <v>30.9</v>
      </c>
      <c r="AF24" s="56">
        <v>29.3</v>
      </c>
      <c r="AG24" s="56">
        <v>30</v>
      </c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23</v>
      </c>
      <c r="AQ24" s="71">
        <f t="shared" si="1"/>
        <v>30.556521739130439</v>
      </c>
      <c r="AR24" s="71">
        <f>IFERROR(VLOOKUP(A24,Climatologia_TMED!A:U,9+$E$2,FALSE),"")</f>
        <v>29.117078853046579</v>
      </c>
      <c r="AS24" s="71">
        <f t="shared" si="2"/>
        <v>1.4394428860838602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>
        <v>23.2</v>
      </c>
      <c r="V25" s="56">
        <v>22</v>
      </c>
      <c r="W25" s="56">
        <v>22</v>
      </c>
      <c r="X25" s="56">
        <v>21.3</v>
      </c>
      <c r="Y25" s="56">
        <v>23.2</v>
      </c>
      <c r="Z25" s="56">
        <v>19.3</v>
      </c>
      <c r="AA25" s="56">
        <v>19.5</v>
      </c>
      <c r="AB25" s="56">
        <v>21.6</v>
      </c>
      <c r="AC25" s="56">
        <v>23.8</v>
      </c>
      <c r="AD25" s="56">
        <v>22.9</v>
      </c>
      <c r="AE25" s="56">
        <v>23.9</v>
      </c>
      <c r="AF25" s="56">
        <v>22.3</v>
      </c>
      <c r="AG25" s="56">
        <v>23</v>
      </c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23</v>
      </c>
      <c r="AQ25" s="71">
        <f t="shared" si="1"/>
        <v>22.556521739130432</v>
      </c>
      <c r="AR25" s="71">
        <f>IFERROR(VLOOKUP(A25,Climatologia_TMED!A:U,9+$E$2,FALSE),"")</f>
        <v>20.318073144829391</v>
      </c>
      <c r="AS25" s="71">
        <f t="shared" si="2"/>
        <v>2.2384485943010404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>
        <v>10.7</v>
      </c>
      <c r="V26" s="56">
        <v>11.2</v>
      </c>
      <c r="W26" s="56">
        <v>9</v>
      </c>
      <c r="X26" s="56">
        <v>10.1</v>
      </c>
      <c r="Y26" s="56">
        <v>12.2</v>
      </c>
      <c r="Z26" s="56">
        <v>12.1</v>
      </c>
      <c r="AA26" s="56">
        <v>12.7</v>
      </c>
      <c r="AB26" s="56">
        <v>11.9</v>
      </c>
      <c r="AC26" s="56">
        <v>11.7</v>
      </c>
      <c r="AD26" s="56">
        <v>11.5</v>
      </c>
      <c r="AE26" s="56">
        <v>12.1</v>
      </c>
      <c r="AF26" s="56">
        <v>11.7</v>
      </c>
      <c r="AG26" s="56">
        <v>12.4</v>
      </c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23</v>
      </c>
      <c r="AQ26" s="71">
        <f t="shared" si="1"/>
        <v>11.586956521739127</v>
      </c>
      <c r="AR26" s="71">
        <f>IFERROR(VLOOKUP(A26,Climatologia_TMED!A:U,9+$E$2,FALSE),"")</f>
        <v>10.2499147200593</v>
      </c>
      <c r="AS26" s="71">
        <f t="shared" si="2"/>
        <v>1.3370418016798276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>
        <v>31.1</v>
      </c>
      <c r="V27" s="56">
        <v>28.7</v>
      </c>
      <c r="W27" s="56">
        <v>30.4</v>
      </c>
      <c r="X27" s="56">
        <v>27.3</v>
      </c>
      <c r="Y27" s="56">
        <v>27.7</v>
      </c>
      <c r="Z27" s="56">
        <v>26.4</v>
      </c>
      <c r="AA27" s="56">
        <v>24.9</v>
      </c>
      <c r="AB27" s="56">
        <v>28.4</v>
      </c>
      <c r="AC27" s="56">
        <v>29.3</v>
      </c>
      <c r="AD27" s="56">
        <v>29.6</v>
      </c>
      <c r="AE27" s="56">
        <v>29.1</v>
      </c>
      <c r="AF27" s="56">
        <v>26.2</v>
      </c>
      <c r="AG27" s="56">
        <v>29.7</v>
      </c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23</v>
      </c>
      <c r="AQ27" s="71">
        <f t="shared" si="1"/>
        <v>28.252173913043482</v>
      </c>
      <c r="AR27" s="71">
        <f>IFERROR(VLOOKUP(A27,Climatologia_TMED!A:U,9+$E$2,FALSE),"")</f>
        <v>26.978227598566299</v>
      </c>
      <c r="AS27" s="71">
        <f t="shared" si="2"/>
        <v>1.2739463144771825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>
        <v>27.8</v>
      </c>
      <c r="V28" s="56">
        <v>27.9</v>
      </c>
      <c r="W28" s="56">
        <v>28.9</v>
      </c>
      <c r="X28" s="56">
        <v>28.9</v>
      </c>
      <c r="Y28" s="56">
        <v>25.5</v>
      </c>
      <c r="Z28" s="56">
        <v>25.2</v>
      </c>
      <c r="AA28" s="56">
        <v>26.9</v>
      </c>
      <c r="AB28" s="56">
        <v>27.4</v>
      </c>
      <c r="AC28" s="56">
        <v>29.9</v>
      </c>
      <c r="AD28" s="56">
        <v>27.6</v>
      </c>
      <c r="AE28" s="56">
        <v>28.3</v>
      </c>
      <c r="AF28" s="56">
        <v>27.6</v>
      </c>
      <c r="AG28" s="56">
        <v>25.1</v>
      </c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23</v>
      </c>
      <c r="AQ28" s="71">
        <f t="shared" si="1"/>
        <v>27.704347826086952</v>
      </c>
      <c r="AR28" s="71">
        <f>IFERROR(VLOOKUP(A28,Climatologia_TMED!A:U,9+$E$2,FALSE),"")</f>
        <v>26.165451660622249</v>
      </c>
      <c r="AS28" s="71">
        <f t="shared" si="2"/>
        <v>1.5388961654647026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>
        <v>29.1</v>
      </c>
      <c r="V29" s="56">
        <v>28.5</v>
      </c>
      <c r="W29" s="56">
        <v>25.8</v>
      </c>
      <c r="X29" s="56">
        <v>27.9</v>
      </c>
      <c r="Y29" s="56">
        <v>28.1</v>
      </c>
      <c r="Z29" s="56">
        <v>26.5</v>
      </c>
      <c r="AA29" s="56">
        <v>25.1</v>
      </c>
      <c r="AB29" s="56">
        <v>28.6</v>
      </c>
      <c r="AC29" s="56">
        <v>29</v>
      </c>
      <c r="AD29" s="56">
        <v>28.9</v>
      </c>
      <c r="AE29" s="56">
        <v>26.9</v>
      </c>
      <c r="AF29" s="56">
        <v>27.8</v>
      </c>
      <c r="AG29" s="56">
        <v>27.1</v>
      </c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23</v>
      </c>
      <c r="AQ29" s="71">
        <f t="shared" si="1"/>
        <v>27.708695652173915</v>
      </c>
      <c r="AR29" s="71">
        <f>IFERROR(VLOOKUP(A29,Climatologia_TMED!A:U,9+$E$2,FALSE),"")</f>
        <v>27.268435099846361</v>
      </c>
      <c r="AS29" s="71">
        <f t="shared" si="2"/>
        <v>0.44026055232755468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>
        <v>26.5</v>
      </c>
      <c r="V30" s="56">
        <v>27.8</v>
      </c>
      <c r="W30" s="56">
        <v>26.8</v>
      </c>
      <c r="X30" s="56">
        <v>24.3</v>
      </c>
      <c r="Y30" s="56">
        <v>25.5</v>
      </c>
      <c r="Z30" s="56">
        <v>25.7</v>
      </c>
      <c r="AA30" s="56">
        <v>24.1</v>
      </c>
      <c r="AB30" s="56">
        <v>26.4</v>
      </c>
      <c r="AC30" s="56">
        <v>28.1</v>
      </c>
      <c r="AD30" s="56">
        <v>27.1</v>
      </c>
      <c r="AE30" s="56">
        <v>25.4</v>
      </c>
      <c r="AF30" s="56">
        <v>26.4</v>
      </c>
      <c r="AG30" s="56">
        <v>24.4</v>
      </c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23</v>
      </c>
      <c r="AQ30" s="71">
        <f t="shared" si="1"/>
        <v>26.030434782608697</v>
      </c>
      <c r="AR30" s="71">
        <f>IFERROR(VLOOKUP(A30,Climatologia_TMED!A:U,9+$E$2,FALSE),"")</f>
        <v>25.205756395995511</v>
      </c>
      <c r="AS30" s="71">
        <f t="shared" si="2"/>
        <v>0.82467838661318638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>
        <v>27.1</v>
      </c>
      <c r="V31" s="98">
        <v>27.7</v>
      </c>
      <c r="W31" s="98">
        <v>29.1</v>
      </c>
      <c r="X31" s="98">
        <v>28.4</v>
      </c>
      <c r="Y31" s="98">
        <v>25.6</v>
      </c>
      <c r="Z31" s="98">
        <v>28</v>
      </c>
      <c r="AA31" s="98">
        <v>27.5</v>
      </c>
      <c r="AB31" s="98">
        <v>25.7</v>
      </c>
      <c r="AC31" s="98">
        <v>26.6</v>
      </c>
      <c r="AD31" s="98">
        <v>28.4</v>
      </c>
      <c r="AE31" s="98">
        <v>27</v>
      </c>
      <c r="AF31" s="98">
        <v>27.7</v>
      </c>
      <c r="AG31" s="98">
        <v>25.9</v>
      </c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23</v>
      </c>
      <c r="AQ31" s="71">
        <f t="shared" si="1"/>
        <v>27.469565217391303</v>
      </c>
      <c r="AR31" s="71">
        <f>IFERROR(VLOOKUP(A31,Climatologia_TMED!A:U,9+$E$2,FALSE),"")</f>
        <v>25.960296951277201</v>
      </c>
      <c r="AS31" s="71">
        <f t="shared" si="2"/>
        <v>1.5092682661141019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>
        <v>20.266666666666669</v>
      </c>
      <c r="V32" s="56">
        <v>20.2</v>
      </c>
      <c r="W32" s="56">
        <v>17.266666666666669</v>
      </c>
      <c r="X32" s="56">
        <v>20.86666666666666</v>
      </c>
      <c r="Y32" s="56">
        <v>21.733333333333331</v>
      </c>
      <c r="Z32" s="56">
        <v>21.2</v>
      </c>
      <c r="AA32" s="56">
        <v>20.399999999999999</v>
      </c>
      <c r="AB32" s="56">
        <v>21.06666666666667</v>
      </c>
      <c r="AC32" s="56">
        <v>20.533333333333331</v>
      </c>
      <c r="AD32" s="56">
        <v>19.8</v>
      </c>
      <c r="AE32" s="56">
        <v>20.2</v>
      </c>
      <c r="AF32" s="56">
        <v>19.866666666666671</v>
      </c>
      <c r="AG32" s="56">
        <v>20.6</v>
      </c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23</v>
      </c>
      <c r="AQ32" s="71">
        <f t="shared" si="1"/>
        <v>20.22608695652174</v>
      </c>
      <c r="AR32" s="71">
        <f>IFERROR(VLOOKUP(A32,Climatologia_TMED!A:U,9+$E$2,FALSE),"")</f>
        <v>17.69892835396929</v>
      </c>
      <c r="AS32" s="71">
        <f t="shared" si="2"/>
        <v>2.5271586025524506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>
        <v>29.9</v>
      </c>
      <c r="V33" s="56">
        <v>29</v>
      </c>
      <c r="W33" s="56">
        <v>27.75</v>
      </c>
      <c r="X33" s="56">
        <v>29.45</v>
      </c>
      <c r="Y33" s="56">
        <v>28.35</v>
      </c>
      <c r="Z33" s="56">
        <v>28.35</v>
      </c>
      <c r="AA33" s="56">
        <v>24.95</v>
      </c>
      <c r="AB33" s="56">
        <v>27.8</v>
      </c>
      <c r="AC33" s="56">
        <v>29.45</v>
      </c>
      <c r="AD33" s="56">
        <v>29.7</v>
      </c>
      <c r="AE33" s="56">
        <v>29.3</v>
      </c>
      <c r="AF33" s="56">
        <v>26.35</v>
      </c>
      <c r="AG33" s="56">
        <v>28.7</v>
      </c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23</v>
      </c>
      <c r="AQ33" s="71">
        <f t="shared" si="1"/>
        <v>28.095652173913045</v>
      </c>
      <c r="AR33" s="71">
        <f>IFERROR(VLOOKUP(A33,Climatologia_TMED!A:U,9+$E$2,FALSE),"")</f>
        <v>26.885476337530289</v>
      </c>
      <c r="AS33" s="71">
        <f t="shared" si="2"/>
        <v>1.2101758363827564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20.8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>
        <v>22</v>
      </c>
      <c r="V34" s="56">
        <v>21.8</v>
      </c>
      <c r="W34" s="56">
        <v>22.06666666666667</v>
      </c>
      <c r="X34" s="56">
        <v>22.666666666666671</v>
      </c>
      <c r="Y34" s="56">
        <v>22.4</v>
      </c>
      <c r="Z34" s="56">
        <v>21.333333333333329</v>
      </c>
      <c r="AA34" s="56">
        <v>19.8</v>
      </c>
      <c r="AB34" s="56">
        <v>20.399999999999999</v>
      </c>
      <c r="AC34" s="56">
        <v>23.2</v>
      </c>
      <c r="AD34" s="56">
        <v>22.06666666666667</v>
      </c>
      <c r="AE34" s="56">
        <v>21.86666666666666</v>
      </c>
      <c r="AF34" s="56">
        <v>21.733333333333331</v>
      </c>
      <c r="AG34" s="56">
        <v>21.666666666666671</v>
      </c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23</v>
      </c>
      <c r="AQ34" s="71">
        <f t="shared" si="1"/>
        <v>21.660869565217389</v>
      </c>
      <c r="AR34" s="71">
        <f>IFERROR(VLOOKUP(A34,Climatologia_TMED!A:U,9+$E$2,FALSE),"")</f>
        <v>19.861806556333011</v>
      </c>
      <c r="AS34" s="71">
        <f t="shared" si="2"/>
        <v>1.799063008884378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>
        <v>24.1</v>
      </c>
      <c r="V35" s="56">
        <v>26.475000000000001</v>
      </c>
      <c r="W35" s="56">
        <v>25.2</v>
      </c>
      <c r="X35" s="56">
        <v>25.7</v>
      </c>
      <c r="Y35" s="56">
        <v>25.65</v>
      </c>
      <c r="Z35" s="56">
        <v>23.1</v>
      </c>
      <c r="AA35" s="56">
        <v>23.95</v>
      </c>
      <c r="AB35" s="56">
        <v>24.85</v>
      </c>
      <c r="AC35" s="56">
        <v>27.55</v>
      </c>
      <c r="AD35" s="56">
        <v>26.85</v>
      </c>
      <c r="AE35" s="56">
        <v>25.75</v>
      </c>
      <c r="AF35" s="56">
        <v>24.05</v>
      </c>
      <c r="AG35" s="56">
        <v>23.55</v>
      </c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23</v>
      </c>
      <c r="AQ35" s="71">
        <f t="shared" si="1"/>
        <v>25.14891304347826</v>
      </c>
      <c r="AR35" s="71">
        <f>IFERROR(VLOOKUP(A35,Climatologia_TMED!A:U,9+$E$2,FALSE),"")</f>
        <v>24.163939937062029</v>
      </c>
      <c r="AS35" s="71">
        <f t="shared" si="2"/>
        <v>0.98497310641623059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>
        <v>20.350000000000001</v>
      </c>
      <c r="V36" s="56">
        <v>20.65</v>
      </c>
      <c r="W36" s="56">
        <v>19.899999999999999</v>
      </c>
      <c r="X36" s="56">
        <v>21.25</v>
      </c>
      <c r="Y36" s="56">
        <v>21.15</v>
      </c>
      <c r="Z36" s="56">
        <v>20.3</v>
      </c>
      <c r="AA36" s="56">
        <v>19.2</v>
      </c>
      <c r="AB36" s="56">
        <v>19.55</v>
      </c>
      <c r="AC36" s="56">
        <v>20</v>
      </c>
      <c r="AD36" s="56">
        <v>20.100000000000001</v>
      </c>
      <c r="AE36" s="56">
        <v>20.55</v>
      </c>
      <c r="AF36" s="56">
        <v>19.600000000000001</v>
      </c>
      <c r="AG36" s="56">
        <v>20.7</v>
      </c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23</v>
      </c>
      <c r="AQ36" s="71">
        <f t="shared" si="1"/>
        <v>20.136956521739133</v>
      </c>
      <c r="AR36" s="71">
        <f>IFERROR(VLOOKUP(A36,Climatologia_TMED!A:U,9+$E$2,FALSE),"")</f>
        <v>18.948390779307498</v>
      </c>
      <c r="AS36" s="71">
        <f t="shared" si="2"/>
        <v>1.1885657424316349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>
        <v>28</v>
      </c>
      <c r="V37" s="56">
        <v>28.6</v>
      </c>
      <c r="W37" s="56">
        <v>28.65</v>
      </c>
      <c r="X37" s="56">
        <v>30.8</v>
      </c>
      <c r="Y37" s="56">
        <v>31.2</v>
      </c>
      <c r="Z37" s="56">
        <v>26.95</v>
      </c>
      <c r="AA37" s="56">
        <v>26.15</v>
      </c>
      <c r="AB37" s="56">
        <v>28.2</v>
      </c>
      <c r="AC37" s="56">
        <v>29.5</v>
      </c>
      <c r="AD37" s="56">
        <v>27.7</v>
      </c>
      <c r="AE37" s="56">
        <v>28.25</v>
      </c>
      <c r="AF37" s="56">
        <v>28.5</v>
      </c>
      <c r="AG37" s="56">
        <v>27.9</v>
      </c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23</v>
      </c>
      <c r="AQ37" s="71">
        <f t="shared" si="1"/>
        <v>27.997826086956518</v>
      </c>
      <c r="AR37" s="71">
        <f>IFERROR(VLOOKUP(A37,Climatologia_TMED!A:U,9+$E$2,FALSE),"")</f>
        <v>26.09341273397051</v>
      </c>
      <c r="AS37" s="71">
        <f t="shared" si="2"/>
        <v>1.9044133529860083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>
        <v>17.399999999999999</v>
      </c>
      <c r="V38" s="56">
        <v>15.65</v>
      </c>
      <c r="W38" s="56">
        <v>15.85</v>
      </c>
      <c r="X38" s="56">
        <v>16.149999999999999</v>
      </c>
      <c r="Y38" s="56">
        <v>16.8</v>
      </c>
      <c r="Z38" s="56"/>
      <c r="AA38" s="56">
        <v>15.7</v>
      </c>
      <c r="AB38" s="56">
        <v>15.95</v>
      </c>
      <c r="AC38" s="56">
        <v>17.100000000000001</v>
      </c>
      <c r="AD38" s="56">
        <v>16.350000000000001</v>
      </c>
      <c r="AE38" s="56">
        <v>17.25</v>
      </c>
      <c r="AF38" s="56">
        <v>15.45</v>
      </c>
      <c r="AG38" s="56">
        <v>15.3</v>
      </c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22</v>
      </c>
      <c r="AQ38" s="71">
        <f t="shared" si="1"/>
        <v>16.156818181818185</v>
      </c>
      <c r="AR38" s="71">
        <f>IFERROR(VLOOKUP(A38,Climatologia_TMED!A:U,9+$E$2,FALSE),"")</f>
        <v>15.0852109133605</v>
      </c>
      <c r="AS38" s="71">
        <f t="shared" si="2"/>
        <v>1.0716072684576847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>
        <v>24.6</v>
      </c>
      <c r="V39" s="56">
        <v>24.533333333333331</v>
      </c>
      <c r="W39" s="56">
        <v>24.533333333333331</v>
      </c>
      <c r="X39" s="56">
        <v>25.2</v>
      </c>
      <c r="Y39" s="56">
        <v>23.86666666666666</v>
      </c>
      <c r="Z39" s="56">
        <v>22.333333333333329</v>
      </c>
      <c r="AA39" s="56">
        <v>18.399999999999999</v>
      </c>
      <c r="AB39" s="56">
        <v>20.666666666666671</v>
      </c>
      <c r="AC39" s="56">
        <v>23.333333333333329</v>
      </c>
      <c r="AD39" s="56">
        <v>24.266666666666669</v>
      </c>
      <c r="AE39" s="56">
        <v>23.2</v>
      </c>
      <c r="AF39" s="56">
        <v>22.533333333333331</v>
      </c>
      <c r="AG39" s="56">
        <v>21.666666666666671</v>
      </c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23</v>
      </c>
      <c r="AQ39" s="71">
        <f t="shared" si="1"/>
        <v>23.017391304347822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>
        <v>26.86666666666666</v>
      </c>
      <c r="V40" s="56">
        <v>26.866666666666671</v>
      </c>
      <c r="W40" s="56">
        <v>26.6</v>
      </c>
      <c r="X40" s="56">
        <v>26.733333333333331</v>
      </c>
      <c r="Y40" s="56">
        <v>25.86666666666666</v>
      </c>
      <c r="Z40" s="56">
        <v>25.333333333333329</v>
      </c>
      <c r="AA40" s="56">
        <v>20.266666666666669</v>
      </c>
      <c r="AB40" s="56"/>
      <c r="AC40" s="56">
        <v>25.6</v>
      </c>
      <c r="AD40" s="56">
        <v>24.8</v>
      </c>
      <c r="AE40" s="56">
        <v>26.2</v>
      </c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16</v>
      </c>
      <c r="AQ40" s="71">
        <f t="shared" si="1"/>
        <v>25.637499999999999</v>
      </c>
      <c r="AR40" s="71">
        <f>IFERROR(VLOOKUP(A40,Climatologia_TMED!A:U,9+$E$2,FALSE),"")</f>
        <v>22.98415856403572</v>
      </c>
      <c r="AS40" s="71">
        <f t="shared" si="2"/>
        <v>2.6533414359642791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>
        <v>20.13333333333334</v>
      </c>
      <c r="V41" s="56">
        <v>18.466666666666669</v>
      </c>
      <c r="W41" s="56">
        <v>20.733333333333331</v>
      </c>
      <c r="X41" s="56">
        <v>21.266666666666669</v>
      </c>
      <c r="Y41" s="56">
        <v>19.399999999999999</v>
      </c>
      <c r="Z41" s="56">
        <v>19.8</v>
      </c>
      <c r="AA41" s="56">
        <v>18.533333333333331</v>
      </c>
      <c r="AB41" s="56">
        <v>20.2</v>
      </c>
      <c r="AC41" s="56">
        <v>20.100000000000001</v>
      </c>
      <c r="AD41" s="56">
        <v>20.2</v>
      </c>
      <c r="AE41" s="56">
        <v>19.866666666666671</v>
      </c>
      <c r="AF41" s="56">
        <v>19.8</v>
      </c>
      <c r="AG41" s="56">
        <v>19.666666666666661</v>
      </c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22</v>
      </c>
      <c r="AQ41" s="71">
        <f t="shared" si="1"/>
        <v>20.443939393939392</v>
      </c>
      <c r="AR41" s="71">
        <f>IFERROR(VLOOKUP(A41,Climatologia_TMED!A:U,9+$E$2,FALSE),"")</f>
        <v>18.50720543555942</v>
      </c>
      <c r="AS41" s="71">
        <f t="shared" si="2"/>
        <v>1.9367339583799712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>
        <v>28.9</v>
      </c>
      <c r="V42" s="56">
        <v>29.15</v>
      </c>
      <c r="W42" s="56">
        <v>28.55</v>
      </c>
      <c r="X42" s="56">
        <v>28.85</v>
      </c>
      <c r="Y42" s="56">
        <v>28.75</v>
      </c>
      <c r="Z42" s="56">
        <v>28.05</v>
      </c>
      <c r="AA42" s="56">
        <v>25.8</v>
      </c>
      <c r="AB42" s="56">
        <v>28.3</v>
      </c>
      <c r="AC42" s="56">
        <v>28</v>
      </c>
      <c r="AD42" s="56">
        <v>28.4</v>
      </c>
      <c r="AE42" s="56">
        <v>28.4</v>
      </c>
      <c r="AF42" s="56">
        <v>26.95</v>
      </c>
      <c r="AG42" s="56">
        <v>28.85</v>
      </c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23</v>
      </c>
      <c r="AQ42" s="71">
        <f t="shared" si="1"/>
        <v>28.095652173913045</v>
      </c>
      <c r="AR42" s="71">
        <f>IFERROR(VLOOKUP(A42,Climatologia_TMED!A:U,9+$E$2,FALSE),"")</f>
        <v>27.517114695340499</v>
      </c>
      <c r="AS42" s="71">
        <f t="shared" si="2"/>
        <v>0.57853747857254589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>
        <v>30.35</v>
      </c>
      <c r="V43" s="56">
        <v>30.55</v>
      </c>
      <c r="W43" s="56">
        <v>29.5</v>
      </c>
      <c r="X43" s="56">
        <v>30.25</v>
      </c>
      <c r="Y43" s="56">
        <v>29.9</v>
      </c>
      <c r="Z43" s="56">
        <v>28.85</v>
      </c>
      <c r="AA43" s="56">
        <v>26.7</v>
      </c>
      <c r="AB43" s="56">
        <v>28.4</v>
      </c>
      <c r="AC43" s="56">
        <v>29.95</v>
      </c>
      <c r="AD43" s="56">
        <v>29.75</v>
      </c>
      <c r="AE43" s="56">
        <v>30.9</v>
      </c>
      <c r="AF43" s="56">
        <v>28.95</v>
      </c>
      <c r="AG43" s="56">
        <v>29.55</v>
      </c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23</v>
      </c>
      <c r="AQ43" s="71">
        <f t="shared" si="1"/>
        <v>29.491304347826091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>
        <v>30.5</v>
      </c>
      <c r="V44" s="56">
        <v>30.45</v>
      </c>
      <c r="W44" s="56">
        <v>28.925000000000001</v>
      </c>
      <c r="X44" s="56">
        <v>30.15</v>
      </c>
      <c r="Y44" s="56">
        <v>29.3</v>
      </c>
      <c r="Z44" s="56">
        <v>29.8</v>
      </c>
      <c r="AA44" s="56">
        <v>25.85</v>
      </c>
      <c r="AB44" s="56">
        <v>28.074999999999999</v>
      </c>
      <c r="AC44" s="56">
        <v>31.3</v>
      </c>
      <c r="AD44" s="56">
        <v>28.2</v>
      </c>
      <c r="AE44" s="56">
        <v>30.024999999999999</v>
      </c>
      <c r="AF44" s="56">
        <v>26.675000000000001</v>
      </c>
      <c r="AG44" s="56">
        <v>30.725000000000001</v>
      </c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23</v>
      </c>
      <c r="AQ44" s="71">
        <f t="shared" si="1"/>
        <v>28.781521739130437</v>
      </c>
      <c r="AR44" s="71">
        <f>IFERROR(VLOOKUP(A44,Climatologia_TMED!A:U,9+$E$2,FALSE),"")</f>
        <v>27.22851750737534</v>
      </c>
      <c r="AS44" s="71">
        <f t="shared" si="2"/>
        <v>1.5530042317550965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>
        <v>30.15</v>
      </c>
      <c r="V45" s="56">
        <v>30.4</v>
      </c>
      <c r="W45" s="56">
        <v>28.95</v>
      </c>
      <c r="X45" s="56">
        <v>30.1</v>
      </c>
      <c r="Y45" s="56">
        <v>29.55</v>
      </c>
      <c r="Z45" s="56">
        <v>29.55</v>
      </c>
      <c r="AA45" s="56">
        <v>27.15</v>
      </c>
      <c r="AB45" s="56">
        <v>28.1</v>
      </c>
      <c r="AC45" s="56">
        <v>29.7</v>
      </c>
      <c r="AD45" s="56">
        <v>30.2</v>
      </c>
      <c r="AE45" s="56">
        <v>28.95</v>
      </c>
      <c r="AF45" s="56">
        <v>27.3</v>
      </c>
      <c r="AG45" s="56">
        <v>26.8</v>
      </c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23</v>
      </c>
      <c r="AQ45" s="71">
        <f t="shared" si="1"/>
        <v>29.054347826086957</v>
      </c>
      <c r="AR45" s="71">
        <f>IFERROR(VLOOKUP(A45,Climatologia_TMED!A:U,9+$E$2,FALSE),"")</f>
        <v>27.597106102685618</v>
      </c>
      <c r="AS45" s="71">
        <f t="shared" si="2"/>
        <v>1.4572417234013386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>
        <v>29.8</v>
      </c>
      <c r="V46" s="56">
        <v>29.9</v>
      </c>
      <c r="W46" s="56">
        <v>28.95</v>
      </c>
      <c r="X46" s="56">
        <v>29.35</v>
      </c>
      <c r="Y46" s="56">
        <v>29.75</v>
      </c>
      <c r="Z46" s="56">
        <v>28.65</v>
      </c>
      <c r="AA46" s="56">
        <v>27.8</v>
      </c>
      <c r="AB46" s="56">
        <v>28.5</v>
      </c>
      <c r="AC46" s="56">
        <v>29.05</v>
      </c>
      <c r="AD46" s="56">
        <v>29</v>
      </c>
      <c r="AE46" s="56">
        <v>29.8</v>
      </c>
      <c r="AF46" s="56">
        <v>28.4</v>
      </c>
      <c r="AG46" s="56">
        <v>28.3</v>
      </c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23</v>
      </c>
      <c r="AQ46" s="71">
        <f t="shared" si="1"/>
        <v>28.933695652173903</v>
      </c>
      <c r="AR46" s="71">
        <f>IFERROR(VLOOKUP(A46,Climatologia_TMED!A:U,9+$E$2,FALSE),"")</f>
        <v>27.738976943755159</v>
      </c>
      <c r="AS46" s="71">
        <f t="shared" si="2"/>
        <v>1.1947187084187441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>
        <v>31.6</v>
      </c>
      <c r="V47" s="56">
        <v>31.4</v>
      </c>
      <c r="W47" s="56"/>
      <c r="X47" s="56"/>
      <c r="Y47" s="56">
        <v>31.13333333333334</v>
      </c>
      <c r="Z47" s="56">
        <v>29.866666666666671</v>
      </c>
      <c r="AA47" s="56">
        <v>26.666666666666671</v>
      </c>
      <c r="AB47" s="56">
        <v>29.4</v>
      </c>
      <c r="AC47" s="56">
        <v>30.8</v>
      </c>
      <c r="AD47" s="56">
        <v>30.6</v>
      </c>
      <c r="AE47" s="56">
        <v>31.933333333333341</v>
      </c>
      <c r="AF47" s="56">
        <v>28.06666666666667</v>
      </c>
      <c r="AG47" s="56">
        <v>30.666666666666671</v>
      </c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21</v>
      </c>
      <c r="AQ47" s="71">
        <f t="shared" si="1"/>
        <v>30.1</v>
      </c>
      <c r="AR47" s="71">
        <f>IFERROR(VLOOKUP(A47,Climatologia_TMED!A:U,9+$E$2,FALSE),"")</f>
        <v>27.87742247854888</v>
      </c>
      <c r="AS47" s="71">
        <f t="shared" si="2"/>
        <v>2.2225775214511216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>
        <v>31.95</v>
      </c>
      <c r="V50" s="56">
        <v>29.55</v>
      </c>
      <c r="W50" s="56">
        <v>30.85</v>
      </c>
      <c r="X50" s="56">
        <v>29.35</v>
      </c>
      <c r="Y50" s="56">
        <v>29.85</v>
      </c>
      <c r="Z50" s="56">
        <v>28.5</v>
      </c>
      <c r="AA50" s="56">
        <v>27.5</v>
      </c>
      <c r="AB50" s="56">
        <v>28.3</v>
      </c>
      <c r="AC50" s="56">
        <v>29.55</v>
      </c>
      <c r="AD50" s="56">
        <v>29.1</v>
      </c>
      <c r="AE50" s="56">
        <v>29.05</v>
      </c>
      <c r="AF50" s="56">
        <v>26.35</v>
      </c>
      <c r="AG50" s="56">
        <v>28.85</v>
      </c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23</v>
      </c>
      <c r="AQ50" s="71">
        <f t="shared" si="1"/>
        <v>29.039130434782614</v>
      </c>
      <c r="AR50" s="71">
        <f>IFERROR(VLOOKUP(A50,Climatologia_TMED!A:U,9+$E$2,FALSE),"")</f>
        <v>27.21920614995987</v>
      </c>
      <c r="AS50" s="71">
        <f t="shared" si="2"/>
        <v>1.8199242848227435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>
        <v>30.85</v>
      </c>
      <c r="V53" s="56">
        <v>30.65</v>
      </c>
      <c r="W53" s="56">
        <v>28.45</v>
      </c>
      <c r="X53" s="56">
        <v>29.95</v>
      </c>
      <c r="Y53" s="56">
        <v>29.4</v>
      </c>
      <c r="Z53" s="56">
        <v>28.8</v>
      </c>
      <c r="AA53" s="56">
        <v>26.5</v>
      </c>
      <c r="AB53" s="56">
        <v>26.55</v>
      </c>
      <c r="AC53" s="56">
        <v>29.1</v>
      </c>
      <c r="AD53" s="56">
        <v>29.75</v>
      </c>
      <c r="AE53" s="56">
        <v>29.9</v>
      </c>
      <c r="AF53" s="56">
        <v>27.15</v>
      </c>
      <c r="AG53" s="56">
        <v>28.1</v>
      </c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23</v>
      </c>
      <c r="AQ53" s="71">
        <f t="shared" si="1"/>
        <v>28.834782608695651</v>
      </c>
      <c r="AR53" s="71">
        <f>IFERROR(VLOOKUP(A53,Climatologia_TMED!A:U,9+$E$2,FALSE),"")</f>
        <v>27.2190910764708</v>
      </c>
      <c r="AS53" s="71">
        <f t="shared" si="2"/>
        <v>1.6156915322248508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>
        <v>31.75</v>
      </c>
      <c r="V54" s="56">
        <v>31.8</v>
      </c>
      <c r="W54" s="56">
        <v>29.95</v>
      </c>
      <c r="X54" s="56">
        <v>31.15</v>
      </c>
      <c r="Y54" s="56">
        <v>31.3</v>
      </c>
      <c r="Z54" s="56">
        <v>30.6</v>
      </c>
      <c r="AA54" s="56">
        <v>28</v>
      </c>
      <c r="AB54" s="56">
        <v>28.5</v>
      </c>
      <c r="AC54" s="56">
        <v>30.6</v>
      </c>
      <c r="AD54" s="56">
        <v>30.8</v>
      </c>
      <c r="AE54" s="56">
        <v>31.4</v>
      </c>
      <c r="AF54" s="56"/>
      <c r="AG54" s="56">
        <v>28.8</v>
      </c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22</v>
      </c>
      <c r="AQ54" s="71">
        <f t="shared" si="1"/>
        <v>30.161363636363635</v>
      </c>
      <c r="AR54" s="71">
        <f>IFERROR(VLOOKUP(A54,Climatologia_TMED!A:U,9+$E$2,FALSE),"")</f>
        <v>28.41139216335926</v>
      </c>
      <c r="AS54" s="71">
        <f t="shared" si="2"/>
        <v>1.7499714730043756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>
        <v>33.400000000000013</v>
      </c>
      <c r="V55" s="56"/>
      <c r="W55" s="56">
        <v>30.7</v>
      </c>
      <c r="X55" s="56">
        <v>28.3</v>
      </c>
      <c r="Y55" s="56">
        <v>31</v>
      </c>
      <c r="Z55" s="56">
        <v>30.45</v>
      </c>
      <c r="AA55" s="56">
        <v>28.6</v>
      </c>
      <c r="AB55" s="56">
        <v>30.15</v>
      </c>
      <c r="AC55" s="56">
        <v>31.4</v>
      </c>
      <c r="AD55" s="56">
        <v>32.299999999999997</v>
      </c>
      <c r="AE55" s="56">
        <v>30.05</v>
      </c>
      <c r="AF55" s="56">
        <v>29.85</v>
      </c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21</v>
      </c>
      <c r="AQ55" s="71">
        <f t="shared" si="1"/>
        <v>30.526190476190475</v>
      </c>
      <c r="AR55" s="71">
        <f>IFERROR(VLOOKUP(A55,Climatologia_TMED!A:U,9+$E$2,FALSE),"")</f>
        <v>28.417502124868491</v>
      </c>
      <c r="AS55" s="71">
        <f t="shared" si="2"/>
        <v>2.1086883513219838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>
        <v>31.15</v>
      </c>
      <c r="V56" s="56">
        <v>30.9</v>
      </c>
      <c r="W56" s="56">
        <v>30.9</v>
      </c>
      <c r="X56" s="56"/>
      <c r="Y56" s="56"/>
      <c r="Z56" s="56"/>
      <c r="AA56" s="56">
        <v>28.45</v>
      </c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14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>
        <v>30.65</v>
      </c>
      <c r="V59" s="56">
        <v>29.15</v>
      </c>
      <c r="W59" s="56">
        <v>29.05</v>
      </c>
      <c r="X59" s="56">
        <v>27.35</v>
      </c>
      <c r="Y59" s="56">
        <v>29.45</v>
      </c>
      <c r="Z59" s="56">
        <v>29.8</v>
      </c>
      <c r="AA59" s="56">
        <v>27.85</v>
      </c>
      <c r="AB59" s="56">
        <v>28.2</v>
      </c>
      <c r="AC59" s="99">
        <v>29.05</v>
      </c>
      <c r="AD59" s="56">
        <v>31.2</v>
      </c>
      <c r="AE59" s="56">
        <v>28.25</v>
      </c>
      <c r="AF59" s="56">
        <v>28.35</v>
      </c>
      <c r="AG59" s="56">
        <v>27.2</v>
      </c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23</v>
      </c>
      <c r="AQ59" s="71">
        <f t="shared" si="1"/>
        <v>28.836956521739136</v>
      </c>
      <c r="AR59" s="71">
        <f>IFERROR(VLOOKUP(A59,Climatologia_TMED!A:U,9+$E$2,FALSE),"")</f>
        <v>27.95576397141701</v>
      </c>
      <c r="AS59" s="71">
        <f t="shared" si="2"/>
        <v>0.88119255032212607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27.25</v>
      </c>
      <c r="L60" s="56">
        <v>24.75</v>
      </c>
      <c r="M60" s="56">
        <v>24.35</v>
      </c>
      <c r="N60" s="56"/>
      <c r="O60" s="56"/>
      <c r="P60" s="56"/>
      <c r="Q60" s="56">
        <v>24.1</v>
      </c>
      <c r="R60" s="56">
        <v>25.9</v>
      </c>
      <c r="S60" s="56">
        <v>27.95</v>
      </c>
      <c r="T60" s="56"/>
      <c r="U60" s="56">
        <v>25.6</v>
      </c>
      <c r="V60" s="56"/>
      <c r="W60" s="56"/>
      <c r="X60" s="56"/>
      <c r="Y60" s="56">
        <v>25.65</v>
      </c>
      <c r="Z60" s="56">
        <v>25.1</v>
      </c>
      <c r="AA60" s="56">
        <v>25.65</v>
      </c>
      <c r="AB60" s="56">
        <v>26.4</v>
      </c>
      <c r="AC60" s="56"/>
      <c r="AD60" s="56">
        <v>26.65</v>
      </c>
      <c r="AE60" s="56">
        <v>24.5</v>
      </c>
      <c r="AF60" s="56">
        <v>25.4</v>
      </c>
      <c r="AG60" s="56">
        <v>24.65</v>
      </c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15</v>
      </c>
      <c r="AQ60" s="71">
        <f t="shared" si="1"/>
        <v>25.593333333333323</v>
      </c>
      <c r="AR60" s="71">
        <f>IFERROR(VLOOKUP(A60,Climatologia_TMED!A:U,9+$E$2,FALSE),"")</f>
        <v>24.593803323854988</v>
      </c>
      <c r="AS60" s="71">
        <f t="shared" si="2"/>
        <v>0.99953000947833459</v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>
        <v>28.25</v>
      </c>
      <c r="V61" s="56">
        <v>27.05</v>
      </c>
      <c r="W61" s="56">
        <v>25.3</v>
      </c>
      <c r="X61" s="56">
        <v>26.95</v>
      </c>
      <c r="Y61" s="56">
        <v>27</v>
      </c>
      <c r="Z61" s="56">
        <v>26.8</v>
      </c>
      <c r="AA61" s="56">
        <v>24.6</v>
      </c>
      <c r="AB61" s="56">
        <v>27.55</v>
      </c>
      <c r="AC61" s="56">
        <v>27.6</v>
      </c>
      <c r="AD61" s="56">
        <v>28.45</v>
      </c>
      <c r="AE61" s="56">
        <v>25.9</v>
      </c>
      <c r="AF61" s="56">
        <v>26.2</v>
      </c>
      <c r="AG61" s="56">
        <v>26.85</v>
      </c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23</v>
      </c>
      <c r="AQ61" s="71">
        <f t="shared" si="1"/>
        <v>27.073913043478267</v>
      </c>
      <c r="AR61" s="71">
        <f>IFERROR(VLOOKUP(A61,Climatologia_TMED!A:U,9+$E$2,FALSE),"")</f>
        <v>26.14540821795481</v>
      </c>
      <c r="AS61" s="71">
        <f t="shared" si="2"/>
        <v>0.92850482552345781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>
        <v>26.533333333333331</v>
      </c>
      <c r="R62" s="56">
        <v>27.06666666666667</v>
      </c>
      <c r="S62" s="56">
        <v>28.333333333333329</v>
      </c>
      <c r="T62" s="56">
        <v>27.733333333333331</v>
      </c>
      <c r="U62" s="56">
        <v>26.466666666666669</v>
      </c>
      <c r="V62" s="56">
        <v>26.2</v>
      </c>
      <c r="W62" s="56">
        <v>27.4</v>
      </c>
      <c r="X62" s="56">
        <v>26.266666666666669</v>
      </c>
      <c r="Y62" s="56">
        <v>26.733333333333331</v>
      </c>
      <c r="Z62" s="56">
        <v>25.2</v>
      </c>
      <c r="AA62" s="56">
        <v>25.333333333333329</v>
      </c>
      <c r="AB62" s="56">
        <v>25.6</v>
      </c>
      <c r="AC62" s="56">
        <v>27.733333333333331</v>
      </c>
      <c r="AD62" s="56">
        <v>27.2</v>
      </c>
      <c r="AE62" s="56">
        <v>27.8</v>
      </c>
      <c r="AF62" s="56">
        <v>26.93333333333333</v>
      </c>
      <c r="AG62" s="56">
        <v>26.2</v>
      </c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23</v>
      </c>
      <c r="AQ62" s="71">
        <f t="shared" si="1"/>
        <v>26.756521739130427</v>
      </c>
      <c r="AR62" s="71">
        <f>IFERROR(VLOOKUP(A62,Climatologia_TMED!A:U,9+$E$2,FALSE),"")</f>
        <v>25.12904940316772</v>
      </c>
      <c r="AS62" s="71">
        <f t="shared" si="2"/>
        <v>1.6274723359627075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>
        <v>26.65</v>
      </c>
      <c r="M65" s="56">
        <v>26</v>
      </c>
      <c r="N65" s="56">
        <v>25.3</v>
      </c>
      <c r="O65" s="56">
        <v>25.6</v>
      </c>
      <c r="P65" s="56">
        <v>26.35</v>
      </c>
      <c r="Q65" s="56">
        <v>23.75</v>
      </c>
      <c r="R65" s="56">
        <v>26.05</v>
      </c>
      <c r="S65" s="56">
        <v>27.35</v>
      </c>
      <c r="T65" s="56">
        <v>28.5</v>
      </c>
      <c r="U65" s="56">
        <v>27.45</v>
      </c>
      <c r="V65" s="56">
        <v>25.1</v>
      </c>
      <c r="W65" s="56">
        <v>25.5</v>
      </c>
      <c r="X65" s="56">
        <v>25.05</v>
      </c>
      <c r="Y65" s="56">
        <v>26.7</v>
      </c>
      <c r="Z65" s="56">
        <v>25.2</v>
      </c>
      <c r="AA65" s="56">
        <v>24.6</v>
      </c>
      <c r="AB65" s="56">
        <v>26.35</v>
      </c>
      <c r="AC65" s="56">
        <v>26.95</v>
      </c>
      <c r="AD65" s="56">
        <v>26.3</v>
      </c>
      <c r="AE65" s="56">
        <v>25.05</v>
      </c>
      <c r="AF65" s="56">
        <v>26.75</v>
      </c>
      <c r="AG65" s="56">
        <v>25.35</v>
      </c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23</v>
      </c>
      <c r="AQ65" s="71">
        <f t="shared" si="1"/>
        <v>25.973913043478259</v>
      </c>
      <c r="AR65" s="71">
        <f>IFERROR(VLOOKUP(A65,Climatologia_TMED!A:U,9+$E$2,FALSE),"")</f>
        <v>25.359269039673709</v>
      </c>
      <c r="AS65" s="71">
        <f t="shared" si="2"/>
        <v>0.61464400380454975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>
        <v>27.45</v>
      </c>
      <c r="V66" s="56">
        <v>23</v>
      </c>
      <c r="W66" s="56">
        <v>26.3</v>
      </c>
      <c r="X66" s="56">
        <v>25.45</v>
      </c>
      <c r="Y66" s="56">
        <v>24.2</v>
      </c>
      <c r="Z66" s="56">
        <v>25.55</v>
      </c>
      <c r="AA66" s="56">
        <v>27.35</v>
      </c>
      <c r="AB66" s="56">
        <v>27.2</v>
      </c>
      <c r="AC66" s="56">
        <v>27.1</v>
      </c>
      <c r="AD66" s="56">
        <v>26.15</v>
      </c>
      <c r="AE66" s="56">
        <v>24.7</v>
      </c>
      <c r="AF66" s="56">
        <v>25.85</v>
      </c>
      <c r="AG66" s="56">
        <v>24.2</v>
      </c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23</v>
      </c>
      <c r="AQ66" s="71">
        <f t="shared" si="1"/>
        <v>25.858695652173918</v>
      </c>
      <c r="AR66" s="71">
        <f>IFERROR(VLOOKUP(A66,Climatologia_TMED!A:U,9+$E$2,FALSE),"")</f>
        <v>25.449219842417062</v>
      </c>
      <c r="AS66" s="71">
        <f t="shared" si="2"/>
        <v>0.40947580975685582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>
        <v>27.9</v>
      </c>
      <c r="V67" s="56">
        <v>26.95</v>
      </c>
      <c r="W67" s="56">
        <v>27.7</v>
      </c>
      <c r="X67" s="56">
        <v>24.45</v>
      </c>
      <c r="Y67" s="56">
        <v>25.6</v>
      </c>
      <c r="Z67" s="56">
        <v>25.85</v>
      </c>
      <c r="AA67" s="56">
        <v>24</v>
      </c>
      <c r="AB67" s="56">
        <v>26.6</v>
      </c>
      <c r="AC67" s="56">
        <v>26.95</v>
      </c>
      <c r="AD67" s="56">
        <v>27.6</v>
      </c>
      <c r="AE67" s="56">
        <v>25.6</v>
      </c>
      <c r="AF67" s="56">
        <v>25.25</v>
      </c>
      <c r="AG67" s="56">
        <v>25.05</v>
      </c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22</v>
      </c>
      <c r="AQ67" s="71">
        <f t="shared" si="1"/>
        <v>26.218181818181815</v>
      </c>
      <c r="AR67" s="71">
        <f>IFERROR(VLOOKUP(A67,Climatologia_TMED!A:U,9+$E$2,FALSE),"")</f>
        <v>25.277101656093599</v>
      </c>
      <c r="AS67" s="71">
        <f t="shared" si="2"/>
        <v>0.9410801620882161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>
        <v>26.65</v>
      </c>
      <c r="V68" s="56">
        <v>24.3</v>
      </c>
      <c r="W68" s="56">
        <v>25.75</v>
      </c>
      <c r="X68" s="56">
        <v>24.4</v>
      </c>
      <c r="Y68" s="56">
        <v>24.65</v>
      </c>
      <c r="Z68" s="56">
        <v>25.95</v>
      </c>
      <c r="AA68" s="56">
        <v>24.75</v>
      </c>
      <c r="AB68" s="56">
        <v>27.25</v>
      </c>
      <c r="AC68" s="56">
        <v>26.45</v>
      </c>
      <c r="AD68" s="56">
        <v>26.55</v>
      </c>
      <c r="AE68" s="56">
        <v>25.45</v>
      </c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21</v>
      </c>
      <c r="AQ68" s="71">
        <f t="shared" si="1"/>
        <v>25.74285714285714</v>
      </c>
      <c r="AR68" s="71">
        <f>IFERROR(VLOOKUP(A68,Climatologia_TMED!A:U,9+$E$2,FALSE),"")</f>
        <v>25.105050309426691</v>
      </c>
      <c r="AS68" s="71">
        <f t="shared" si="2"/>
        <v>0.63780683343044942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>
        <v>25.7</v>
      </c>
      <c r="V69" s="56">
        <v>25.45</v>
      </c>
      <c r="W69" s="56">
        <v>26.05</v>
      </c>
      <c r="X69" s="56">
        <v>23.95</v>
      </c>
      <c r="Y69" s="56">
        <v>27.45</v>
      </c>
      <c r="Z69" s="56">
        <v>24.5</v>
      </c>
      <c r="AA69" s="56">
        <v>24.3</v>
      </c>
      <c r="AB69" s="56">
        <v>27.15</v>
      </c>
      <c r="AC69" s="56">
        <v>27.25</v>
      </c>
      <c r="AD69" s="56">
        <v>23.5</v>
      </c>
      <c r="AE69" s="56">
        <v>24.45</v>
      </c>
      <c r="AF69" s="56">
        <v>24.95</v>
      </c>
      <c r="AG69" s="56">
        <v>24</v>
      </c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23</v>
      </c>
      <c r="AQ69" s="71">
        <f t="shared" ref="AQ69:AQ132" si="4">IF(AP69&gt;14,AVERAGE(K69:AO69),"")</f>
        <v>25.389130434782611</v>
      </c>
      <c r="AR69" s="71">
        <f>IFERROR(VLOOKUP(A69,Climatologia_TMED!A:U,9+$E$2,FALSE),"")</f>
        <v>24.8597341342183</v>
      </c>
      <c r="AS69" s="71">
        <f t="shared" ref="AS69:AS132" si="5">IF(OR(AQ69="",AR69=""),"",IFERROR(AQ69-AR69,""))</f>
        <v>0.52939630056431142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27.4</v>
      </c>
      <c r="L70" s="56">
        <v>26.9</v>
      </c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>
        <v>27.733333333333331</v>
      </c>
      <c r="V70" s="56">
        <v>28.466666666666669</v>
      </c>
      <c r="W70" s="56">
        <v>27.066666666666659</v>
      </c>
      <c r="X70" s="56"/>
      <c r="Y70" s="56"/>
      <c r="Z70" s="56"/>
      <c r="AA70" s="56"/>
      <c r="AB70" s="56">
        <v>28.666666666666671</v>
      </c>
      <c r="AC70" s="56">
        <v>29.13333333333334</v>
      </c>
      <c r="AD70" s="56">
        <v>27.533333333333331</v>
      </c>
      <c r="AE70" s="56">
        <v>27.733333333333331</v>
      </c>
      <c r="AF70" s="56">
        <v>27.4</v>
      </c>
      <c r="AG70" s="56">
        <v>25.6</v>
      </c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19</v>
      </c>
      <c r="AQ70" s="71">
        <f t="shared" si="4"/>
        <v>27.377192982456137</v>
      </c>
      <c r="AR70" s="71">
        <f>IFERROR(VLOOKUP(A70,Climatologia_TMED!A:U,9+$E$2,FALSE),"")</f>
        <v>26.28861277959394</v>
      </c>
      <c r="AS70" s="71">
        <f t="shared" si="5"/>
        <v>1.0885802028621967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>
        <v>27.2</v>
      </c>
      <c r="V71" s="56">
        <v>26.86666666666666</v>
      </c>
      <c r="W71" s="56">
        <v>26.86666666666666</v>
      </c>
      <c r="X71" s="56">
        <v>27.06666666666667</v>
      </c>
      <c r="Y71" s="56">
        <v>26.266666666666669</v>
      </c>
      <c r="Z71" s="56">
        <v>26.233333333333331</v>
      </c>
      <c r="AA71" s="56">
        <v>25.63333333333334</v>
      </c>
      <c r="AB71" s="56">
        <v>27.2</v>
      </c>
      <c r="AC71" s="56">
        <v>26.7</v>
      </c>
      <c r="AD71" s="56">
        <v>27.166666666666671</v>
      </c>
      <c r="AE71" s="56">
        <v>26.43333333333333</v>
      </c>
      <c r="AF71" s="56">
        <v>26.266666666666669</v>
      </c>
      <c r="AG71" s="56">
        <v>24.466666666666669</v>
      </c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23</v>
      </c>
      <c r="AQ71" s="71">
        <f t="shared" si="4"/>
        <v>26.402898550724636</v>
      </c>
      <c r="AR71" s="71">
        <f>IFERROR(VLOOKUP(A71,Climatologia_TMED!A:U,9+$E$2,FALSE),"")</f>
        <v>26.117252164977831</v>
      </c>
      <c r="AS71" s="71">
        <f t="shared" si="5"/>
        <v>0.28564638574680501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>
        <v>26.9</v>
      </c>
      <c r="V72" s="56">
        <v>26.13333333333334</v>
      </c>
      <c r="W72" s="56">
        <v>25.666666666666671</v>
      </c>
      <c r="X72" s="56"/>
      <c r="Y72" s="56">
        <v>26.466666666666669</v>
      </c>
      <c r="Z72" s="56">
        <v>26.2</v>
      </c>
      <c r="AA72" s="56">
        <v>26.266666666666669</v>
      </c>
      <c r="AB72" s="56">
        <v>26.733333333333331</v>
      </c>
      <c r="AC72" s="56">
        <v>25.533333333333331</v>
      </c>
      <c r="AD72" s="56">
        <v>26.56666666666667</v>
      </c>
      <c r="AE72" s="56">
        <v>25.93333333333333</v>
      </c>
      <c r="AF72" s="56">
        <v>23.93333333333333</v>
      </c>
      <c r="AG72" s="56">
        <v>26.166666666666671</v>
      </c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22</v>
      </c>
      <c r="AQ72" s="71">
        <f t="shared" si="4"/>
        <v>25.907575757575753</v>
      </c>
      <c r="AR72" s="71">
        <f>IFERROR(VLOOKUP(A72,Climatologia_TMED!A:U,9+$E$2,FALSE),"")</f>
        <v>25.27783516958878</v>
      </c>
      <c r="AS72" s="71">
        <f t="shared" si="5"/>
        <v>0.62974058798697286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27.024999999999999</v>
      </c>
      <c r="M73" s="56">
        <v>26.3</v>
      </c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>
        <v>27</v>
      </c>
      <c r="V73" s="56">
        <v>25.7</v>
      </c>
      <c r="W73" s="56">
        <v>25.6</v>
      </c>
      <c r="X73" s="56">
        <v>25.5</v>
      </c>
      <c r="Y73" s="56"/>
      <c r="Z73" s="56"/>
      <c r="AA73" s="56"/>
      <c r="AB73" s="56"/>
      <c r="AC73" s="56">
        <v>27.7</v>
      </c>
      <c r="AD73" s="56">
        <v>27.5</v>
      </c>
      <c r="AE73" s="56">
        <v>26.2</v>
      </c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14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>
        <v>20.5</v>
      </c>
      <c r="V74" s="56">
        <v>19.05</v>
      </c>
      <c r="W74" s="56">
        <v>21.5</v>
      </c>
      <c r="X74" s="56">
        <v>21.25</v>
      </c>
      <c r="Y74" s="56">
        <v>20.9</v>
      </c>
      <c r="Z74" s="56">
        <v>21.3</v>
      </c>
      <c r="AA74" s="56">
        <v>19.7</v>
      </c>
      <c r="AB74" s="56"/>
      <c r="AC74" s="56">
        <v>23.3</v>
      </c>
      <c r="AD74" s="56">
        <v>21.7</v>
      </c>
      <c r="AE74" s="56">
        <v>21.55</v>
      </c>
      <c r="AF74" s="56">
        <v>21.6</v>
      </c>
      <c r="AG74" s="56">
        <v>21.1</v>
      </c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22</v>
      </c>
      <c r="AQ74" s="71">
        <f t="shared" si="4"/>
        <v>21.372727272727275</v>
      </c>
      <c r="AR74" s="71">
        <f>IFERROR(VLOOKUP(A74,Climatologia_TMED!A:U,9+$E$2,FALSE),"")</f>
        <v>20.33780487249993</v>
      </c>
      <c r="AS74" s="71">
        <f t="shared" si="5"/>
        <v>1.0349224002273445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>
        <v>15.8</v>
      </c>
      <c r="V75" s="56">
        <v>14.53333333333333</v>
      </c>
      <c r="W75" s="56">
        <v>15.6</v>
      </c>
      <c r="X75" s="56">
        <v>14.53333333333333</v>
      </c>
      <c r="Y75" s="56"/>
      <c r="Z75" s="56">
        <v>16.666666666666671</v>
      </c>
      <c r="AA75" s="56">
        <v>14.93333333333333</v>
      </c>
      <c r="AB75" s="56">
        <v>15.866666666666671</v>
      </c>
      <c r="AC75" s="56">
        <v>16.13333333333334</v>
      </c>
      <c r="AD75" s="56">
        <v>16.399999999999999</v>
      </c>
      <c r="AE75" s="56">
        <v>16.8</v>
      </c>
      <c r="AF75" s="56">
        <v>15.33333333333333</v>
      </c>
      <c r="AG75" s="56">
        <v>15.266666666666669</v>
      </c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22</v>
      </c>
      <c r="AQ75" s="71">
        <f t="shared" si="4"/>
        <v>15.848484848484846</v>
      </c>
      <c r="AR75" s="71">
        <f>IFERROR(VLOOKUP(A75,Climatologia_TMED!A:U,9+$E$2,FALSE),"")</f>
        <v>15.196816531610249</v>
      </c>
      <c r="AS75" s="71">
        <f t="shared" si="5"/>
        <v>0.6516683168745967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>
        <v>19.95</v>
      </c>
      <c r="V76" s="56">
        <v>18.95</v>
      </c>
      <c r="W76" s="56">
        <v>20.05</v>
      </c>
      <c r="X76" s="56">
        <v>19.45</v>
      </c>
      <c r="Y76" s="56">
        <v>20.95</v>
      </c>
      <c r="Z76" s="56">
        <v>20.149999999999999</v>
      </c>
      <c r="AA76" s="56">
        <v>19.600000000000001</v>
      </c>
      <c r="AB76" s="56">
        <v>21.9</v>
      </c>
      <c r="AC76" s="56">
        <v>21.3</v>
      </c>
      <c r="AD76" s="56">
        <v>21.65</v>
      </c>
      <c r="AE76" s="56">
        <v>21.85</v>
      </c>
      <c r="AF76" s="56">
        <v>20.6</v>
      </c>
      <c r="AG76" s="56">
        <v>20.7</v>
      </c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23</v>
      </c>
      <c r="AQ76" s="71">
        <f t="shared" si="4"/>
        <v>20.804347826086953</v>
      </c>
      <c r="AR76" s="71">
        <f>IFERROR(VLOOKUP(A76,Climatologia_TMED!A:U,9+$E$2,FALSE),"")</f>
        <v>19.97314578052206</v>
      </c>
      <c r="AS76" s="71">
        <f t="shared" si="5"/>
        <v>0.83120204556489341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>
        <v>25.066666666666659</v>
      </c>
      <c r="V77" s="56">
        <v>23.6</v>
      </c>
      <c r="W77" s="56">
        <v>25.13333333333334</v>
      </c>
      <c r="X77" s="56">
        <v>25.066666666666659</v>
      </c>
      <c r="Y77" s="56">
        <v>24.533333333333331</v>
      </c>
      <c r="Z77" s="56">
        <v>22.533333333333331</v>
      </c>
      <c r="AA77" s="56">
        <v>21.86666666666666</v>
      </c>
      <c r="AB77" s="56">
        <v>24.6</v>
      </c>
      <c r="AC77" s="56">
        <v>26.13333333333334</v>
      </c>
      <c r="AD77" s="56">
        <v>25.13333333333334</v>
      </c>
      <c r="AE77" s="56">
        <v>25.733333333333331</v>
      </c>
      <c r="AF77" s="56">
        <v>24.266666666666669</v>
      </c>
      <c r="AG77" s="56">
        <v>24.733333333333331</v>
      </c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23</v>
      </c>
      <c r="AQ77" s="71">
        <f t="shared" si="4"/>
        <v>24.753623188405793</v>
      </c>
      <c r="AR77" s="71">
        <f>IFERROR(VLOOKUP(A77,Climatologia_TMED!A:U,9+$E$2,FALSE),"")</f>
        <v>23.041557017477079</v>
      </c>
      <c r="AS77" s="71">
        <f t="shared" si="5"/>
        <v>1.7120661709287148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>
        <v>32.35</v>
      </c>
      <c r="V78" s="56">
        <v>31</v>
      </c>
      <c r="W78" s="56">
        <v>32.799999999999997</v>
      </c>
      <c r="X78" s="56">
        <v>32.450000000000003</v>
      </c>
      <c r="Y78" s="56">
        <v>33</v>
      </c>
      <c r="Z78" s="56">
        <v>30.3</v>
      </c>
      <c r="AA78" s="56">
        <v>28.3</v>
      </c>
      <c r="AB78" s="56">
        <v>32.150000000000013</v>
      </c>
      <c r="AC78" s="56">
        <v>33.299999999999997</v>
      </c>
      <c r="AD78" s="56">
        <v>33.700000000000003</v>
      </c>
      <c r="AE78" s="56">
        <v>33.400000000000013</v>
      </c>
      <c r="AF78" s="56">
        <v>31.4</v>
      </c>
      <c r="AG78" s="56">
        <v>31.2</v>
      </c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23</v>
      </c>
      <c r="AQ78" s="71">
        <f t="shared" si="4"/>
        <v>32.156521739130433</v>
      </c>
      <c r="AR78" s="71">
        <f>IFERROR(VLOOKUP(A78,Climatologia_TMED!A:U,9+$E$2,FALSE),"")</f>
        <v>30.200545349460899</v>
      </c>
      <c r="AS78" s="71">
        <f t="shared" si="5"/>
        <v>1.9559763896695337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>
        <v>32.266666666666673</v>
      </c>
      <c r="V79" s="56">
        <v>31.533333333333331</v>
      </c>
      <c r="W79" s="56">
        <v>31.466666666666669</v>
      </c>
      <c r="X79" s="56">
        <v>31.466666666666669</v>
      </c>
      <c r="Y79" s="56">
        <v>32.133333333333333</v>
      </c>
      <c r="Z79" s="56">
        <v>31.13333333333334</v>
      </c>
      <c r="AA79" s="56">
        <v>28.93333333333333</v>
      </c>
      <c r="AB79" s="56">
        <v>31.8</v>
      </c>
      <c r="AC79" s="56">
        <v>33.533333333333339</v>
      </c>
      <c r="AD79" s="56">
        <v>33.200000000000003</v>
      </c>
      <c r="AE79" s="56">
        <v>33.533333333333331</v>
      </c>
      <c r="AF79" s="56">
        <v>31</v>
      </c>
      <c r="AG79" s="56">
        <v>32.266666666666673</v>
      </c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23</v>
      </c>
      <c r="AQ79" s="71">
        <f t="shared" si="4"/>
        <v>31.817391304347826</v>
      </c>
      <c r="AR79" s="71">
        <f>IFERROR(VLOOKUP(A79,Climatologia_TMED!A:U,9+$E$2,FALSE),"")</f>
        <v>30.2833215669562</v>
      </c>
      <c r="AS79" s="71">
        <f t="shared" si="5"/>
        <v>1.5340697373916257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>
        <v>21.06666666666667</v>
      </c>
      <c r="V80" s="56">
        <v>21.466666666666669</v>
      </c>
      <c r="W80" s="56">
        <v>21.733333333333331</v>
      </c>
      <c r="X80" s="56">
        <v>21.4</v>
      </c>
      <c r="Y80" s="56">
        <v>21.2</v>
      </c>
      <c r="Z80" s="56">
        <v>19.600000000000001</v>
      </c>
      <c r="AA80" s="56">
        <v>19.600000000000001</v>
      </c>
      <c r="AB80" s="56">
        <v>21.466666666666669</v>
      </c>
      <c r="AC80" s="56">
        <v>21.266666666666669</v>
      </c>
      <c r="AD80" s="56">
        <v>22.06666666666667</v>
      </c>
      <c r="AE80" s="56">
        <v>20.8</v>
      </c>
      <c r="AF80" s="56">
        <v>20.2</v>
      </c>
      <c r="AG80" s="56">
        <v>20.733333333333331</v>
      </c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23</v>
      </c>
      <c r="AQ80" s="71">
        <f t="shared" si="4"/>
        <v>21.147826086956524</v>
      </c>
      <c r="AR80" s="71">
        <f>IFERROR(VLOOKUP(A80,Climatologia_TMED!A:U,9+$E$2,FALSE),"")</f>
        <v>19.906859619029429</v>
      </c>
      <c r="AS80" s="71">
        <f t="shared" si="5"/>
        <v>1.2409664679270946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>
        <v>24.45</v>
      </c>
      <c r="V81" s="56">
        <v>24.75</v>
      </c>
      <c r="W81" s="56">
        <v>26.05</v>
      </c>
      <c r="X81" s="56">
        <v>23.85</v>
      </c>
      <c r="Y81" s="56">
        <v>25.5</v>
      </c>
      <c r="Z81" s="56">
        <v>22.55</v>
      </c>
      <c r="AA81" s="56">
        <v>24.6</v>
      </c>
      <c r="AB81" s="56">
        <v>26.2</v>
      </c>
      <c r="AC81" s="56">
        <v>25.1</v>
      </c>
      <c r="AD81" s="56">
        <v>24.9</v>
      </c>
      <c r="AE81" s="56">
        <v>26.65</v>
      </c>
      <c r="AF81" s="56">
        <v>25.4</v>
      </c>
      <c r="AG81" s="56">
        <v>23.93333333333333</v>
      </c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23</v>
      </c>
      <c r="AQ81" s="71">
        <f t="shared" si="4"/>
        <v>25.088405797101448</v>
      </c>
      <c r="AR81" s="71">
        <f>IFERROR(VLOOKUP(A81,Climatologia_TMED!A:U,9+$E$2,FALSE),"")</f>
        <v>24.759854360077661</v>
      </c>
      <c r="AS81" s="71">
        <f t="shared" si="5"/>
        <v>0.32855143702378697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>
        <v>26.666666666666671</v>
      </c>
      <c r="V82" s="56"/>
      <c r="W82" s="56">
        <v>28.06666666666667</v>
      </c>
      <c r="X82" s="56">
        <v>24.733333333333331</v>
      </c>
      <c r="Y82" s="56">
        <v>27.066666666666659</v>
      </c>
      <c r="Z82" s="56">
        <v>24</v>
      </c>
      <c r="AA82" s="56">
        <v>26.4</v>
      </c>
      <c r="AB82" s="56">
        <v>27.266666666666669</v>
      </c>
      <c r="AC82" s="56">
        <v>26.86666666666666</v>
      </c>
      <c r="AD82" s="56">
        <v>26.93333333333333</v>
      </c>
      <c r="AE82" s="56">
        <v>27.13333333333334</v>
      </c>
      <c r="AF82" s="56">
        <v>26.8</v>
      </c>
      <c r="AG82" s="56">
        <v>26</v>
      </c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22</v>
      </c>
      <c r="AQ82" s="71">
        <f t="shared" si="4"/>
        <v>26.669696969696965</v>
      </c>
      <c r="AR82" s="71">
        <f>IFERROR(VLOOKUP(A82,Climatologia_TMED!A:U,9+$E$2,FALSE),"")</f>
        <v>25.773428481765642</v>
      </c>
      <c r="AS82" s="71">
        <f t="shared" si="5"/>
        <v>0.89626848793132297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>
        <v>33.35</v>
      </c>
      <c r="V85" s="56">
        <v>33.35</v>
      </c>
      <c r="W85" s="56">
        <v>33.549999999999997</v>
      </c>
      <c r="X85" s="56">
        <v>33.1</v>
      </c>
      <c r="Y85" s="56">
        <v>31.3</v>
      </c>
      <c r="Z85" s="56">
        <v>32.200000000000003</v>
      </c>
      <c r="AA85" s="56">
        <v>31.25</v>
      </c>
      <c r="AB85" s="56">
        <v>28.8</v>
      </c>
      <c r="AC85" s="56">
        <v>32.549999999999997</v>
      </c>
      <c r="AD85" s="56">
        <v>33.9</v>
      </c>
      <c r="AE85" s="56">
        <v>32.75</v>
      </c>
      <c r="AF85" s="56">
        <v>30.45</v>
      </c>
      <c r="AG85" s="56">
        <v>31.8</v>
      </c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23</v>
      </c>
      <c r="AQ85" s="71">
        <f t="shared" si="4"/>
        <v>32.004347826086956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>
        <v>30.45</v>
      </c>
      <c r="V86" s="56">
        <v>31.2</v>
      </c>
      <c r="W86" s="56">
        <v>31</v>
      </c>
      <c r="X86" s="56">
        <v>29.8</v>
      </c>
      <c r="Y86" s="56">
        <v>30.25</v>
      </c>
      <c r="Z86" s="56">
        <v>31.25</v>
      </c>
      <c r="AA86" s="56"/>
      <c r="AB86" s="56"/>
      <c r="AC86" s="56">
        <v>31.65</v>
      </c>
      <c r="AD86" s="56">
        <v>31.3</v>
      </c>
      <c r="AE86" s="56">
        <v>29.7</v>
      </c>
      <c r="AF86" s="56">
        <v>29.55</v>
      </c>
      <c r="AG86" s="56">
        <v>29.75</v>
      </c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21</v>
      </c>
      <c r="AQ86" s="71">
        <f t="shared" si="4"/>
        <v>30.295238095238091</v>
      </c>
      <c r="AR86" s="71">
        <f>IFERROR(VLOOKUP(A86,Climatologia_TMED!A:U,9+$E$2,FALSE),"")</f>
        <v>28.83382033964488</v>
      </c>
      <c r="AS86" s="71">
        <f t="shared" si="5"/>
        <v>1.4614177555932102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>
        <v>33</v>
      </c>
      <c r="V87" s="56">
        <v>30.2</v>
      </c>
      <c r="W87" s="56">
        <v>28.15</v>
      </c>
      <c r="X87" s="56">
        <v>30.9</v>
      </c>
      <c r="Y87" s="56">
        <v>33.049999999999997</v>
      </c>
      <c r="Z87" s="56">
        <v>30.85</v>
      </c>
      <c r="AA87" s="56"/>
      <c r="AB87" s="56"/>
      <c r="AC87" s="56">
        <v>27.65</v>
      </c>
      <c r="AD87" s="56">
        <v>31.95</v>
      </c>
      <c r="AE87" s="56">
        <v>31.65</v>
      </c>
      <c r="AF87" s="56">
        <v>28.1</v>
      </c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20</v>
      </c>
      <c r="AQ87" s="71">
        <f t="shared" si="4"/>
        <v>30.82375</v>
      </c>
      <c r="AR87" s="71">
        <f>IFERROR(VLOOKUP(A87,Climatologia_TMED!A:U,9+$E$2,FALSE),"")</f>
        <v>28.894325312819621</v>
      </c>
      <c r="AS87" s="71">
        <f t="shared" si="5"/>
        <v>1.9294246871803793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>
        <v>32.5</v>
      </c>
      <c r="V88" s="56">
        <v>31.8</v>
      </c>
      <c r="W88" s="56">
        <v>28.4</v>
      </c>
      <c r="X88" s="56">
        <v>28.85</v>
      </c>
      <c r="Y88" s="56">
        <v>30.85</v>
      </c>
      <c r="Z88" s="56">
        <v>31.15</v>
      </c>
      <c r="AA88" s="56">
        <v>29.65</v>
      </c>
      <c r="AB88" s="56">
        <v>30.7</v>
      </c>
      <c r="AC88" s="56">
        <v>31.65</v>
      </c>
      <c r="AD88" s="56">
        <v>31.05</v>
      </c>
      <c r="AE88" s="56">
        <v>31.75</v>
      </c>
      <c r="AF88" s="56">
        <v>31.2</v>
      </c>
      <c r="AG88" s="56">
        <v>27.9</v>
      </c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23</v>
      </c>
      <c r="AQ88" s="71">
        <f t="shared" si="4"/>
        <v>30.284782608695654</v>
      </c>
      <c r="AR88" s="71">
        <f>IFERROR(VLOOKUP(A88,Climatologia_TMED!A:U,9+$E$2,FALSE),"")</f>
        <v>28.344159946236552</v>
      </c>
      <c r="AS88" s="71">
        <f t="shared" si="5"/>
        <v>1.9406226624591021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>
        <v>36.400000000000013</v>
      </c>
      <c r="V89" s="56">
        <v>36.25</v>
      </c>
      <c r="W89" s="56">
        <v>32.65</v>
      </c>
      <c r="X89" s="56">
        <v>32.799999999999997</v>
      </c>
      <c r="Y89" s="56">
        <v>35.799999999999997</v>
      </c>
      <c r="Z89" s="56">
        <v>30.55</v>
      </c>
      <c r="AA89" s="56">
        <v>29.9</v>
      </c>
      <c r="AB89" s="56">
        <v>30.55</v>
      </c>
      <c r="AC89" s="56">
        <v>31.75</v>
      </c>
      <c r="AD89" s="56">
        <v>33.950000000000003</v>
      </c>
      <c r="AE89" s="56">
        <v>34.299999999999997</v>
      </c>
      <c r="AF89" s="56">
        <v>33.200000000000003</v>
      </c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19</v>
      </c>
      <c r="AQ89" s="71">
        <f t="shared" si="4"/>
        <v>32.981578947368426</v>
      </c>
      <c r="AR89" s="71">
        <f>IFERROR(VLOOKUP(A89,Climatologia_TMED!A:U,9+$E$2,FALSE),"")</f>
        <v>29.044183635472439</v>
      </c>
      <c r="AS89" s="71">
        <f t="shared" si="5"/>
        <v>3.9373953118959868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>
        <v>34.5</v>
      </c>
      <c r="V90" s="56">
        <v>34.15</v>
      </c>
      <c r="W90" s="56">
        <v>33.200000000000003</v>
      </c>
      <c r="X90" s="56">
        <v>33</v>
      </c>
      <c r="Y90" s="56">
        <v>32.75</v>
      </c>
      <c r="Z90" s="56">
        <v>31.95</v>
      </c>
      <c r="AA90" s="56">
        <v>29.9</v>
      </c>
      <c r="AB90" s="56">
        <v>28.3</v>
      </c>
      <c r="AC90" s="56">
        <v>31.475000000000001</v>
      </c>
      <c r="AD90" s="56">
        <v>32.549999999999997</v>
      </c>
      <c r="AE90" s="56">
        <v>32.35</v>
      </c>
      <c r="AF90" s="56">
        <v>31.6</v>
      </c>
      <c r="AG90" s="56">
        <v>30.15</v>
      </c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23</v>
      </c>
      <c r="AQ90" s="71">
        <f t="shared" si="4"/>
        <v>32.251086956521739</v>
      </c>
      <c r="AR90" s="71">
        <f>IFERROR(VLOOKUP(A90,Climatologia_TMED!A:U,9+$E$2,FALSE),"")</f>
        <v>28.656630487957131</v>
      </c>
      <c r="AS90" s="71">
        <f t="shared" si="5"/>
        <v>3.5944564685646085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>
        <v>35.900000000000013</v>
      </c>
      <c r="V91" s="56">
        <v>35</v>
      </c>
      <c r="W91" s="56">
        <v>32.450000000000003</v>
      </c>
      <c r="X91" s="56">
        <v>32.15</v>
      </c>
      <c r="Y91" s="56">
        <v>34.6</v>
      </c>
      <c r="Z91" s="56">
        <v>34.299999999999997</v>
      </c>
      <c r="AA91" s="56">
        <v>31.2</v>
      </c>
      <c r="AB91" s="56">
        <v>27.9</v>
      </c>
      <c r="AC91" s="56">
        <v>31.75</v>
      </c>
      <c r="AD91" s="56">
        <v>28.9</v>
      </c>
      <c r="AE91" s="56">
        <v>30.55</v>
      </c>
      <c r="AF91" s="56">
        <v>30.5</v>
      </c>
      <c r="AG91" s="56">
        <v>28.7</v>
      </c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20</v>
      </c>
      <c r="AQ91" s="71">
        <f t="shared" si="4"/>
        <v>32.082499999999996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>
        <v>19.100000000000001</v>
      </c>
      <c r="V92" s="56">
        <v>18.45</v>
      </c>
      <c r="W92" s="56">
        <v>17.899999999999999</v>
      </c>
      <c r="X92" s="56">
        <v>16.399999999999999</v>
      </c>
      <c r="Y92" s="56">
        <v>17</v>
      </c>
      <c r="Z92" s="56">
        <v>16.45</v>
      </c>
      <c r="AA92" s="56">
        <v>16.45</v>
      </c>
      <c r="AB92" s="56">
        <v>16.8</v>
      </c>
      <c r="AC92" s="56">
        <v>19.45</v>
      </c>
      <c r="AD92" s="56">
        <v>18.399999999999999</v>
      </c>
      <c r="AE92" s="56">
        <v>18</v>
      </c>
      <c r="AF92" s="56">
        <v>17.850000000000001</v>
      </c>
      <c r="AG92" s="56">
        <v>17.25</v>
      </c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23</v>
      </c>
      <c r="AQ92" s="71">
        <f t="shared" si="4"/>
        <v>17.852173913043476</v>
      </c>
      <c r="AR92" s="71">
        <f>IFERROR(VLOOKUP(A92,Climatologia_TMED!A:U,9+$E$2,FALSE),"")</f>
        <v>16.21673046594978</v>
      </c>
      <c r="AS92" s="71">
        <f t="shared" si="5"/>
        <v>1.6354434470936958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>
        <v>25.933333333333341</v>
      </c>
      <c r="V93" s="56">
        <v>26.333333333333329</v>
      </c>
      <c r="W93" s="56">
        <v>25.86666666666666</v>
      </c>
      <c r="X93" s="56">
        <v>25.8</v>
      </c>
      <c r="Y93" s="56">
        <v>25.06666666666667</v>
      </c>
      <c r="Z93" s="56">
        <v>24.733333333333331</v>
      </c>
      <c r="AA93" s="56">
        <v>23</v>
      </c>
      <c r="AB93" s="56">
        <v>24.166666666666671</v>
      </c>
      <c r="AC93" s="56">
        <v>25.8</v>
      </c>
      <c r="AD93" s="56">
        <v>26.4</v>
      </c>
      <c r="AE93" s="56">
        <v>25.666666666666671</v>
      </c>
      <c r="AF93" s="56">
        <v>25.466666666666669</v>
      </c>
      <c r="AG93" s="56">
        <v>25.06666666666667</v>
      </c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23</v>
      </c>
      <c r="AQ93" s="71">
        <f t="shared" si="4"/>
        <v>24.920289855072468</v>
      </c>
      <c r="AR93" s="71">
        <f>IFERROR(VLOOKUP(A93,Climatologia_TMED!A:U,9+$E$2,FALSE),"")</f>
        <v>22.373011505376319</v>
      </c>
      <c r="AS93" s="71">
        <f t="shared" si="5"/>
        <v>2.5472783496961497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>
        <v>17.399999999999999</v>
      </c>
      <c r="V94" s="56">
        <v>17.5</v>
      </c>
      <c r="W94" s="56">
        <v>18.399999999999999</v>
      </c>
      <c r="X94" s="56">
        <v>18.2</v>
      </c>
      <c r="Y94" s="56">
        <v>18.600000000000001</v>
      </c>
      <c r="Z94" s="56">
        <v>17.95</v>
      </c>
      <c r="AA94" s="56">
        <v>16.2</v>
      </c>
      <c r="AB94" s="56"/>
      <c r="AC94" s="56"/>
      <c r="AD94" s="56">
        <v>17.45</v>
      </c>
      <c r="AE94" s="56">
        <v>17.600000000000001</v>
      </c>
      <c r="AF94" s="56">
        <v>16.3</v>
      </c>
      <c r="AG94" s="56">
        <v>15.2</v>
      </c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21</v>
      </c>
      <c r="AQ94" s="71">
        <f t="shared" si="4"/>
        <v>17.419047619047621</v>
      </c>
      <c r="AR94" s="71">
        <f>IFERROR(VLOOKUP(A94,Climatologia_TMED!A:U,9+$E$2,FALSE),"")</f>
        <v>16.186325847907689</v>
      </c>
      <c r="AS94" s="71">
        <f t="shared" si="5"/>
        <v>1.2327217711399321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>
        <v>13.3</v>
      </c>
      <c r="V95" s="56">
        <v>14.8</v>
      </c>
      <c r="W95" s="56">
        <v>15.6</v>
      </c>
      <c r="X95" s="56">
        <v>15.3</v>
      </c>
      <c r="Y95" s="56">
        <v>15.6</v>
      </c>
      <c r="Z95" s="56">
        <v>16.899999999999999</v>
      </c>
      <c r="AA95" s="56">
        <v>15.6</v>
      </c>
      <c r="AB95" s="56">
        <v>15</v>
      </c>
      <c r="AC95" s="56">
        <v>15.15</v>
      </c>
      <c r="AD95" s="56">
        <v>14.85</v>
      </c>
      <c r="AE95" s="56">
        <v>15.65</v>
      </c>
      <c r="AF95" s="56">
        <v>15</v>
      </c>
      <c r="AG95" s="56">
        <v>14.25</v>
      </c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23</v>
      </c>
      <c r="AQ95" s="71">
        <f t="shared" si="4"/>
        <v>15.210869565217392</v>
      </c>
      <c r="AR95" s="71">
        <f>IFERROR(VLOOKUP(A95,Climatologia_TMED!A:U,9+$E$2,FALSE),"")</f>
        <v>13.65433628672837</v>
      </c>
      <c r="AS95" s="71">
        <f t="shared" si="5"/>
        <v>1.556533278489022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>
        <v>17.86666666666666</v>
      </c>
      <c r="AD97" s="56">
        <v>16.86666666666666</v>
      </c>
      <c r="AE97" s="56">
        <v>15.25</v>
      </c>
      <c r="AF97" s="56">
        <v>15</v>
      </c>
      <c r="AG97" s="56">
        <v>16.266666666666669</v>
      </c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5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>
        <v>13.35</v>
      </c>
      <c r="V98" s="56">
        <v>12.75</v>
      </c>
      <c r="W98" s="56">
        <v>13.85</v>
      </c>
      <c r="X98" s="56">
        <v>14.05</v>
      </c>
      <c r="Y98" s="56">
        <v>13.7</v>
      </c>
      <c r="Z98" s="56">
        <v>15.05</v>
      </c>
      <c r="AA98" s="56">
        <v>14.05</v>
      </c>
      <c r="AB98" s="56">
        <v>13.85</v>
      </c>
      <c r="AC98" s="56">
        <v>13.35</v>
      </c>
      <c r="AD98" s="56">
        <v>13.4</v>
      </c>
      <c r="AE98" s="56">
        <v>13.65</v>
      </c>
      <c r="AF98" s="56">
        <v>13.35</v>
      </c>
      <c r="AG98" s="56">
        <v>12.75</v>
      </c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23</v>
      </c>
      <c r="AQ98" s="71">
        <f t="shared" si="4"/>
        <v>13.132608695652175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>
        <v>15.66666666666667</v>
      </c>
      <c r="U99" s="56">
        <v>15.6</v>
      </c>
      <c r="V99" s="56">
        <v>14.46666666666667</v>
      </c>
      <c r="W99" s="56">
        <v>15.7</v>
      </c>
      <c r="X99" s="56">
        <v>15.33333333333333</v>
      </c>
      <c r="Y99" s="56">
        <v>16.266666666666669</v>
      </c>
      <c r="Z99" s="56">
        <v>14.133333333333329</v>
      </c>
      <c r="AA99" s="56">
        <v>15.53333333333333</v>
      </c>
      <c r="AB99" s="56">
        <v>13.96666666666667</v>
      </c>
      <c r="AC99" s="56">
        <v>15.8</v>
      </c>
      <c r="AD99" s="56">
        <v>15.5</v>
      </c>
      <c r="AE99" s="56">
        <v>14.766666666666669</v>
      </c>
      <c r="AF99" s="56">
        <v>15.06666666666667</v>
      </c>
      <c r="AG99" s="56">
        <v>13.53333333333333</v>
      </c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23</v>
      </c>
      <c r="AQ99" s="71">
        <f t="shared" si="4"/>
        <v>15.081159420289856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>
        <v>14.866666666666671</v>
      </c>
      <c r="V100" s="56">
        <v>13.866666666666671</v>
      </c>
      <c r="W100" s="56">
        <v>16.666666666666671</v>
      </c>
      <c r="X100" s="56">
        <v>16.86666666666666</v>
      </c>
      <c r="Y100" s="56">
        <v>16.733333333333331</v>
      </c>
      <c r="Z100" s="56">
        <v>17</v>
      </c>
      <c r="AA100" s="56">
        <v>17.266666666666669</v>
      </c>
      <c r="AB100" s="56"/>
      <c r="AC100" s="56">
        <v>18.2</v>
      </c>
      <c r="AD100" s="56">
        <v>16.333333333333329</v>
      </c>
      <c r="AE100" s="56">
        <v>16.466666666666669</v>
      </c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20</v>
      </c>
      <c r="AQ100" s="71">
        <f t="shared" si="4"/>
        <v>16.130000000000003</v>
      </c>
      <c r="AR100" s="71">
        <f>IFERROR(VLOOKUP(A100,Climatologia_TMED!A:U,9+$E$2,FALSE),"")</f>
        <v>14.335275908930971</v>
      </c>
      <c r="AS100" s="71">
        <f t="shared" si="5"/>
        <v>1.7947240910690319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>
        <v>11.7</v>
      </c>
      <c r="V101" s="56">
        <v>13.85</v>
      </c>
      <c r="W101" s="56">
        <v>13.95</v>
      </c>
      <c r="X101" s="56">
        <v>14.45</v>
      </c>
      <c r="Y101" s="56">
        <v>14.15</v>
      </c>
      <c r="Z101" s="56">
        <v>14.8</v>
      </c>
      <c r="AA101" s="56">
        <v>13.45</v>
      </c>
      <c r="AB101" s="56">
        <v>13.55</v>
      </c>
      <c r="AC101" s="56">
        <v>14.65</v>
      </c>
      <c r="AD101" s="56">
        <v>13.4</v>
      </c>
      <c r="AE101" s="56">
        <v>13.85</v>
      </c>
      <c r="AF101" s="56">
        <v>13.95</v>
      </c>
      <c r="AG101" s="56">
        <v>12.4</v>
      </c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23</v>
      </c>
      <c r="AQ101" s="71">
        <f t="shared" si="4"/>
        <v>13.528260869565214</v>
      </c>
      <c r="AR101" s="71">
        <f>IFERROR(VLOOKUP(A101,Climatologia_TMED!A:U,9+$E$2,FALSE),"")</f>
        <v>12.395793750638649</v>
      </c>
      <c r="AS101" s="71">
        <f t="shared" si="5"/>
        <v>1.1324671189265647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>
        <v>12.266666666666669</v>
      </c>
      <c r="V102" s="56"/>
      <c r="W102" s="56"/>
      <c r="X102" s="56">
        <v>13.93333333333333</v>
      </c>
      <c r="Y102" s="56">
        <v>13.4</v>
      </c>
      <c r="Z102" s="56">
        <v>13.8</v>
      </c>
      <c r="AA102" s="56">
        <v>13.2</v>
      </c>
      <c r="AB102" s="56">
        <v>13.06666666666667</v>
      </c>
      <c r="AC102" s="56">
        <v>13.33333333333333</v>
      </c>
      <c r="AD102" s="56">
        <v>13.4</v>
      </c>
      <c r="AE102" s="56">
        <v>13.266666666666669</v>
      </c>
      <c r="AF102" s="56">
        <v>12.066666666666659</v>
      </c>
      <c r="AG102" s="56">
        <v>12.266666666666669</v>
      </c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20</v>
      </c>
      <c r="AQ102" s="71">
        <f t="shared" si="4"/>
        <v>13.026666666666667</v>
      </c>
      <c r="AR102" s="71">
        <f>IFERROR(VLOOKUP(A102,Climatologia_TMED!A:U,9+$E$2,FALSE),"")</f>
        <v>11.348393880387549</v>
      </c>
      <c r="AS102" s="71">
        <f t="shared" si="5"/>
        <v>1.678272786279118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>
        <v>20.2</v>
      </c>
      <c r="V105" s="56"/>
      <c r="W105" s="56"/>
      <c r="X105" s="56"/>
      <c r="Y105" s="56"/>
      <c r="Z105" s="56">
        <v>16.2</v>
      </c>
      <c r="AA105" s="56">
        <v>19.8</v>
      </c>
      <c r="AB105" s="56">
        <v>18</v>
      </c>
      <c r="AC105" s="56">
        <v>20.06666666666667</v>
      </c>
      <c r="AD105" s="56">
        <v>19.666666666666671</v>
      </c>
      <c r="AE105" s="56">
        <v>19.600000000000001</v>
      </c>
      <c r="AF105" s="56">
        <v>19.266666666666669</v>
      </c>
      <c r="AG105" s="56">
        <v>16.866666666666671</v>
      </c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19</v>
      </c>
      <c r="AQ105" s="71">
        <f t="shared" si="4"/>
        <v>18.8</v>
      </c>
      <c r="AR105" s="71">
        <f>IFERROR(VLOOKUP(A105,Climatologia_TMED!A:U,9+$E$2,FALSE),"")</f>
        <v>17.222389051882701</v>
      </c>
      <c r="AS105" s="71">
        <f t="shared" si="5"/>
        <v>1.5776109481173002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>
        <v>14</v>
      </c>
      <c r="V107" s="56">
        <v>13.4</v>
      </c>
      <c r="W107" s="56">
        <v>13.53333333333333</v>
      </c>
      <c r="X107" s="56">
        <v>15.93333333333333</v>
      </c>
      <c r="Y107" s="56"/>
      <c r="Z107" s="56"/>
      <c r="AA107" s="56">
        <v>13.16666666666667</v>
      </c>
      <c r="AB107" s="56">
        <v>13.8</v>
      </c>
      <c r="AC107" s="56">
        <v>13.133333333333329</v>
      </c>
      <c r="AD107" s="56">
        <v>13.866666666666671</v>
      </c>
      <c r="AE107" s="56">
        <v>14.933333333333341</v>
      </c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17</v>
      </c>
      <c r="AQ107" s="71">
        <f t="shared" si="4"/>
        <v>14.107843137254903</v>
      </c>
      <c r="AR107" s="71">
        <f>IFERROR(VLOOKUP(A107,Climatologia_TMED!A:U,9+$E$2,FALSE),"")</f>
        <v>13.6270649143767</v>
      </c>
      <c r="AS107" s="71">
        <f t="shared" si="5"/>
        <v>0.48077822287820382</v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>
        <v>13.75</v>
      </c>
      <c r="V108" s="56">
        <v>13.45</v>
      </c>
      <c r="W108" s="56">
        <v>15.7</v>
      </c>
      <c r="X108" s="56">
        <v>14.7</v>
      </c>
      <c r="Y108" s="56">
        <v>13.75</v>
      </c>
      <c r="Z108" s="56">
        <v>16.8</v>
      </c>
      <c r="AA108" s="56">
        <v>15.75</v>
      </c>
      <c r="AB108" s="56">
        <v>14.65</v>
      </c>
      <c r="AC108" s="56">
        <v>11.7</v>
      </c>
      <c r="AD108" s="56">
        <v>13.85</v>
      </c>
      <c r="AE108" s="56">
        <v>13.4</v>
      </c>
      <c r="AF108" s="56">
        <v>14.1</v>
      </c>
      <c r="AG108" s="56">
        <v>14.7</v>
      </c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23</v>
      </c>
      <c r="AQ108" s="71">
        <f t="shared" si="4"/>
        <v>14.252173913043478</v>
      </c>
      <c r="AR108" s="71">
        <f>IFERROR(VLOOKUP(A108,Climatologia_TMED!A:U,9+$E$2,FALSE),"")</f>
        <v>14.24758963832916</v>
      </c>
      <c r="AS108" s="71">
        <f t="shared" si="5"/>
        <v>4.584274714318326E-3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>
        <v>14.15</v>
      </c>
      <c r="V109" s="56">
        <v>15.25</v>
      </c>
      <c r="W109" s="56">
        <v>15.25</v>
      </c>
      <c r="X109" s="56">
        <v>14.75</v>
      </c>
      <c r="Y109" s="56">
        <v>15</v>
      </c>
      <c r="Z109" s="56">
        <v>15.6</v>
      </c>
      <c r="AA109" s="56">
        <v>14.85</v>
      </c>
      <c r="AB109" s="56">
        <v>15.2</v>
      </c>
      <c r="AC109" s="56">
        <v>15.15</v>
      </c>
      <c r="AD109" s="56">
        <v>14</v>
      </c>
      <c r="AE109" s="56">
        <v>14.55</v>
      </c>
      <c r="AF109" s="56">
        <v>14.65</v>
      </c>
      <c r="AG109" s="56">
        <v>14.3</v>
      </c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23</v>
      </c>
      <c r="AQ109" s="71">
        <f t="shared" si="4"/>
        <v>14.873913043478259</v>
      </c>
      <c r="AR109" s="71">
        <f>IFERROR(VLOOKUP(A109,Climatologia_TMED!A:U,9+$E$2,FALSE),"")</f>
        <v>13.718935791090621</v>
      </c>
      <c r="AS109" s="71">
        <f t="shared" si="5"/>
        <v>1.1549772523876385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>
        <v>16.93333333333333</v>
      </c>
      <c r="V110" s="56">
        <v>17.93333333333333</v>
      </c>
      <c r="W110" s="56">
        <v>17.8</v>
      </c>
      <c r="X110" s="56">
        <v>17.2</v>
      </c>
      <c r="Y110" s="56">
        <v>17.600000000000001</v>
      </c>
      <c r="Z110" s="56">
        <v>18.733333333333331</v>
      </c>
      <c r="AA110" s="56">
        <v>16.533333333333331</v>
      </c>
      <c r="AB110" s="56">
        <v>17.8</v>
      </c>
      <c r="AC110" s="56">
        <v>18.666666666666671</v>
      </c>
      <c r="AD110" s="56">
        <v>18.8</v>
      </c>
      <c r="AE110" s="56">
        <v>17.600000000000001</v>
      </c>
      <c r="AF110" s="56">
        <v>17.266666666666669</v>
      </c>
      <c r="AG110" s="56">
        <v>16.86666666666666</v>
      </c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19</v>
      </c>
      <c r="AQ110" s="71">
        <f t="shared" si="4"/>
        <v>17.575438596491228</v>
      </c>
      <c r="AR110" s="71">
        <f>IFERROR(VLOOKUP(A110,Climatologia_TMED!A:U,9+$E$2,FALSE),"")</f>
        <v>17.072890642646779</v>
      </c>
      <c r="AS110" s="71">
        <f t="shared" si="5"/>
        <v>0.50254795384444861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>
        <v>15.53333333333333</v>
      </c>
      <c r="V111" s="56">
        <v>15.2</v>
      </c>
      <c r="W111" s="56">
        <v>16.466666666666669</v>
      </c>
      <c r="X111" s="56">
        <v>16.866666666666671</v>
      </c>
      <c r="Y111" s="56">
        <v>16.86666666666666</v>
      </c>
      <c r="Z111" s="56">
        <v>17.600000000000001</v>
      </c>
      <c r="AA111" s="56">
        <v>16.399999999999999</v>
      </c>
      <c r="AB111" s="56">
        <v>16.266666666666669</v>
      </c>
      <c r="AC111" s="56">
        <v>16.93333333333333</v>
      </c>
      <c r="AD111" s="56">
        <v>16.533333333333331</v>
      </c>
      <c r="AE111" s="56">
        <v>16.666666666666671</v>
      </c>
      <c r="AF111" s="56">
        <v>16.466666666666669</v>
      </c>
      <c r="AG111" s="56">
        <v>14.93333333333333</v>
      </c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23</v>
      </c>
      <c r="AQ111" s="71">
        <f t="shared" si="4"/>
        <v>16.173913043478258</v>
      </c>
      <c r="AR111" s="71">
        <f>IFERROR(VLOOKUP(A111,Climatologia_TMED!A:U,9+$E$2,FALSE),"")</f>
        <v>15.45884618025514</v>
      </c>
      <c r="AS111" s="71">
        <f t="shared" si="5"/>
        <v>0.71506686322311808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>
        <v>17.8</v>
      </c>
      <c r="V112" s="56">
        <v>19</v>
      </c>
      <c r="W112" s="56">
        <v>18.93333333333333</v>
      </c>
      <c r="X112" s="56">
        <v>17.2</v>
      </c>
      <c r="Y112" s="56">
        <v>17.93333333333333</v>
      </c>
      <c r="Z112" s="56">
        <v>19.399999999999999</v>
      </c>
      <c r="AA112" s="56">
        <v>17.3</v>
      </c>
      <c r="AB112" s="56">
        <v>18.93333333333333</v>
      </c>
      <c r="AC112" s="56">
        <v>19.333333333333329</v>
      </c>
      <c r="AD112" s="56">
        <v>19.533333333333331</v>
      </c>
      <c r="AE112" s="56">
        <v>18.466666666666669</v>
      </c>
      <c r="AF112" s="56">
        <v>18.06666666666667</v>
      </c>
      <c r="AG112" s="56">
        <v>16.533333333333331</v>
      </c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23</v>
      </c>
      <c r="AQ112" s="71">
        <f t="shared" si="4"/>
        <v>18.346376811594205</v>
      </c>
      <c r="AR112" s="71">
        <f>IFERROR(VLOOKUP(A112,Climatologia_TMED!A:U,9+$E$2,FALSE),"")</f>
        <v>16.69989368729069</v>
      </c>
      <c r="AS112" s="71">
        <f t="shared" si="5"/>
        <v>1.646483124303515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>
        <v>18.533333333333331</v>
      </c>
      <c r="V113" s="56">
        <v>19.666666666666671</v>
      </c>
      <c r="W113" s="56">
        <v>19.533333333333331</v>
      </c>
      <c r="X113" s="56">
        <v>18.93333333333333</v>
      </c>
      <c r="Y113" s="56">
        <v>19.466666666666669</v>
      </c>
      <c r="Z113" s="56">
        <v>20.399999999999999</v>
      </c>
      <c r="AA113" s="56">
        <v>18.600000000000001</v>
      </c>
      <c r="AB113" s="56">
        <v>19.866666666666671</v>
      </c>
      <c r="AC113" s="56"/>
      <c r="AD113" s="56">
        <v>19.666666666666671</v>
      </c>
      <c r="AE113" s="56">
        <v>18.93333333333333</v>
      </c>
      <c r="AF113" s="56">
        <v>19</v>
      </c>
      <c r="AG113" s="56">
        <v>17.866666666666671</v>
      </c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21</v>
      </c>
      <c r="AQ113" s="71">
        <f t="shared" si="4"/>
        <v>19.339682539682542</v>
      </c>
      <c r="AR113" s="71">
        <f>IFERROR(VLOOKUP(A113,Climatologia_TMED!A:U,9+$E$2,FALSE),"")</f>
        <v>18.084103151649959</v>
      </c>
      <c r="AS113" s="71">
        <f t="shared" si="5"/>
        <v>1.255579388032583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>
        <v>21.6</v>
      </c>
      <c r="V114" s="56">
        <v>24.13333333333334</v>
      </c>
      <c r="W114" s="56">
        <v>22.13333333333334</v>
      </c>
      <c r="X114" s="56">
        <v>21</v>
      </c>
      <c r="Y114" s="56"/>
      <c r="Z114" s="56"/>
      <c r="AA114" s="56"/>
      <c r="AB114" s="56">
        <v>22.86666666666666</v>
      </c>
      <c r="AC114" s="56">
        <v>22.733333333333331</v>
      </c>
      <c r="AD114" s="56">
        <v>22.466666666666669</v>
      </c>
      <c r="AE114" s="56">
        <v>21.8</v>
      </c>
      <c r="AF114" s="56">
        <v>22</v>
      </c>
      <c r="AG114" s="56">
        <v>20.133333333333329</v>
      </c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20</v>
      </c>
      <c r="AQ114" s="71">
        <f t="shared" si="4"/>
        <v>22.323333333333331</v>
      </c>
      <c r="AR114" s="71">
        <f>IFERROR(VLOOKUP(A114,Climatologia_TMED!A:U,9+$E$2,FALSE),"")</f>
        <v>20.406627759107511</v>
      </c>
      <c r="AS114" s="71">
        <f>IF(OR(AQ114="",AR114=""),"",IFERROR(AQ114-AR114,""))</f>
        <v>1.9167055742258192</v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>
        <v>27.55</v>
      </c>
      <c r="V115" s="56">
        <v>26.45</v>
      </c>
      <c r="W115" s="56">
        <v>27.85</v>
      </c>
      <c r="X115" s="56">
        <v>24.2</v>
      </c>
      <c r="Y115" s="56">
        <v>27.1</v>
      </c>
      <c r="Z115" s="56">
        <v>26.7</v>
      </c>
      <c r="AA115" s="56">
        <v>26.65</v>
      </c>
      <c r="AB115" s="56">
        <v>28.75</v>
      </c>
      <c r="AC115" s="56">
        <v>29.2</v>
      </c>
      <c r="AD115" s="56">
        <v>28.05</v>
      </c>
      <c r="AE115" s="56">
        <v>26.55</v>
      </c>
      <c r="AF115" s="56">
        <v>26.8</v>
      </c>
      <c r="AG115" s="56">
        <v>24.85</v>
      </c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23</v>
      </c>
      <c r="AQ115" s="71">
        <f t="shared" si="4"/>
        <v>27.156521739130429</v>
      </c>
      <c r="AR115" s="71">
        <f>IFERROR(VLOOKUP(A115,Climatologia_TMED!A:U,9+$E$2,FALSE),"")</f>
        <v>26.548363201911549</v>
      </c>
      <c r="AS115" s="71">
        <f t="shared" si="5"/>
        <v>0.60815853721888047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>
        <v>18.8</v>
      </c>
      <c r="V116" s="56">
        <v>19.733333333333331</v>
      </c>
      <c r="W116" s="56">
        <v>19.533333333333331</v>
      </c>
      <c r="X116" s="56">
        <v>18.8</v>
      </c>
      <c r="Y116" s="56">
        <v>19.93333333333333</v>
      </c>
      <c r="Z116" s="56">
        <v>19.06666666666667</v>
      </c>
      <c r="AA116" s="56">
        <v>19.399999999999999</v>
      </c>
      <c r="AB116" s="56">
        <v>19.266666666666669</v>
      </c>
      <c r="AC116" s="56">
        <v>19.666666666666671</v>
      </c>
      <c r="AD116" s="56">
        <v>19.733333333333331</v>
      </c>
      <c r="AE116" s="56">
        <v>18.533333333333331</v>
      </c>
      <c r="AF116" s="56">
        <v>20</v>
      </c>
      <c r="AG116" s="56">
        <v>17.93333333333333</v>
      </c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23</v>
      </c>
      <c r="AQ116" s="71">
        <f t="shared" si="4"/>
        <v>19.428985507246374</v>
      </c>
      <c r="AR116" s="71">
        <f>IFERROR(VLOOKUP(A116,Climatologia_TMED!A:U,9+$E$2,FALSE),"")</f>
        <v>18.451479726130369</v>
      </c>
      <c r="AS116" s="71">
        <f t="shared" si="5"/>
        <v>0.97750578111600461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>
        <v>26.733333333333331</v>
      </c>
      <c r="V117" s="56">
        <v>26.733333333333331</v>
      </c>
      <c r="W117" s="56">
        <v>27.86666666666666</v>
      </c>
      <c r="X117" s="56">
        <v>24.13333333333334</v>
      </c>
      <c r="Y117" s="56">
        <v>26.4</v>
      </c>
      <c r="Z117" s="56">
        <v>26.533333333333331</v>
      </c>
      <c r="AA117" s="56">
        <v>26.6</v>
      </c>
      <c r="AB117" s="56">
        <v>28.2</v>
      </c>
      <c r="AC117" s="56"/>
      <c r="AD117" s="56"/>
      <c r="AE117" s="56">
        <v>26</v>
      </c>
      <c r="AF117" s="56">
        <v>26.8</v>
      </c>
      <c r="AG117" s="56">
        <v>23.86666666666666</v>
      </c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21</v>
      </c>
      <c r="AQ117" s="71">
        <f t="shared" si="4"/>
        <v>26.933333333333334</v>
      </c>
      <c r="AR117" s="71">
        <f>IFERROR(VLOOKUP(A117,Climatologia_TMED!A:U,9+$E$2,FALSE),"")</f>
        <v>25.726306451612881</v>
      </c>
      <c r="AS117" s="71">
        <f t="shared" si="5"/>
        <v>1.2070268817204521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>
        <v>30</v>
      </c>
      <c r="V118" s="56">
        <v>30.666666666666671</v>
      </c>
      <c r="W118" s="56">
        <v>29.533333333333331</v>
      </c>
      <c r="X118" s="56">
        <v>29.933333333333341</v>
      </c>
      <c r="Y118" s="56"/>
      <c r="Z118" s="56"/>
      <c r="AA118" s="56">
        <v>29.06666666666667</v>
      </c>
      <c r="AB118" s="56">
        <v>29.86666666666666</v>
      </c>
      <c r="AC118" s="56">
        <v>30.6</v>
      </c>
      <c r="AD118" s="56">
        <v>33.4</v>
      </c>
      <c r="AE118" s="56">
        <v>29.666666666666671</v>
      </c>
      <c r="AF118" s="56">
        <v>29.733333333333331</v>
      </c>
      <c r="AG118" s="56">
        <v>25.733333333333331</v>
      </c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21</v>
      </c>
      <c r="AQ118" s="71">
        <f t="shared" si="4"/>
        <v>29.904761904761905</v>
      </c>
      <c r="AR118" s="71">
        <f>IFERROR(VLOOKUP(A118,Climatologia_TMED!A:U,9+$E$2,FALSE),"")</f>
        <v>26.064774193548381</v>
      </c>
      <c r="AS118" s="71">
        <f t="shared" si="5"/>
        <v>3.8399877112135243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>
        <v>24.066666666666659</v>
      </c>
      <c r="U119" s="56">
        <v>24.333333333333329</v>
      </c>
      <c r="V119" s="56">
        <v>24.4</v>
      </c>
      <c r="W119" s="56">
        <v>24.4</v>
      </c>
      <c r="X119" s="56">
        <v>23.466666666666669</v>
      </c>
      <c r="Y119" s="56">
        <v>24.666666666666671</v>
      </c>
      <c r="Z119" s="56">
        <v>23.8</v>
      </c>
      <c r="AA119" s="56"/>
      <c r="AB119" s="56">
        <v>24.266666666666669</v>
      </c>
      <c r="AC119" s="56">
        <v>24.6</v>
      </c>
      <c r="AD119" s="56">
        <v>23.666666666666671</v>
      </c>
      <c r="AE119" s="56">
        <v>24.93333333333333</v>
      </c>
      <c r="AF119" s="56">
        <v>22.733333333333331</v>
      </c>
      <c r="AG119" s="56">
        <v>24.6</v>
      </c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20</v>
      </c>
      <c r="AQ119" s="71">
        <f t="shared" si="4"/>
        <v>24.01</v>
      </c>
      <c r="AR119" s="71">
        <f>IFERROR(VLOOKUP(A119,Climatologia_TMED!A:U,9+$E$2,FALSE),"")</f>
        <v>22.097715053763402</v>
      </c>
      <c r="AS119" s="71">
        <f t="shared" si="5"/>
        <v>1.9122849462365998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>
        <v>27.466666666666669</v>
      </c>
      <c r="T120" s="56">
        <v>29.86666666666666</v>
      </c>
      <c r="U120" s="56">
        <v>26</v>
      </c>
      <c r="V120" s="56">
        <v>28.333333333333329</v>
      </c>
      <c r="W120" s="56">
        <v>28.533333333333331</v>
      </c>
      <c r="X120" s="56"/>
      <c r="Y120" s="56"/>
      <c r="Z120" s="56"/>
      <c r="AA120" s="56"/>
      <c r="AB120" s="56"/>
      <c r="AC120" s="56"/>
      <c r="AD120" s="56">
        <v>27</v>
      </c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13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>
        <v>11.66666666666667</v>
      </c>
      <c r="V122" s="56">
        <v>10.33333333333333</v>
      </c>
      <c r="W122" s="56">
        <v>11.66666666666667</v>
      </c>
      <c r="X122" s="56">
        <v>10.4</v>
      </c>
      <c r="Y122" s="56">
        <v>11.866666666666671</v>
      </c>
      <c r="Z122" s="56">
        <v>12.4</v>
      </c>
      <c r="AA122" s="56">
        <v>13</v>
      </c>
      <c r="AB122" s="56">
        <v>12.266666666666669</v>
      </c>
      <c r="AC122" s="56">
        <v>13</v>
      </c>
      <c r="AD122" s="56">
        <v>12.8</v>
      </c>
      <c r="AE122" s="56">
        <v>12.933333333333341</v>
      </c>
      <c r="AF122" s="56">
        <v>11.866666666666671</v>
      </c>
      <c r="AG122" s="56">
        <v>11.866666666666671</v>
      </c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23</v>
      </c>
      <c r="AQ122" s="71">
        <f t="shared" si="4"/>
        <v>12.568115942028987</v>
      </c>
      <c r="AR122" s="71">
        <f>IFERROR(VLOOKUP(A122,Climatologia_TMED!A:U,9+$E$2,FALSE),"")</f>
        <v>10.160420312062531</v>
      </c>
      <c r="AS122" s="71">
        <f t="shared" si="5"/>
        <v>2.4076956299664563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>
        <v>15.933333333333341</v>
      </c>
      <c r="V124" s="56">
        <v>15.2</v>
      </c>
      <c r="W124" s="56">
        <v>14.66666666666667</v>
      </c>
      <c r="X124" s="56">
        <v>14.266666666666669</v>
      </c>
      <c r="Y124" s="56">
        <v>13.66666666666667</v>
      </c>
      <c r="Z124" s="56">
        <v>16.133333333333329</v>
      </c>
      <c r="AA124" s="56">
        <v>15.133333333333329</v>
      </c>
      <c r="AB124" s="56">
        <v>15.33333333333333</v>
      </c>
      <c r="AC124" s="56">
        <v>14.733333333333331</v>
      </c>
      <c r="AD124" s="56">
        <v>15.46666666666667</v>
      </c>
      <c r="AE124" s="56">
        <v>16.266666666666669</v>
      </c>
      <c r="AF124" s="56">
        <v>15.6</v>
      </c>
      <c r="AG124" s="56">
        <v>16.399999999999999</v>
      </c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22</v>
      </c>
      <c r="AQ124" s="71">
        <f t="shared" si="4"/>
        <v>15.527272727272726</v>
      </c>
      <c r="AR124" s="71">
        <f>IFERROR(VLOOKUP(A124,Climatologia_TMED!A:U,9+$E$2,FALSE),"")</f>
        <v>15.061040072324371</v>
      </c>
      <c r="AS124" s="71">
        <f t="shared" si="5"/>
        <v>0.46623265494835486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>
        <v>11.266666666666669</v>
      </c>
      <c r="V126" s="56"/>
      <c r="W126" s="56">
        <v>10.46666666666667</v>
      </c>
      <c r="X126" s="56">
        <v>10.33333333333333</v>
      </c>
      <c r="Y126" s="56">
        <v>12.133333333333329</v>
      </c>
      <c r="Z126" s="56">
        <v>11.866666666666671</v>
      </c>
      <c r="AA126" s="56">
        <v>11.266666666666669</v>
      </c>
      <c r="AB126" s="56">
        <v>11.2</v>
      </c>
      <c r="AC126" s="56">
        <v>11.8</v>
      </c>
      <c r="AD126" s="56">
        <v>11.46666666666667</v>
      </c>
      <c r="AE126" s="56">
        <v>12.4</v>
      </c>
      <c r="AF126" s="56">
        <v>11.66666666666667</v>
      </c>
      <c r="AG126" s="56">
        <v>11.6</v>
      </c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17</v>
      </c>
      <c r="AQ126" s="71">
        <f t="shared" si="4"/>
        <v>11.490196078431371</v>
      </c>
      <c r="AR126" s="71">
        <f>IFERROR(VLOOKUP(A126,Climatologia_TMED!A:U,9+$E$2,FALSE),"")</f>
        <v>10.651018477594549</v>
      </c>
      <c r="AS126" s="71">
        <f t="shared" si="5"/>
        <v>0.83917760083682147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>
        <v>15.866666666666671</v>
      </c>
      <c r="U130" s="56">
        <v>15.4</v>
      </c>
      <c r="V130" s="56">
        <v>15.16666666666667</v>
      </c>
      <c r="W130" s="56">
        <v>15.566666666666659</v>
      </c>
      <c r="X130" s="56">
        <v>16.033333333333331</v>
      </c>
      <c r="Y130" s="56">
        <v>16.666666666666671</v>
      </c>
      <c r="Z130" s="56">
        <v>14.133333333333329</v>
      </c>
      <c r="AA130" s="56">
        <v>14.03333333333333</v>
      </c>
      <c r="AB130" s="56">
        <v>15.366666666666671</v>
      </c>
      <c r="AC130" s="56">
        <v>16.7</v>
      </c>
      <c r="AD130" s="56">
        <v>16.600000000000001</v>
      </c>
      <c r="AE130" s="56">
        <v>17.100000000000001</v>
      </c>
      <c r="AF130" s="56">
        <v>16.43333333333333</v>
      </c>
      <c r="AG130" s="56">
        <v>15.233333333333331</v>
      </c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23</v>
      </c>
      <c r="AQ130" s="71">
        <f t="shared" si="4"/>
        <v>15.707246376811597</v>
      </c>
      <c r="AR130" s="71">
        <f>IFERROR(VLOOKUP(A130,Climatologia_TMED!A:U,9+$E$2,FALSE),"")</f>
        <v>14.37068910561999</v>
      </c>
      <c r="AS130" s="71">
        <f t="shared" si="5"/>
        <v>1.3365572711916069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>
        <v>20.100000000000001</v>
      </c>
      <c r="T131" s="56">
        <v>19.2</v>
      </c>
      <c r="U131" s="56">
        <v>18.649999999999999</v>
      </c>
      <c r="V131" s="56">
        <v>17.5</v>
      </c>
      <c r="W131" s="56">
        <v>17.55</v>
      </c>
      <c r="X131" s="56">
        <v>18.75</v>
      </c>
      <c r="Y131" s="56">
        <v>19.2</v>
      </c>
      <c r="Z131" s="56">
        <v>16.45</v>
      </c>
      <c r="AA131" s="56">
        <v>17.8</v>
      </c>
      <c r="AB131" s="56">
        <v>18.2</v>
      </c>
      <c r="AC131" s="56"/>
      <c r="AD131" s="56">
        <v>17.95</v>
      </c>
      <c r="AE131" s="56">
        <v>19.649999999999999</v>
      </c>
      <c r="AF131" s="56">
        <v>18.899999999999999</v>
      </c>
      <c r="AG131" s="56">
        <v>17.399999999999999</v>
      </c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22</v>
      </c>
      <c r="AQ131" s="71">
        <f t="shared" si="4"/>
        <v>18.42045454545454</v>
      </c>
      <c r="AR131" s="71">
        <f>IFERROR(VLOOKUP(A131,Climatologia_TMED!A:U,9+$E$2,FALSE),"")</f>
        <v>17.018039759621502</v>
      </c>
      <c r="AS131" s="71">
        <f t="shared" si="5"/>
        <v>1.402414785833038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>
        <v>12.866666666666671</v>
      </c>
      <c r="V133" s="56">
        <v>13.53333333333333</v>
      </c>
      <c r="W133" s="56">
        <v>12.933333333333341</v>
      </c>
      <c r="X133" s="56">
        <v>13.46666666666667</v>
      </c>
      <c r="Y133" s="56">
        <v>13.46666666666667</v>
      </c>
      <c r="Z133" s="56">
        <v>13.8</v>
      </c>
      <c r="AA133" s="56">
        <v>13.46666666666667</v>
      </c>
      <c r="AB133" s="56">
        <v>14.33333333333333</v>
      </c>
      <c r="AC133" s="56">
        <v>13.66666666666667</v>
      </c>
      <c r="AD133" s="56">
        <v>13.6</v>
      </c>
      <c r="AE133" s="56">
        <v>14.06666666666667</v>
      </c>
      <c r="AF133" s="56">
        <v>14.366666666666671</v>
      </c>
      <c r="AG133" s="56">
        <v>14.46666666666667</v>
      </c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23</v>
      </c>
      <c r="AQ133" s="71">
        <f t="shared" ref="AQ133:AQ196" si="7">IF(AP133&gt;14,AVERAGE(K133:AO133),"")</f>
        <v>13.718840579710148</v>
      </c>
      <c r="AR133" s="71">
        <f>IFERROR(VLOOKUP(A133,Climatologia_TMED!A:U,9+$E$2,FALSE),"")</f>
        <v>12.632064451040261</v>
      </c>
      <c r="AS133" s="71">
        <f t="shared" ref="AS133:AS196" si="8">IF(OR(AQ133="",AR133=""),"",IFERROR(AQ133-AR133,""))</f>
        <v>1.0867761286698876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>
        <v>17.266666666666669</v>
      </c>
      <c r="V134" s="56">
        <v>16.600000000000001</v>
      </c>
      <c r="W134" s="56">
        <v>17.06666666666667</v>
      </c>
      <c r="X134" s="56">
        <v>16.600000000000001</v>
      </c>
      <c r="Y134" s="56">
        <v>17.866666666666671</v>
      </c>
      <c r="Z134" s="56">
        <v>18.13333333333334</v>
      </c>
      <c r="AA134" s="56">
        <v>18.733333333333331</v>
      </c>
      <c r="AB134" s="56">
        <v>18.399999999999999</v>
      </c>
      <c r="AC134" s="56">
        <v>18</v>
      </c>
      <c r="AD134" s="56">
        <v>18.666666666666671</v>
      </c>
      <c r="AE134" s="56">
        <v>17.86666666666666</v>
      </c>
      <c r="AF134" s="56">
        <v>18</v>
      </c>
      <c r="AG134" s="56">
        <v>18.8</v>
      </c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23</v>
      </c>
      <c r="AQ134" s="71">
        <f t="shared" si="7"/>
        <v>17.866666666666667</v>
      </c>
      <c r="AR134" s="71">
        <f>IFERROR(VLOOKUP(A134,Climatologia_TMED!A:U,9+$E$2,FALSE),"")</f>
        <v>15.77617103004156</v>
      </c>
      <c r="AS134" s="71">
        <f t="shared" si="8"/>
        <v>2.0904956366251071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>
        <v>22.7</v>
      </c>
      <c r="V135" s="56">
        <v>21.15</v>
      </c>
      <c r="W135" s="56">
        <v>21.8</v>
      </c>
      <c r="X135" s="56">
        <v>21.05</v>
      </c>
      <c r="Y135" s="56"/>
      <c r="Z135" s="56">
        <v>17.149999999999999</v>
      </c>
      <c r="AA135" s="56">
        <v>17.600000000000001</v>
      </c>
      <c r="AB135" s="56">
        <v>20.55</v>
      </c>
      <c r="AC135" s="56">
        <v>22.3</v>
      </c>
      <c r="AD135" s="56">
        <v>21.95</v>
      </c>
      <c r="AE135" s="56">
        <v>22.274999999999999</v>
      </c>
      <c r="AF135" s="56">
        <v>21.5</v>
      </c>
      <c r="AG135" s="56">
        <v>21.8</v>
      </c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22</v>
      </c>
      <c r="AQ135" s="71">
        <f t="shared" si="7"/>
        <v>21.036363636363635</v>
      </c>
      <c r="AR135" s="71">
        <f>IFERROR(VLOOKUP(A135,Climatologia_TMED!A:U,9+$E$2,FALSE),"")</f>
        <v>19.08404124452408</v>
      </c>
      <c r="AS135" s="71">
        <f t="shared" si="8"/>
        <v>1.9523223918395551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>
        <v>8.5333333333333332</v>
      </c>
      <c r="V136" s="56">
        <v>11.2</v>
      </c>
      <c r="W136" s="56">
        <v>10.06666666666667</v>
      </c>
      <c r="X136" s="56">
        <v>9.4</v>
      </c>
      <c r="Y136" s="56">
        <v>11.8</v>
      </c>
      <c r="Z136" s="56">
        <v>11.33333333333333</v>
      </c>
      <c r="AA136" s="56">
        <v>11.66666666666667</v>
      </c>
      <c r="AB136" s="56">
        <v>11.133333333333329</v>
      </c>
      <c r="AC136" s="56">
        <v>11</v>
      </c>
      <c r="AD136" s="56"/>
      <c r="AE136" s="56">
        <v>10.866666666666671</v>
      </c>
      <c r="AF136" s="56">
        <v>11.266666666666669</v>
      </c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21</v>
      </c>
      <c r="AQ136" s="71">
        <f t="shared" si="7"/>
        <v>10.955555555555557</v>
      </c>
      <c r="AR136" s="71">
        <f>IFERROR(VLOOKUP(A136,Climatologia_TMED!A:U,9+$E$2,FALSE),"")</f>
        <v>10.862936379928311</v>
      </c>
      <c r="AS136" s="71">
        <f t="shared" si="8"/>
        <v>9.2619175627246975E-2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>
        <v>23.666666666666671</v>
      </c>
      <c r="V138" s="56">
        <v>22.533333333333331</v>
      </c>
      <c r="W138" s="56">
        <v>22.333333333333329</v>
      </c>
      <c r="X138" s="56">
        <v>21.4</v>
      </c>
      <c r="Y138" s="56">
        <v>22.93333333333333</v>
      </c>
      <c r="Z138" s="56">
        <v>20.466666666666669</v>
      </c>
      <c r="AA138" s="56">
        <v>19.8</v>
      </c>
      <c r="AB138" s="56">
        <v>22.466666666666669</v>
      </c>
      <c r="AC138" s="56">
        <v>22.93333333333333</v>
      </c>
      <c r="AD138" s="56">
        <v>23.4</v>
      </c>
      <c r="AE138" s="56">
        <v>23.333333333333329</v>
      </c>
      <c r="AF138" s="56">
        <v>22.4</v>
      </c>
      <c r="AG138" s="56">
        <v>22.93333333333333</v>
      </c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22</v>
      </c>
      <c r="AQ138" s="71">
        <f t="shared" si="7"/>
        <v>22.545454545454543</v>
      </c>
      <c r="AR138" s="71">
        <f>IFERROR(VLOOKUP(A138,Climatologia_TMED!A:U,9+$E$2,FALSE),"")</f>
        <v>20.235550356930549</v>
      </c>
      <c r="AS138" s="71">
        <f t="shared" si="8"/>
        <v>2.3099041885239942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>
        <v>12.95</v>
      </c>
      <c r="V139" s="56">
        <v>13.4</v>
      </c>
      <c r="W139" s="56">
        <v>12.55</v>
      </c>
      <c r="X139" s="56">
        <v>12.775</v>
      </c>
      <c r="Y139" s="56">
        <v>13.75</v>
      </c>
      <c r="Z139" s="56">
        <v>13.225</v>
      </c>
      <c r="AA139" s="56">
        <v>13.324999999999999</v>
      </c>
      <c r="AB139" s="56">
        <v>14.1</v>
      </c>
      <c r="AC139" s="56">
        <v>14.95</v>
      </c>
      <c r="AD139" s="56">
        <v>13.6</v>
      </c>
      <c r="AE139" s="56">
        <v>13.95</v>
      </c>
      <c r="AF139" s="56">
        <v>14</v>
      </c>
      <c r="AG139" s="56">
        <v>14.375</v>
      </c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23</v>
      </c>
      <c r="AQ139" s="71">
        <f t="shared" si="7"/>
        <v>13.764130434782608</v>
      </c>
      <c r="AR139" s="71">
        <f>IFERROR(VLOOKUP(A139,Climatologia_TMED!A:U,9+$E$2,FALSE),"")</f>
        <v>12.97471752858849</v>
      </c>
      <c r="AS139" s="71">
        <f t="shared" si="8"/>
        <v>0.78941290619411753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>
        <v>16.95</v>
      </c>
      <c r="V140" s="56">
        <v>16.149999999999999</v>
      </c>
      <c r="W140" s="56">
        <v>15.4</v>
      </c>
      <c r="X140" s="56">
        <v>16.2</v>
      </c>
      <c r="Y140" s="56">
        <v>16.350000000000001</v>
      </c>
      <c r="Z140" s="56">
        <v>16</v>
      </c>
      <c r="AA140" s="56">
        <v>15.85</v>
      </c>
      <c r="AB140" s="56">
        <v>15.6</v>
      </c>
      <c r="AC140" s="56">
        <v>16.45</v>
      </c>
      <c r="AD140" s="56">
        <v>16.7</v>
      </c>
      <c r="AE140" s="56"/>
      <c r="AF140" s="56"/>
      <c r="AG140" s="56">
        <v>17.05</v>
      </c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21</v>
      </c>
      <c r="AQ140" s="71">
        <f t="shared" si="7"/>
        <v>16.461904761904762</v>
      </c>
      <c r="AR140" s="71">
        <f>IFERROR(VLOOKUP(A140,Climatologia_TMED!A:U,9+$E$2,FALSE),"")</f>
        <v>15.718876344086</v>
      </c>
      <c r="AS140" s="71">
        <f t="shared" si="8"/>
        <v>0.74302841781876161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>
        <v>12</v>
      </c>
      <c r="V141" s="56">
        <v>13.733333333333331</v>
      </c>
      <c r="W141" s="56">
        <v>12.33333333333333</v>
      </c>
      <c r="X141" s="56">
        <v>12</v>
      </c>
      <c r="Y141" s="56">
        <v>12.66666666666667</v>
      </c>
      <c r="Z141" s="56">
        <v>14</v>
      </c>
      <c r="AA141" s="56">
        <v>13.2</v>
      </c>
      <c r="AB141" s="56">
        <v>13.4</v>
      </c>
      <c r="AC141" s="56">
        <v>13.66666666666667</v>
      </c>
      <c r="AD141" s="56">
        <v>12.866666666666671</v>
      </c>
      <c r="AE141" s="56">
        <v>13.266666666666669</v>
      </c>
      <c r="AF141" s="56">
        <v>14.2</v>
      </c>
      <c r="AG141" s="56">
        <v>13.6</v>
      </c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23</v>
      </c>
      <c r="AQ141" s="71">
        <f t="shared" si="7"/>
        <v>13.226086956521739</v>
      </c>
      <c r="AR141" s="71">
        <f>IFERROR(VLOOKUP(A141,Climatologia_TMED!A:U,9+$E$2,FALSE),"")</f>
        <v>11.969387238873461</v>
      </c>
      <c r="AS141" s="71">
        <f t="shared" si="8"/>
        <v>1.2566997176482779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10.4</v>
      </c>
      <c r="U142" s="56">
        <v>11.3</v>
      </c>
      <c r="V142" s="56">
        <v>10.55</v>
      </c>
      <c r="W142" s="56">
        <v>10.074999999999999</v>
      </c>
      <c r="X142" s="56">
        <v>10.6</v>
      </c>
      <c r="Y142" s="56">
        <v>12.85</v>
      </c>
      <c r="Z142" s="56"/>
      <c r="AA142" s="56">
        <v>11.1</v>
      </c>
      <c r="AB142" s="56">
        <v>11</v>
      </c>
      <c r="AC142" s="56">
        <v>11.9</v>
      </c>
      <c r="AD142" s="56">
        <v>10.25</v>
      </c>
      <c r="AE142" s="56">
        <v>11.65</v>
      </c>
      <c r="AF142" s="56">
        <v>11.75</v>
      </c>
      <c r="AG142" s="56">
        <v>11.65</v>
      </c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22</v>
      </c>
      <c r="AQ142" s="71">
        <f t="shared" si="7"/>
        <v>11.194318181818181</v>
      </c>
      <c r="AR142" s="71">
        <f>IFERROR(VLOOKUP(A142,Climatologia_TMED!A:U,9+$E$2,FALSE),"")</f>
        <v>10.49248004916649</v>
      </c>
      <c r="AS142" s="71">
        <f t="shared" si="8"/>
        <v>0.70183813265169093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>
        <v>28.8</v>
      </c>
      <c r="V143" s="56">
        <v>27.86666666666666</v>
      </c>
      <c r="W143" s="56">
        <v>28.6</v>
      </c>
      <c r="X143" s="56">
        <v>28.6</v>
      </c>
      <c r="Y143" s="56">
        <v>27.933333333333341</v>
      </c>
      <c r="Z143" s="56">
        <v>26.266666666666669</v>
      </c>
      <c r="AA143" s="56">
        <v>26.8</v>
      </c>
      <c r="AB143" s="56">
        <v>28.333333333333329</v>
      </c>
      <c r="AC143" s="56">
        <v>28.4</v>
      </c>
      <c r="AD143" s="56">
        <v>28.86666666666666</v>
      </c>
      <c r="AE143" s="56">
        <v>29.266666666666669</v>
      </c>
      <c r="AF143" s="56"/>
      <c r="AG143" s="56">
        <v>28.06666666666667</v>
      </c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22</v>
      </c>
      <c r="AQ143" s="71">
        <f t="shared" si="7"/>
        <v>27.942424242424249</v>
      </c>
      <c r="AR143" s="71">
        <f>IFERROR(VLOOKUP(A143,Climatologia_TMED!A:U,9+$E$2,FALSE),"")</f>
        <v>25.992543202764971</v>
      </c>
      <c r="AS143" s="71">
        <f t="shared" si="8"/>
        <v>1.9498810396592781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>
        <v>15.93333333333333</v>
      </c>
      <c r="V144" s="56">
        <v>16.533333333333331</v>
      </c>
      <c r="W144" s="56">
        <v>15.866666666666671</v>
      </c>
      <c r="X144" s="56">
        <v>16.133333333333329</v>
      </c>
      <c r="Y144" s="56">
        <v>16.399999999999999</v>
      </c>
      <c r="Z144" s="56">
        <v>17.333333333333329</v>
      </c>
      <c r="AA144" s="56">
        <v>16.333333333333329</v>
      </c>
      <c r="AB144" s="56">
        <v>16.399999999999999</v>
      </c>
      <c r="AC144" s="56">
        <v>17.333333333333329</v>
      </c>
      <c r="AD144" s="56">
        <v>17.399999999999999</v>
      </c>
      <c r="AE144" s="56">
        <v>17.2</v>
      </c>
      <c r="AF144" s="56">
        <v>17.06666666666667</v>
      </c>
      <c r="AG144" s="56">
        <v>16.533333333333331</v>
      </c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23</v>
      </c>
      <c r="AQ144" s="71">
        <f t="shared" si="7"/>
        <v>16.481159420289853</v>
      </c>
      <c r="AR144" s="71">
        <f>IFERROR(VLOOKUP(A144,Climatologia_TMED!A:U,9+$E$2,FALSE),"")</f>
        <v>15.9826099414474</v>
      </c>
      <c r="AS144" s="71">
        <f t="shared" si="8"/>
        <v>0.49854947884245249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>
        <v>21</v>
      </c>
      <c r="V145" s="56">
        <v>21.4</v>
      </c>
      <c r="W145" s="56">
        <v>21.2</v>
      </c>
      <c r="X145" s="56">
        <v>19.666666666666671</v>
      </c>
      <c r="Y145" s="56">
        <v>19.733333333333331</v>
      </c>
      <c r="Z145" s="56">
        <v>20</v>
      </c>
      <c r="AA145" s="56">
        <v>20.266666666666669</v>
      </c>
      <c r="AB145" s="56">
        <v>20.266666666666669</v>
      </c>
      <c r="AC145" s="56">
        <v>22.3</v>
      </c>
      <c r="AD145" s="56">
        <v>19.93333333333333</v>
      </c>
      <c r="AE145" s="56">
        <v>21.2</v>
      </c>
      <c r="AF145" s="56">
        <v>19.733333333333331</v>
      </c>
      <c r="AG145" s="56">
        <v>18.2</v>
      </c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23</v>
      </c>
      <c r="AQ145" s="71">
        <f t="shared" si="7"/>
        <v>20.384057971014496</v>
      </c>
      <c r="AR145" s="71">
        <f>IFERROR(VLOOKUP(A145,Climatologia_TMED!A:U,9+$E$2,FALSE),"")</f>
        <v>19.40683329936412</v>
      </c>
      <c r="AS145" s="71">
        <f t="shared" si="8"/>
        <v>0.97722467165037585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>
        <v>31.266666666666669</v>
      </c>
      <c r="V146" s="56">
        <v>33.066666666666663</v>
      </c>
      <c r="W146" s="56">
        <v>32.6</v>
      </c>
      <c r="X146" s="56">
        <v>31</v>
      </c>
      <c r="Y146" s="56">
        <v>28.466666666666669</v>
      </c>
      <c r="Z146" s="56">
        <v>28.6</v>
      </c>
      <c r="AA146" s="56">
        <v>30.13333333333334</v>
      </c>
      <c r="AB146" s="56">
        <v>30.266666666666669</v>
      </c>
      <c r="AC146" s="56">
        <v>32.866666666666667</v>
      </c>
      <c r="AD146" s="56">
        <v>31.533333333333331</v>
      </c>
      <c r="AE146" s="56">
        <v>31.4</v>
      </c>
      <c r="AF146" s="56">
        <v>31.4</v>
      </c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22</v>
      </c>
      <c r="AQ146" s="71">
        <f t="shared" si="7"/>
        <v>31.16363636363636</v>
      </c>
      <c r="AR146" s="71">
        <f>IFERROR(VLOOKUP(A146,Climatologia_TMED!A:U,9+$E$2,FALSE),"")</f>
        <v>29.306317625921391</v>
      </c>
      <c r="AS146" s="71">
        <f t="shared" si="8"/>
        <v>1.8573187377149694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>
        <v>26.266666666666669</v>
      </c>
      <c r="V147" s="56">
        <v>27.733333333333331</v>
      </c>
      <c r="W147" s="56">
        <v>28.066666666666659</v>
      </c>
      <c r="X147" s="56">
        <v>26.733333333333331</v>
      </c>
      <c r="Y147" s="56">
        <v>25.2</v>
      </c>
      <c r="Z147" s="56">
        <v>25.93333333333333</v>
      </c>
      <c r="AA147" s="56">
        <v>26.066666666666659</v>
      </c>
      <c r="AB147" s="56">
        <v>25.666666666666671</v>
      </c>
      <c r="AC147" s="56">
        <v>27.733333333333331</v>
      </c>
      <c r="AD147" s="56">
        <v>26.466666666666669</v>
      </c>
      <c r="AE147" s="56">
        <v>27.533333333333331</v>
      </c>
      <c r="AF147" s="56">
        <v>26.13333333333334</v>
      </c>
      <c r="AG147" s="56">
        <v>24.466666666666669</v>
      </c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23</v>
      </c>
      <c r="AQ147" s="71">
        <f t="shared" si="7"/>
        <v>26.394202898550727</v>
      </c>
      <c r="AR147" s="71">
        <f>IFERROR(VLOOKUP(A147,Climatologia_TMED!A:U,9+$E$2,FALSE),"")</f>
        <v>24.061574212155389</v>
      </c>
      <c r="AS147" s="71">
        <f t="shared" si="8"/>
        <v>2.3326286863953385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>
        <v>31.8</v>
      </c>
      <c r="V148" s="56">
        <v>33.6</v>
      </c>
      <c r="W148" s="56">
        <v>31.666666666666671</v>
      </c>
      <c r="X148" s="56">
        <v>30.06666666666667</v>
      </c>
      <c r="Y148" s="56">
        <v>30.533333333333331</v>
      </c>
      <c r="Z148" s="56"/>
      <c r="AA148" s="56">
        <v>30.06666666666667</v>
      </c>
      <c r="AB148" s="56">
        <v>28.4</v>
      </c>
      <c r="AC148" s="56">
        <v>30.666666666666671</v>
      </c>
      <c r="AD148" s="56">
        <v>31</v>
      </c>
      <c r="AE148" s="56">
        <v>30.4</v>
      </c>
      <c r="AF148" s="56">
        <v>30.066666666666659</v>
      </c>
      <c r="AG148" s="56">
        <v>29.466666666666669</v>
      </c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21</v>
      </c>
      <c r="AQ148" s="71">
        <f t="shared" si="7"/>
        <v>30.787301587301585</v>
      </c>
      <c r="AR148" s="71">
        <f>IFERROR(VLOOKUP(A148,Climatologia_TMED!A:U,9+$E$2,FALSE),"")</f>
        <v>29.17936497960693</v>
      </c>
      <c r="AS148" s="71">
        <f t="shared" si="8"/>
        <v>1.6079366076946542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>
        <v>25.8</v>
      </c>
      <c r="U149" s="56">
        <v>25.93333333333333</v>
      </c>
      <c r="V149" s="56">
        <v>25.133333333333329</v>
      </c>
      <c r="W149" s="56">
        <v>24.533333333333331</v>
      </c>
      <c r="X149" s="56">
        <v>24.4</v>
      </c>
      <c r="Y149" s="56">
        <v>25.06666666666667</v>
      </c>
      <c r="Z149" s="56">
        <v>22.86666666666666</v>
      </c>
      <c r="AA149" s="56">
        <v>23.6</v>
      </c>
      <c r="AB149" s="56">
        <v>22.93333333333333</v>
      </c>
      <c r="AC149" s="56">
        <v>24.4</v>
      </c>
      <c r="AD149" s="56">
        <v>24</v>
      </c>
      <c r="AE149" s="56">
        <v>24.4</v>
      </c>
      <c r="AF149" s="56">
        <v>24.06666666666667</v>
      </c>
      <c r="AG149" s="56">
        <v>22.2</v>
      </c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23</v>
      </c>
      <c r="AQ149" s="71">
        <f t="shared" si="7"/>
        <v>24.194202898550731</v>
      </c>
      <c r="AR149" s="71">
        <f>IFERROR(VLOOKUP(A149,Climatologia_TMED!A:U,9+$E$2,FALSE),"")</f>
        <v>21.98128955804011</v>
      </c>
      <c r="AS149" s="71">
        <f t="shared" si="8"/>
        <v>2.2129133405106209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>
        <v>25.1</v>
      </c>
      <c r="V151" s="56">
        <v>25.6</v>
      </c>
      <c r="W151" s="56">
        <v>24.8</v>
      </c>
      <c r="X151" s="56">
        <v>25.4</v>
      </c>
      <c r="Y151" s="56"/>
      <c r="Z151" s="56"/>
      <c r="AA151" s="56"/>
      <c r="AB151" s="56">
        <v>23.266666666666669</v>
      </c>
      <c r="AC151" s="56">
        <v>24.666666666666671</v>
      </c>
      <c r="AD151" s="56">
        <v>24.466666666666669</v>
      </c>
      <c r="AE151" s="56">
        <v>25.533333333333331</v>
      </c>
      <c r="AF151" s="56">
        <v>24.4</v>
      </c>
      <c r="AG151" s="56">
        <v>22.533333333333331</v>
      </c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20</v>
      </c>
      <c r="AQ151" s="71">
        <f t="shared" si="7"/>
        <v>24.343333333333334</v>
      </c>
      <c r="AR151" s="71">
        <f>IFERROR(VLOOKUP(A151,Climatologia_TMED!A:U,9+$E$2,FALSE),"")</f>
        <v>21.718227316119769</v>
      </c>
      <c r="AS151" s="71">
        <f t="shared" si="8"/>
        <v>2.6251060172135645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>
        <v>21.85</v>
      </c>
      <c r="V154" s="56">
        <v>22.55</v>
      </c>
      <c r="W154" s="56">
        <v>22.15</v>
      </c>
      <c r="X154" s="56">
        <v>21.25</v>
      </c>
      <c r="Y154" s="56">
        <v>20.45</v>
      </c>
      <c r="Z154" s="56">
        <v>19.95</v>
      </c>
      <c r="AA154" s="56">
        <v>19.899999999999999</v>
      </c>
      <c r="AB154" s="56">
        <v>20.2</v>
      </c>
      <c r="AC154" s="56">
        <v>21.05</v>
      </c>
      <c r="AD154" s="56">
        <v>22</v>
      </c>
      <c r="AE154" s="56">
        <v>21.5</v>
      </c>
      <c r="AF154" s="56">
        <v>21.45</v>
      </c>
      <c r="AG154" s="56">
        <v>20.05</v>
      </c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23</v>
      </c>
      <c r="AQ154" s="71">
        <f t="shared" si="7"/>
        <v>21.119565217391301</v>
      </c>
      <c r="AR154" s="71">
        <f>IFERROR(VLOOKUP(A154,Climatologia_TMED!A:U,9+$E$2,FALSE),"")</f>
        <v>19.603370199692769</v>
      </c>
      <c r="AS154" s="71">
        <f t="shared" si="8"/>
        <v>1.5161950176985322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>
        <v>30.933333333333341</v>
      </c>
      <c r="V155" s="56">
        <v>31.06666666666667</v>
      </c>
      <c r="W155" s="56">
        <v>28.93333333333333</v>
      </c>
      <c r="X155" s="56">
        <v>29.6</v>
      </c>
      <c r="Y155" s="56">
        <v>28.066666666666659</v>
      </c>
      <c r="Z155" s="56">
        <v>28.333333333333329</v>
      </c>
      <c r="AA155" s="56">
        <v>27.333333333333329</v>
      </c>
      <c r="AB155" s="56">
        <v>27.666666666666671</v>
      </c>
      <c r="AC155" s="56">
        <v>28.2</v>
      </c>
      <c r="AD155" s="56">
        <v>28.933333333333341</v>
      </c>
      <c r="AE155" s="56">
        <v>28</v>
      </c>
      <c r="AF155" s="56">
        <v>27.13333333333334</v>
      </c>
      <c r="AG155" s="56">
        <v>27.333333333333329</v>
      </c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22</v>
      </c>
      <c r="AQ155" s="71">
        <f t="shared" si="7"/>
        <v>28.866666666666671</v>
      </c>
      <c r="AR155" s="71">
        <f>IFERROR(VLOOKUP(A155,Climatologia_TMED!A:U,9+$E$2,FALSE),"")</f>
        <v>27.798082822950249</v>
      </c>
      <c r="AS155" s="71">
        <f t="shared" si="8"/>
        <v>1.0685838437164215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>
        <v>31.533333333333331</v>
      </c>
      <c r="V157" s="56">
        <v>31.6</v>
      </c>
      <c r="W157" s="56">
        <v>31.866666666666671</v>
      </c>
      <c r="X157" s="56">
        <v>30.733333333333331</v>
      </c>
      <c r="Y157" s="56">
        <v>28.533333333333331</v>
      </c>
      <c r="Z157" s="56"/>
      <c r="AA157" s="56">
        <v>28.2</v>
      </c>
      <c r="AB157" s="56">
        <v>27.533333333333331</v>
      </c>
      <c r="AC157" s="56">
        <v>29.6</v>
      </c>
      <c r="AD157" s="56">
        <v>31.266666666666669</v>
      </c>
      <c r="AE157" s="56">
        <v>29.666666666666671</v>
      </c>
      <c r="AF157" s="56">
        <v>28.333333333333329</v>
      </c>
      <c r="AG157" s="56">
        <v>28.466666666666669</v>
      </c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21</v>
      </c>
      <c r="AQ157" s="71">
        <f t="shared" si="7"/>
        <v>29.968253968253968</v>
      </c>
      <c r="AR157" s="71">
        <f>IFERROR(VLOOKUP(A157,Climatologia_TMED!A:U,9+$E$2,FALSE),"")</f>
        <v>27.586074724019738</v>
      </c>
      <c r="AS157" s="71">
        <f t="shared" si="8"/>
        <v>2.38217924423423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>
        <v>32.666666666666657</v>
      </c>
      <c r="V158" s="56">
        <v>33</v>
      </c>
      <c r="W158" s="56">
        <v>31.266666666666669</v>
      </c>
      <c r="X158" s="56">
        <v>31.6</v>
      </c>
      <c r="Y158" s="56">
        <v>32.466666666666669</v>
      </c>
      <c r="Z158" s="56">
        <v>28.733333333333331</v>
      </c>
      <c r="AA158" s="56">
        <v>28.86666666666666</v>
      </c>
      <c r="AB158" s="56">
        <v>29</v>
      </c>
      <c r="AC158" s="56"/>
      <c r="AD158" s="56">
        <v>31.266666666666669</v>
      </c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19</v>
      </c>
      <c r="AQ158" s="71">
        <f t="shared" si="7"/>
        <v>30.722807017543861</v>
      </c>
      <c r="AR158" s="71">
        <f>IFERROR(VLOOKUP(A158,Climatologia_TMED!A:U,9+$E$2,FALSE),"")</f>
        <v>28.018688345149439</v>
      </c>
      <c r="AS158" s="71">
        <f t="shared" si="8"/>
        <v>2.7041186723944222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>
        <v>21.466666666666669</v>
      </c>
      <c r="V159" s="56">
        <v>23.066666666666659</v>
      </c>
      <c r="W159" s="56">
        <v>21.266666666666669</v>
      </c>
      <c r="X159" s="56">
        <v>22.13333333333334</v>
      </c>
      <c r="Y159" s="56">
        <v>23.13333333333334</v>
      </c>
      <c r="Z159" s="56">
        <v>21.133333333333329</v>
      </c>
      <c r="AA159" s="56">
        <v>20.399999999999999</v>
      </c>
      <c r="AB159" s="56">
        <v>20.8</v>
      </c>
      <c r="AC159" s="56">
        <v>21.6</v>
      </c>
      <c r="AD159" s="56">
        <v>22.533333333333331</v>
      </c>
      <c r="AE159" s="56">
        <v>21.2</v>
      </c>
      <c r="AF159" s="56">
        <v>20.266666666666669</v>
      </c>
      <c r="AG159" s="56">
        <v>20</v>
      </c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23</v>
      </c>
      <c r="AQ159" s="71">
        <f t="shared" si="7"/>
        <v>21.228985507246374</v>
      </c>
      <c r="AR159" s="71">
        <f>IFERROR(VLOOKUP(A159,Climatologia_TMED!A:U,9+$E$2,FALSE),"")</f>
        <v>19.083052786798319</v>
      </c>
      <c r="AS159" s="71">
        <f t="shared" si="8"/>
        <v>2.1459327204480552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>
        <v>28.533333333333331</v>
      </c>
      <c r="V160" s="56">
        <v>29.666666666666671</v>
      </c>
      <c r="W160" s="56">
        <v>28.466666666666669</v>
      </c>
      <c r="X160" s="56"/>
      <c r="Y160" s="56">
        <v>28.333333333333329</v>
      </c>
      <c r="Z160" s="56">
        <v>27.466666666666669</v>
      </c>
      <c r="AA160" s="56">
        <v>27</v>
      </c>
      <c r="AB160" s="56">
        <v>25.733333333333331</v>
      </c>
      <c r="AC160" s="56">
        <v>28.666666666666671</v>
      </c>
      <c r="AD160" s="56">
        <v>28</v>
      </c>
      <c r="AE160" s="56">
        <v>26.533333333333331</v>
      </c>
      <c r="AF160" s="56">
        <v>27.933333333333341</v>
      </c>
      <c r="AG160" s="56">
        <v>27.6</v>
      </c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21</v>
      </c>
      <c r="AQ160" s="71">
        <f t="shared" si="7"/>
        <v>27.704761904761909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>
        <v>20.533333333333331</v>
      </c>
      <c r="V161" s="56">
        <v>20.533333333333331</v>
      </c>
      <c r="W161" s="56"/>
      <c r="X161" s="56">
        <v>21.466666666666669</v>
      </c>
      <c r="Y161" s="56">
        <v>20.13333333333334</v>
      </c>
      <c r="Z161" s="56">
        <v>20</v>
      </c>
      <c r="AA161" s="56">
        <v>18</v>
      </c>
      <c r="AB161" s="56"/>
      <c r="AC161" s="56">
        <v>19.466666666666669</v>
      </c>
      <c r="AD161" s="56"/>
      <c r="AE161" s="56">
        <v>20.13333333333334</v>
      </c>
      <c r="AF161" s="56">
        <v>19.399999999999999</v>
      </c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18</v>
      </c>
      <c r="AQ161" s="71">
        <f t="shared" si="7"/>
        <v>20.05185185185185</v>
      </c>
      <c r="AR161" s="71">
        <f>IFERROR(VLOOKUP(A161,Climatologia_TMED!A:U,9+$E$2,FALSE),"")</f>
        <v>17.518211901578969</v>
      </c>
      <c r="AS161" s="71">
        <f t="shared" si="8"/>
        <v>2.5336399502728817</v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>
        <v>29.6</v>
      </c>
      <c r="V162" s="56">
        <v>29.733333333333331</v>
      </c>
      <c r="W162" s="56">
        <v>28.6</v>
      </c>
      <c r="X162" s="56">
        <v>28.6</v>
      </c>
      <c r="Y162" s="56">
        <v>29.666666666666671</v>
      </c>
      <c r="Z162" s="56">
        <v>28.666666666666671</v>
      </c>
      <c r="AA162" s="56">
        <v>28.2</v>
      </c>
      <c r="AB162" s="56">
        <v>27.93333333333333</v>
      </c>
      <c r="AC162" s="56">
        <v>28.533333333333331</v>
      </c>
      <c r="AD162" s="56">
        <v>29.066666666666659</v>
      </c>
      <c r="AE162" s="56">
        <v>29.4</v>
      </c>
      <c r="AF162" s="56">
        <v>27.733333333333331</v>
      </c>
      <c r="AG162" s="56">
        <v>27.93333333333333</v>
      </c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23</v>
      </c>
      <c r="AQ162" s="71">
        <f t="shared" si="7"/>
        <v>28.871014492753623</v>
      </c>
      <c r="AR162" s="71">
        <f>IFERROR(VLOOKUP(A162,Climatologia_TMED!A:U,9+$E$2,FALSE),"")</f>
        <v>28.49681537062899</v>
      </c>
      <c r="AS162" s="71">
        <f t="shared" si="8"/>
        <v>0.37419912212463302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>
        <v>22.4</v>
      </c>
      <c r="V163" s="56">
        <v>21.93333333333333</v>
      </c>
      <c r="W163" s="56">
        <v>21.733333333333331</v>
      </c>
      <c r="X163" s="56">
        <v>21.86666666666666</v>
      </c>
      <c r="Y163" s="56">
        <v>21.733333333333331</v>
      </c>
      <c r="Z163" s="56">
        <v>21.466666666666669</v>
      </c>
      <c r="AA163" s="56">
        <v>21.666666666666671</v>
      </c>
      <c r="AB163" s="56">
        <v>20.93333333333333</v>
      </c>
      <c r="AC163" s="56">
        <v>21.86666666666666</v>
      </c>
      <c r="AD163" s="56">
        <v>22.6</v>
      </c>
      <c r="AE163" s="56">
        <v>22</v>
      </c>
      <c r="AF163" s="56">
        <v>21.333333333333329</v>
      </c>
      <c r="AG163" s="56">
        <v>21.06666666666667</v>
      </c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23</v>
      </c>
      <c r="AQ163" s="71">
        <f t="shared" si="7"/>
        <v>21.808695652173913</v>
      </c>
      <c r="AR163" s="71">
        <f>IFERROR(VLOOKUP(A163,Climatologia_TMED!A:U,9+$E$2,FALSE),"")</f>
        <v>21.304846458288491</v>
      </c>
      <c r="AS163" s="71">
        <f t="shared" si="8"/>
        <v>0.50384919388542215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>
        <v>26.25</v>
      </c>
      <c r="V164" s="56">
        <v>26.45</v>
      </c>
      <c r="W164" s="56">
        <v>27.1</v>
      </c>
      <c r="X164" s="56">
        <v>26.8</v>
      </c>
      <c r="Y164" s="56">
        <v>26.2</v>
      </c>
      <c r="Z164" s="56">
        <v>25.85</v>
      </c>
      <c r="AA164" s="56">
        <v>25.15</v>
      </c>
      <c r="AB164" s="56">
        <v>24.75</v>
      </c>
      <c r="AC164" s="56">
        <v>25.3</v>
      </c>
      <c r="AD164" s="56">
        <v>26.5</v>
      </c>
      <c r="AE164" s="56">
        <v>26.2</v>
      </c>
      <c r="AF164" s="56">
        <v>25.3</v>
      </c>
      <c r="AG164" s="56">
        <v>25.3</v>
      </c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23</v>
      </c>
      <c r="AQ164" s="71">
        <f t="shared" si="7"/>
        <v>25.810869565217391</v>
      </c>
      <c r="AR164" s="71">
        <f>IFERROR(VLOOKUP(A164,Climatologia_TMED!A:U,9+$E$2,FALSE),"")</f>
        <v>23.886011584659681</v>
      </c>
      <c r="AS164" s="71">
        <f t="shared" si="8"/>
        <v>1.9248579805577108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>
        <v>15.33333333333333</v>
      </c>
      <c r="V166" s="56">
        <v>14.8</v>
      </c>
      <c r="W166" s="56">
        <v>15.133333333333329</v>
      </c>
      <c r="X166" s="56">
        <v>14.8</v>
      </c>
      <c r="Y166" s="56">
        <v>15.133333333333329</v>
      </c>
      <c r="Z166" s="56">
        <v>14.733333333333331</v>
      </c>
      <c r="AA166" s="56">
        <v>15.33333333333333</v>
      </c>
      <c r="AB166" s="56">
        <v>14</v>
      </c>
      <c r="AC166" s="56">
        <v>15.8</v>
      </c>
      <c r="AD166" s="56">
        <v>14.866666666666671</v>
      </c>
      <c r="AE166" s="56">
        <v>15.06666666666667</v>
      </c>
      <c r="AF166" s="56">
        <v>14.46666666666667</v>
      </c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22</v>
      </c>
      <c r="AQ166" s="71">
        <f t="shared" si="7"/>
        <v>14.981818181818182</v>
      </c>
      <c r="AR166" s="71">
        <f>IFERROR(VLOOKUP(A166,Climatologia_TMED!A:U,9+$E$2,FALSE),"")</f>
        <v>13.59731182795695</v>
      </c>
      <c r="AS166" s="71">
        <f t="shared" si="8"/>
        <v>1.3845063538612319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>
        <v>21.93333333333333</v>
      </c>
      <c r="V167" s="56">
        <v>21.933333333333341</v>
      </c>
      <c r="W167" s="56">
        <v>21.133333333333329</v>
      </c>
      <c r="X167" s="56">
        <v>21.733333333333331</v>
      </c>
      <c r="Y167" s="56">
        <v>21.666666666666671</v>
      </c>
      <c r="Z167" s="56">
        <v>21</v>
      </c>
      <c r="AA167" s="56">
        <v>20.399999999999999</v>
      </c>
      <c r="AB167" s="56">
        <v>19.466666666666669</v>
      </c>
      <c r="AC167" s="56">
        <v>21.733333333333331</v>
      </c>
      <c r="AD167" s="56">
        <v>21.666666666666671</v>
      </c>
      <c r="AE167" s="56">
        <v>21.2</v>
      </c>
      <c r="AF167" s="56">
        <v>20.533333333333331</v>
      </c>
      <c r="AG167" s="56">
        <v>21.2</v>
      </c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23</v>
      </c>
      <c r="AQ167" s="71">
        <f t="shared" si="7"/>
        <v>21.118840579710142</v>
      </c>
      <c r="AR167" s="71">
        <f>IFERROR(VLOOKUP(A167,Climatologia_TMED!A:U,9+$E$2,FALSE),"")</f>
        <v>19.132762427527378</v>
      </c>
      <c r="AS167" s="71">
        <f t="shared" si="8"/>
        <v>1.9860781521827633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>
        <v>30.15</v>
      </c>
      <c r="V168" s="56">
        <v>29.85</v>
      </c>
      <c r="W168" s="56">
        <v>30.55</v>
      </c>
      <c r="X168" s="56">
        <v>29.85</v>
      </c>
      <c r="Y168" s="56">
        <v>29.85</v>
      </c>
      <c r="Z168" s="56">
        <v>26.8</v>
      </c>
      <c r="AA168" s="56">
        <v>25.9</v>
      </c>
      <c r="AB168" s="56">
        <v>26.35</v>
      </c>
      <c r="AC168" s="56">
        <v>27.45</v>
      </c>
      <c r="AD168" s="56">
        <v>27.95</v>
      </c>
      <c r="AE168" s="56">
        <v>29.45</v>
      </c>
      <c r="AF168" s="56">
        <v>27.35</v>
      </c>
      <c r="AG168" s="56">
        <v>28.15</v>
      </c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23</v>
      </c>
      <c r="AQ168" s="71">
        <f t="shared" si="7"/>
        <v>28.552173913043486</v>
      </c>
      <c r="AR168" s="71">
        <f>IFERROR(VLOOKUP(A168,Climatologia_TMED!A:U,9+$E$2,FALSE),"")</f>
        <v>26.11906044753972</v>
      </c>
      <c r="AS168" s="71">
        <f t="shared" si="8"/>
        <v>2.4331134655037658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>
        <v>9.8000000000000007</v>
      </c>
      <c r="V169" s="56">
        <v>9.9500000000000011</v>
      </c>
      <c r="W169" s="56">
        <v>9.9499999999999993</v>
      </c>
      <c r="X169" s="56">
        <v>8.3500000000000014</v>
      </c>
      <c r="Y169" s="56">
        <v>9.5</v>
      </c>
      <c r="Z169" s="56">
        <v>10.75</v>
      </c>
      <c r="AA169" s="56">
        <v>9.6000000000000014</v>
      </c>
      <c r="AB169" s="56">
        <v>9.2000000000000011</v>
      </c>
      <c r="AC169" s="56">
        <v>9.6499999999999986</v>
      </c>
      <c r="AD169" s="56">
        <v>10</v>
      </c>
      <c r="AE169" s="56">
        <v>9.6000000000000014</v>
      </c>
      <c r="AF169" s="56">
        <v>10</v>
      </c>
      <c r="AG169" s="56">
        <v>8.8000000000000007</v>
      </c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23</v>
      </c>
      <c r="AQ169" s="71">
        <f t="shared" si="7"/>
        <v>9.4760869565217387</v>
      </c>
      <c r="AR169" s="71">
        <f>IFERROR(VLOOKUP(A169,Climatologia_TMED!A:U,9+$E$2,FALSE),"")</f>
        <v>8.9418110731500597</v>
      </c>
      <c r="AS169" s="71">
        <f t="shared" si="8"/>
        <v>0.53427588337167897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>
        <v>25.86666666666666</v>
      </c>
      <c r="V170" s="56">
        <v>26.06666666666667</v>
      </c>
      <c r="W170" s="56">
        <v>25.4</v>
      </c>
      <c r="X170" s="56">
        <v>26</v>
      </c>
      <c r="Y170" s="56">
        <v>25.666666666666671</v>
      </c>
      <c r="Z170" s="56">
        <v>24</v>
      </c>
      <c r="AA170" s="56">
        <v>25.6</v>
      </c>
      <c r="AB170" s="56">
        <v>26.266666666666669</v>
      </c>
      <c r="AC170" s="56">
        <v>27.6</v>
      </c>
      <c r="AD170" s="56">
        <v>25.06666666666667</v>
      </c>
      <c r="AE170" s="56">
        <v>24.4</v>
      </c>
      <c r="AF170" s="56">
        <v>24.533333333333331</v>
      </c>
      <c r="AG170" s="56">
        <v>24.4</v>
      </c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23</v>
      </c>
      <c r="AQ170" s="71">
        <f t="shared" si="7"/>
        <v>25.695652173913043</v>
      </c>
      <c r="AR170" s="71">
        <f>IFERROR(VLOOKUP(A170,Climatologia_TMED!A:U,9+$E$2,FALSE),"")</f>
        <v>24.395609944791921</v>
      </c>
      <c r="AS170" s="71">
        <f t="shared" si="8"/>
        <v>1.3000422291211216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>
        <v>23.6</v>
      </c>
      <c r="V171" s="56">
        <v>21.4</v>
      </c>
      <c r="W171" s="56">
        <v>21.2</v>
      </c>
      <c r="X171" s="56">
        <v>21.466666666666669</v>
      </c>
      <c r="Y171" s="56">
        <v>22.133333333333329</v>
      </c>
      <c r="Z171" s="56">
        <v>19.600000000000001</v>
      </c>
      <c r="AA171" s="56"/>
      <c r="AB171" s="56">
        <v>21.6</v>
      </c>
      <c r="AC171" s="56">
        <v>22.6</v>
      </c>
      <c r="AD171" s="56">
        <v>22.266666666666669</v>
      </c>
      <c r="AE171" s="56">
        <v>22.8</v>
      </c>
      <c r="AF171" s="56">
        <v>22.2</v>
      </c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20</v>
      </c>
      <c r="AQ171" s="71">
        <f t="shared" si="7"/>
        <v>21.880000000000003</v>
      </c>
      <c r="AR171" s="71">
        <f>IFERROR(VLOOKUP(A171,Climatologia_TMED!A:U,9+$E$2,FALSE),"")</f>
        <v>19.277535015015289</v>
      </c>
      <c r="AS171" s="71">
        <f t="shared" si="8"/>
        <v>2.6024649849847137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>
        <v>26.9</v>
      </c>
      <c r="V172" s="56">
        <v>25.9</v>
      </c>
      <c r="W172" s="56"/>
      <c r="X172" s="56">
        <v>26.4</v>
      </c>
      <c r="Y172" s="56">
        <v>25.55</v>
      </c>
      <c r="Z172" s="56">
        <v>25.1</v>
      </c>
      <c r="AA172" s="56">
        <v>24.1</v>
      </c>
      <c r="AB172" s="56">
        <v>25.1</v>
      </c>
      <c r="AC172" s="56">
        <v>26.2</v>
      </c>
      <c r="AD172" s="56">
        <v>27.3</v>
      </c>
      <c r="AE172" s="56">
        <v>26.75</v>
      </c>
      <c r="AF172" s="56">
        <v>25.8</v>
      </c>
      <c r="AG172" s="56">
        <v>26.75</v>
      </c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21</v>
      </c>
      <c r="AQ172" s="71">
        <f t="shared" si="7"/>
        <v>25.977380952380951</v>
      </c>
      <c r="AR172" s="71">
        <f>IFERROR(VLOOKUP(A172,Climatologia_TMED!A:U,9+$E$2,FALSE),"")</f>
        <v>24.578876627051489</v>
      </c>
      <c r="AS172" s="71">
        <f t="shared" si="8"/>
        <v>1.398504325329462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>
        <v>26.15</v>
      </c>
      <c r="V173" s="56">
        <v>25.85</v>
      </c>
      <c r="W173" s="56">
        <v>26.45</v>
      </c>
      <c r="X173" s="56">
        <v>25.45</v>
      </c>
      <c r="Y173" s="56">
        <v>25.45</v>
      </c>
      <c r="Z173" s="56">
        <v>22.574999999999999</v>
      </c>
      <c r="AA173" s="56">
        <v>21.6</v>
      </c>
      <c r="AB173" s="56">
        <v>23.95</v>
      </c>
      <c r="AC173" s="56">
        <v>25.65</v>
      </c>
      <c r="AD173" s="56">
        <v>25.8</v>
      </c>
      <c r="AE173" s="56">
        <v>26.3</v>
      </c>
      <c r="AF173" s="56">
        <v>25.75</v>
      </c>
      <c r="AG173" s="56">
        <v>26.4</v>
      </c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23</v>
      </c>
      <c r="AQ173" s="71">
        <f t="shared" si="7"/>
        <v>25.279347826086955</v>
      </c>
      <c r="AR173" s="71">
        <f>IFERROR(VLOOKUP(A173,Climatologia_TMED!A:U,9+$E$2,FALSE),"")</f>
        <v>24.24334341397849</v>
      </c>
      <c r="AS173" s="71">
        <f t="shared" si="8"/>
        <v>1.0360044121084648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>
        <v>13.53333333333333</v>
      </c>
      <c r="V174" s="56">
        <v>10.46666666666667</v>
      </c>
      <c r="W174" s="56">
        <v>13.266666666666669</v>
      </c>
      <c r="X174" s="56">
        <v>15.133333333333329</v>
      </c>
      <c r="Y174" s="56">
        <v>12.33333333333333</v>
      </c>
      <c r="Z174" s="56">
        <v>12.6</v>
      </c>
      <c r="AA174" s="56">
        <v>10.866666666666671</v>
      </c>
      <c r="AB174" s="56">
        <v>12.8</v>
      </c>
      <c r="AC174" s="56">
        <v>13.06666666666667</v>
      </c>
      <c r="AD174" s="56">
        <v>14.33333333333333</v>
      </c>
      <c r="AE174" s="56">
        <v>15</v>
      </c>
      <c r="AF174" s="56">
        <v>12.66666666666667</v>
      </c>
      <c r="AG174" s="56">
        <v>12.33333333333333</v>
      </c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23</v>
      </c>
      <c r="AQ174" s="71">
        <f t="shared" si="7"/>
        <v>13.310144927536234</v>
      </c>
      <c r="AR174" s="71">
        <f>IFERROR(VLOOKUP(A174,Climatologia_TMED!A:U,9+$E$2,FALSE),"")</f>
        <v>12.130348155415341</v>
      </c>
      <c r="AS174" s="71">
        <f t="shared" si="8"/>
        <v>1.1797967721208931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>
        <v>24.93333333333333</v>
      </c>
      <c r="N175" s="56">
        <v>24.2</v>
      </c>
      <c r="O175" s="56">
        <v>22.533333333333331</v>
      </c>
      <c r="P175" s="56">
        <v>25.86666666666666</v>
      </c>
      <c r="Q175" s="56">
        <v>25.4</v>
      </c>
      <c r="R175" s="56">
        <v>23.666666666666671</v>
      </c>
      <c r="S175" s="56">
        <v>24.733333333333331</v>
      </c>
      <c r="T175" s="56">
        <v>24.666666666666671</v>
      </c>
      <c r="U175" s="56">
        <v>26</v>
      </c>
      <c r="V175" s="56">
        <v>24</v>
      </c>
      <c r="W175" s="56">
        <v>24.6</v>
      </c>
      <c r="X175" s="56">
        <v>25.2</v>
      </c>
      <c r="Y175" s="56">
        <v>23.666666666666671</v>
      </c>
      <c r="Z175" s="56">
        <v>22.8</v>
      </c>
      <c r="AA175" s="56">
        <v>22.733333333333331</v>
      </c>
      <c r="AB175" s="56">
        <v>24.8</v>
      </c>
      <c r="AC175" s="56">
        <v>23.86666666666666</v>
      </c>
      <c r="AD175" s="56">
        <v>25.333333333333329</v>
      </c>
      <c r="AE175" s="56">
        <v>27</v>
      </c>
      <c r="AF175" s="56">
        <v>25.86666666666666</v>
      </c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22</v>
      </c>
      <c r="AQ175" s="71">
        <f t="shared" si="7"/>
        <v>24.74848484848485</v>
      </c>
      <c r="AR175" s="71">
        <f>IFERROR(VLOOKUP(A175,Climatologia_TMED!A:U,9+$E$2,FALSE),"")</f>
        <v>23.810002936419639</v>
      </c>
      <c r="AS175" s="71">
        <f t="shared" si="8"/>
        <v>0.93848191206521037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>
        <v>26.4</v>
      </c>
      <c r="S178" s="56">
        <v>26.466666666666669</v>
      </c>
      <c r="T178" s="56">
        <v>26.06666666666667</v>
      </c>
      <c r="U178" s="56">
        <v>26.866666666666671</v>
      </c>
      <c r="V178" s="56">
        <v>27.266666666666669</v>
      </c>
      <c r="W178" s="56">
        <v>27.466666666666669</v>
      </c>
      <c r="X178" s="56">
        <v>26.533333333333331</v>
      </c>
      <c r="Y178" s="56">
        <v>26.266666666666669</v>
      </c>
      <c r="Z178" s="56">
        <v>23.8</v>
      </c>
      <c r="AA178" s="56">
        <v>22.13333333333334</v>
      </c>
      <c r="AB178" s="56">
        <v>23.4</v>
      </c>
      <c r="AC178" s="56">
        <v>25.466666666666669</v>
      </c>
      <c r="AD178" s="56">
        <v>25.733333333333331</v>
      </c>
      <c r="AE178" s="56">
        <v>26.733333333333331</v>
      </c>
      <c r="AF178" s="56">
        <v>25.2</v>
      </c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22</v>
      </c>
      <c r="AQ178" s="71">
        <f t="shared" si="7"/>
        <v>25.627272727272725</v>
      </c>
      <c r="AR178" s="71">
        <f>IFERROR(VLOOKUP(A178,Climatologia_TMED!A:U,9+$E$2,FALSE),"")</f>
        <v>24.764281496732401</v>
      </c>
      <c r="AS178" s="71">
        <f t="shared" si="8"/>
        <v>0.86299123054032378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>
        <v>20.149999999999999</v>
      </c>
      <c r="V179" s="56">
        <v>19.399999999999999</v>
      </c>
      <c r="W179" s="56">
        <v>19.149999999999999</v>
      </c>
      <c r="X179" s="56">
        <v>19.25</v>
      </c>
      <c r="Y179" s="56">
        <v>19.5</v>
      </c>
      <c r="Z179" s="56">
        <v>18.8</v>
      </c>
      <c r="AA179" s="56">
        <v>16.25</v>
      </c>
      <c r="AB179" s="56">
        <v>17.899999999999999</v>
      </c>
      <c r="AC179" s="56">
        <v>20.3</v>
      </c>
      <c r="AD179" s="56">
        <v>19.75</v>
      </c>
      <c r="AE179" s="56">
        <v>19.899999999999999</v>
      </c>
      <c r="AF179" s="56">
        <v>18.75</v>
      </c>
      <c r="AG179" s="56">
        <v>19.55</v>
      </c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22</v>
      </c>
      <c r="AQ179" s="71">
        <f t="shared" si="7"/>
        <v>19.047727272727272</v>
      </c>
      <c r="AR179" s="71">
        <f>IFERROR(VLOOKUP(A179,Climatologia_TMED!A:U,9+$E$2,FALSE),"")</f>
        <v>17.52263018923631</v>
      </c>
      <c r="AS179" s="71">
        <f t="shared" si="8"/>
        <v>1.5250970834909623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>
        <v>33.466666666666669</v>
      </c>
      <c r="V181" s="56">
        <v>33.466666666666669</v>
      </c>
      <c r="W181" s="56">
        <v>31.4</v>
      </c>
      <c r="X181" s="56">
        <v>32.799999999999997</v>
      </c>
      <c r="Y181" s="56">
        <v>33.333333333333343</v>
      </c>
      <c r="Z181" s="56">
        <v>30.466666666666669</v>
      </c>
      <c r="AA181" s="56">
        <v>28.466666666666669</v>
      </c>
      <c r="AB181" s="56">
        <v>31</v>
      </c>
      <c r="AC181" s="56">
        <v>32.6</v>
      </c>
      <c r="AD181" s="56">
        <v>34</v>
      </c>
      <c r="AE181" s="56">
        <v>33</v>
      </c>
      <c r="AF181" s="56">
        <v>32.4</v>
      </c>
      <c r="AG181" s="56">
        <v>31.86666666666666</v>
      </c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23</v>
      </c>
      <c r="AQ181" s="71">
        <f t="shared" si="7"/>
        <v>32.11304347826087</v>
      </c>
      <c r="AR181" s="71">
        <f>IFERROR(VLOOKUP(A181,Climatologia_TMED!A:U,9+$E$2,FALSE),"")</f>
        <v>29.494520657328639</v>
      </c>
      <c r="AS181" s="71">
        <f t="shared" si="8"/>
        <v>2.6185228209322311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/>
      <c r="U184" s="56"/>
      <c r="V184" s="56"/>
      <c r="W184" s="56"/>
      <c r="X184" s="56"/>
      <c r="Y184" s="56"/>
      <c r="Z184" s="56"/>
      <c r="AA184" s="56">
        <v>26.466666666666669</v>
      </c>
      <c r="AB184" s="56">
        <v>28.533333333333331</v>
      </c>
      <c r="AC184" s="56">
        <v>30.666666666666671</v>
      </c>
      <c r="AD184" s="56"/>
      <c r="AE184" s="56">
        <v>31.066666666666659</v>
      </c>
      <c r="AF184" s="56">
        <v>29.066666666666659</v>
      </c>
      <c r="AG184" s="56">
        <v>30.666666666666671</v>
      </c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14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>
        <v>31.266666666666669</v>
      </c>
      <c r="V185" s="56"/>
      <c r="W185" s="56"/>
      <c r="X185" s="56"/>
      <c r="Y185" s="56">
        <v>30.86666666666666</v>
      </c>
      <c r="Z185" s="56">
        <v>28.13333333333334</v>
      </c>
      <c r="AA185" s="56">
        <v>26.86666666666666</v>
      </c>
      <c r="AB185" s="56">
        <v>29.733333333333331</v>
      </c>
      <c r="AC185" s="56"/>
      <c r="AD185" s="56"/>
      <c r="AE185" s="56">
        <v>32.200000000000003</v>
      </c>
      <c r="AF185" s="56">
        <v>31.666666666666671</v>
      </c>
      <c r="AG185" s="56">
        <v>31.4</v>
      </c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18</v>
      </c>
      <c r="AQ185" s="71">
        <f t="shared" si="7"/>
        <v>30.514814814814812</v>
      </c>
      <c r="AR185" s="71">
        <f>IFERROR(VLOOKUP(A185,Climatologia_TMED!A:U,9+$E$2,FALSE),"")</f>
        <v>28.426879526214119</v>
      </c>
      <c r="AS185" s="71">
        <f t="shared" si="8"/>
        <v>2.0879352886006934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>
        <v>19.533333333333331</v>
      </c>
      <c r="V188" s="56">
        <v>18.466666666666669</v>
      </c>
      <c r="W188" s="56">
        <v>19</v>
      </c>
      <c r="X188" s="56">
        <v>17.666666666666671</v>
      </c>
      <c r="Y188" s="56">
        <v>18.600000000000001</v>
      </c>
      <c r="Z188" s="56">
        <v>16.333333333333329</v>
      </c>
      <c r="AA188" s="56">
        <v>15.266666666666669</v>
      </c>
      <c r="AB188" s="56">
        <v>16.06666666666667</v>
      </c>
      <c r="AC188" s="56">
        <v>19.266666666666669</v>
      </c>
      <c r="AD188" s="56"/>
      <c r="AE188" s="56">
        <v>18.133333333333329</v>
      </c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19</v>
      </c>
      <c r="AQ188" s="71">
        <f t="shared" si="7"/>
        <v>17.849122807017544</v>
      </c>
      <c r="AR188" s="71">
        <f>IFERROR(VLOOKUP(A188,Climatologia_TMED!A:U,9+$E$2,FALSE),"")</f>
        <v>16.219992677735171</v>
      </c>
      <c r="AS188" s="71">
        <f t="shared" si="8"/>
        <v>1.6291301292823732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>
        <v>35.933333333333337</v>
      </c>
      <c r="V189" s="56">
        <v>35.266666666666673</v>
      </c>
      <c r="W189" s="56"/>
      <c r="X189" s="56"/>
      <c r="Y189" s="56"/>
      <c r="Z189" s="56"/>
      <c r="AA189" s="56">
        <v>30</v>
      </c>
      <c r="AB189" s="56">
        <v>30.8</v>
      </c>
      <c r="AC189" s="56">
        <v>33.533333333333331</v>
      </c>
      <c r="AD189" s="56">
        <v>34.6</v>
      </c>
      <c r="AE189" s="56">
        <v>33.866666666666667</v>
      </c>
      <c r="AF189" s="56"/>
      <c r="AG189" s="56">
        <v>33.066666666666663</v>
      </c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16</v>
      </c>
      <c r="AQ189" s="71">
        <f t="shared" si="7"/>
        <v>33.404166666666669</v>
      </c>
      <c r="AR189" s="71">
        <f>IFERROR(VLOOKUP(A189,Climatologia_TMED!A:U,9+$E$2,FALSE),"")</f>
        <v>30.520337316954809</v>
      </c>
      <c r="AS189" s="71">
        <f t="shared" si="8"/>
        <v>2.8838293497118599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>
        <v>31.266666666666669</v>
      </c>
      <c r="V190" s="56">
        <v>33.266666666666673</v>
      </c>
      <c r="W190" s="56">
        <v>33.333333333333343</v>
      </c>
      <c r="X190" s="56">
        <v>32.133333333333333</v>
      </c>
      <c r="Y190" s="56"/>
      <c r="Z190" s="56">
        <v>30.733333333333331</v>
      </c>
      <c r="AA190" s="56">
        <v>30.533333333333331</v>
      </c>
      <c r="AB190" s="56">
        <v>30.333333333333329</v>
      </c>
      <c r="AC190" s="56">
        <v>32.4</v>
      </c>
      <c r="AD190" s="56"/>
      <c r="AE190" s="56">
        <v>32.133333333333333</v>
      </c>
      <c r="AF190" s="56">
        <v>32.866666666666667</v>
      </c>
      <c r="AG190" s="56">
        <v>31.933333333333341</v>
      </c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21</v>
      </c>
      <c r="AQ190" s="71">
        <f t="shared" si="7"/>
        <v>31.384126984126986</v>
      </c>
      <c r="AR190" s="71">
        <f>IFERROR(VLOOKUP(A190,Climatologia_TMED!A:U,9+$E$2,FALSE),"")</f>
        <v>29.552042558032198</v>
      </c>
      <c r="AS190" s="71">
        <f t="shared" si="8"/>
        <v>1.8320844260947879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>
        <v>19.45</v>
      </c>
      <c r="V191" s="56">
        <v>19.55</v>
      </c>
      <c r="W191" s="56">
        <v>20.100000000000001</v>
      </c>
      <c r="X191" s="56">
        <v>19</v>
      </c>
      <c r="Y191" s="56">
        <v>20.3</v>
      </c>
      <c r="Z191" s="56">
        <v>18.45</v>
      </c>
      <c r="AA191" s="56">
        <v>18.3</v>
      </c>
      <c r="AB191" s="56">
        <v>18.100000000000001</v>
      </c>
      <c r="AC191" s="56">
        <v>19.75</v>
      </c>
      <c r="AD191" s="56">
        <v>20.6</v>
      </c>
      <c r="AE191" s="56">
        <v>19.7</v>
      </c>
      <c r="AF191" s="56">
        <v>17.399999999999999</v>
      </c>
      <c r="AG191" s="56">
        <v>18.899999999999999</v>
      </c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23</v>
      </c>
      <c r="AQ191" s="71">
        <f t="shared" si="7"/>
        <v>19.217391304347824</v>
      </c>
      <c r="AR191" s="71">
        <f>IFERROR(VLOOKUP(A191,Climatologia_TMED!A:U,9+$E$2,FALSE),"")</f>
        <v>17.464112079265011</v>
      </c>
      <c r="AS191" s="71">
        <f t="shared" si="8"/>
        <v>1.7532792250828138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>
        <v>27.533333333333331</v>
      </c>
      <c r="V192" s="56">
        <v>25.666666666666671</v>
      </c>
      <c r="W192" s="56">
        <v>26.2</v>
      </c>
      <c r="X192" s="56">
        <v>26.6</v>
      </c>
      <c r="Y192" s="56">
        <v>27.266666666666669</v>
      </c>
      <c r="Z192" s="56">
        <v>25.86666666666666</v>
      </c>
      <c r="AA192" s="56">
        <v>25.666666666666671</v>
      </c>
      <c r="AB192" s="56">
        <v>27.466666666666669</v>
      </c>
      <c r="AC192" s="56">
        <v>26.333333333333329</v>
      </c>
      <c r="AD192" s="56">
        <v>27.333333333333329</v>
      </c>
      <c r="AE192" s="56">
        <v>28.86666666666666</v>
      </c>
      <c r="AF192" s="56">
        <v>26.4</v>
      </c>
      <c r="AG192" s="56">
        <v>26</v>
      </c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23</v>
      </c>
      <c r="AQ192" s="71">
        <f t="shared" si="7"/>
        <v>26.626086956521739</v>
      </c>
      <c r="AR192" s="71">
        <f>IFERROR(VLOOKUP(A192,Climatologia_TMED!A:U,9+$E$2,FALSE),"")</f>
        <v>25.598921067303831</v>
      </c>
      <c r="AS192" s="71">
        <f t="shared" si="8"/>
        <v>1.0271658892179083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>
        <v>29.95</v>
      </c>
      <c r="V193" s="56">
        <v>28.35</v>
      </c>
      <c r="W193" s="56">
        <v>29.7</v>
      </c>
      <c r="X193" s="56">
        <v>28.5</v>
      </c>
      <c r="Y193" s="56">
        <v>30.3</v>
      </c>
      <c r="Z193" s="56">
        <v>26.95</v>
      </c>
      <c r="AA193" s="56">
        <v>25.95</v>
      </c>
      <c r="AB193" s="56">
        <v>29.2</v>
      </c>
      <c r="AC193" s="56">
        <v>29.3</v>
      </c>
      <c r="AD193" s="56">
        <v>29.75</v>
      </c>
      <c r="AE193" s="56">
        <v>30.55</v>
      </c>
      <c r="AF193" s="56">
        <v>28.5</v>
      </c>
      <c r="AG193" s="56">
        <v>28.75</v>
      </c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23</v>
      </c>
      <c r="AQ193" s="71">
        <f t="shared" si="7"/>
        <v>28.876086956521739</v>
      </c>
      <c r="AR193" s="71">
        <f>IFERROR(VLOOKUP(A193,Climatologia_TMED!A:U,9+$E$2,FALSE),"")</f>
        <v>26.876419518290088</v>
      </c>
      <c r="AS193" s="71">
        <f t="shared" si="8"/>
        <v>1.9996674382316506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>
        <v>21.133333333333329</v>
      </c>
      <c r="V194" s="56">
        <v>21.6</v>
      </c>
      <c r="W194" s="56">
        <v>21.733333333333331</v>
      </c>
      <c r="X194" s="56">
        <v>22.466666666666669</v>
      </c>
      <c r="Y194" s="56">
        <v>22.733333333333331</v>
      </c>
      <c r="Z194" s="56">
        <v>21.2</v>
      </c>
      <c r="AA194" s="56">
        <v>20.8</v>
      </c>
      <c r="AB194" s="56">
        <v>20.86666666666666</v>
      </c>
      <c r="AC194" s="56">
        <v>21.6</v>
      </c>
      <c r="AD194" s="56">
        <v>23</v>
      </c>
      <c r="AE194" s="56">
        <v>23.4</v>
      </c>
      <c r="AF194" s="56">
        <v>21.333333333333329</v>
      </c>
      <c r="AG194" s="56">
        <v>21.4</v>
      </c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22</v>
      </c>
      <c r="AQ194" s="71">
        <f t="shared" si="7"/>
        <v>21.906060606060606</v>
      </c>
      <c r="AR194" s="71">
        <f>IFERROR(VLOOKUP(A194,Climatologia_TMED!A:U,9+$E$2,FALSE),"")</f>
        <v>21.92453935902186</v>
      </c>
      <c r="AS194" s="71">
        <f t="shared" si="8"/>
        <v>-1.847875296125423E-2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>
        <v>29.533333333333331</v>
      </c>
      <c r="V195" s="56">
        <v>30.733333333333331</v>
      </c>
      <c r="W195" s="56">
        <v>29.4</v>
      </c>
      <c r="X195" s="56">
        <v>29.533333333333331</v>
      </c>
      <c r="Y195" s="56">
        <v>30.13333333333334</v>
      </c>
      <c r="Z195" s="56"/>
      <c r="AA195" s="56">
        <v>25.333333333333329</v>
      </c>
      <c r="AB195" s="56"/>
      <c r="AC195" s="56"/>
      <c r="AD195" s="56">
        <v>30.266666666666669</v>
      </c>
      <c r="AE195" s="56">
        <v>30.13333333333334</v>
      </c>
      <c r="AF195" s="56">
        <v>27.4</v>
      </c>
      <c r="AG195" s="56">
        <v>28.8</v>
      </c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19</v>
      </c>
      <c r="AQ195" s="71">
        <f t="shared" si="7"/>
        <v>28.859649122807014</v>
      </c>
      <c r="AR195" s="71">
        <f>IFERROR(VLOOKUP(A195,Climatologia_TMED!A:U,9+$E$2,FALSE),"")</f>
        <v>25.93887423035611</v>
      </c>
      <c r="AS195" s="71">
        <f t="shared" si="8"/>
        <v>2.920774892450904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>
        <v>24.666666666666671</v>
      </c>
      <c r="V196" s="56">
        <v>24.266666666666669</v>
      </c>
      <c r="W196" s="56">
        <v>24.2</v>
      </c>
      <c r="X196" s="56">
        <v>23.666666666666671</v>
      </c>
      <c r="Y196" s="56">
        <v>23.333333333333329</v>
      </c>
      <c r="Z196" s="56">
        <v>21.266666666666669</v>
      </c>
      <c r="AA196" s="56">
        <v>20</v>
      </c>
      <c r="AB196" s="56">
        <v>19.93333333333333</v>
      </c>
      <c r="AC196" s="56">
        <v>24.333333333333329</v>
      </c>
      <c r="AD196" s="56">
        <v>24.8</v>
      </c>
      <c r="AE196" s="56">
        <v>24</v>
      </c>
      <c r="AF196" s="56">
        <v>21.2</v>
      </c>
      <c r="AG196" s="56">
        <v>23.066666666666659</v>
      </c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23</v>
      </c>
      <c r="AQ196" s="71">
        <f t="shared" si="7"/>
        <v>22.872463768115939</v>
      </c>
      <c r="AR196" s="71">
        <f>IFERROR(VLOOKUP(A196,Climatologia_TMED!A:U,9+$E$2,FALSE),"")</f>
        <v>20.501275507765811</v>
      </c>
      <c r="AS196" s="71">
        <f t="shared" si="8"/>
        <v>2.3711882603501273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>
        <v>28.4</v>
      </c>
      <c r="V197" s="56">
        <v>27.86666666666666</v>
      </c>
      <c r="W197" s="56">
        <v>28.2</v>
      </c>
      <c r="X197" s="56">
        <v>27.666666666666671</v>
      </c>
      <c r="Y197" s="56">
        <v>28.13333333333334</v>
      </c>
      <c r="Z197" s="56">
        <v>24.06666666666667</v>
      </c>
      <c r="AA197" s="56">
        <v>25</v>
      </c>
      <c r="AB197" s="56">
        <v>25.266666666666669</v>
      </c>
      <c r="AC197" s="56">
        <v>28.333333333333329</v>
      </c>
      <c r="AD197" s="56">
        <v>29.13333333333334</v>
      </c>
      <c r="AE197" s="56">
        <v>27.666666666666671</v>
      </c>
      <c r="AF197" s="56">
        <v>24.466666666666669</v>
      </c>
      <c r="AG197" s="56">
        <v>26.533333333333331</v>
      </c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23</v>
      </c>
      <c r="AQ197" s="71">
        <f t="shared" ref="AQ197:AQ260" si="10">IF(AP197&gt;14,AVERAGE(K197:AO197),"")</f>
        <v>27.27391304347826</v>
      </c>
      <c r="AR197" s="71">
        <f>IFERROR(VLOOKUP(A197,Climatologia_TMED!A:U,9+$E$2,FALSE),"")</f>
        <v>24.669620158482161</v>
      </c>
      <c r="AS197" s="71">
        <f t="shared" ref="AS197:AS260" si="11">IF(OR(AQ197="",AR197=""),"",IFERROR(AQ197-AR197,""))</f>
        <v>2.6042928849960987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>
        <v>22.8</v>
      </c>
      <c r="V198" s="56">
        <v>21.95</v>
      </c>
      <c r="W198" s="56">
        <v>22.25</v>
      </c>
      <c r="X198" s="56">
        <v>22.4</v>
      </c>
      <c r="Y198" s="56">
        <v>22.6</v>
      </c>
      <c r="Z198" s="56">
        <v>20.8</v>
      </c>
      <c r="AA198" s="56">
        <v>20.3</v>
      </c>
      <c r="AB198" s="56">
        <v>19.55</v>
      </c>
      <c r="AC198" s="56">
        <v>22.85</v>
      </c>
      <c r="AD198" s="56">
        <v>23.65</v>
      </c>
      <c r="AE198" s="56">
        <v>23</v>
      </c>
      <c r="AF198" s="56">
        <v>20.65</v>
      </c>
      <c r="AG198" s="56">
        <v>22.3</v>
      </c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23</v>
      </c>
      <c r="AQ198" s="71">
        <f t="shared" si="10"/>
        <v>22.160869565217393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>
        <v>17.2</v>
      </c>
      <c r="V199" s="56">
        <v>16.399999999999999</v>
      </c>
      <c r="W199" s="56"/>
      <c r="X199" s="56"/>
      <c r="Y199" s="56">
        <v>17.2</v>
      </c>
      <c r="Z199" s="56">
        <v>15.93333333333333</v>
      </c>
      <c r="AA199" s="56">
        <v>16.06666666666667</v>
      </c>
      <c r="AB199" s="56">
        <v>15.866666666666671</v>
      </c>
      <c r="AC199" s="56">
        <v>17.399999999999999</v>
      </c>
      <c r="AD199" s="56">
        <v>16.93333333333333</v>
      </c>
      <c r="AE199" s="56">
        <v>16.533333333333331</v>
      </c>
      <c r="AF199" s="56">
        <v>15.933333333333341</v>
      </c>
      <c r="AG199" s="56">
        <v>16.733333333333331</v>
      </c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21</v>
      </c>
      <c r="AQ199" s="71">
        <f t="shared" si="10"/>
        <v>16.717460317460318</v>
      </c>
      <c r="AR199" s="71">
        <f>IFERROR(VLOOKUP(A199,Climatologia_TMED!A:U,9+$E$2,FALSE),"")</f>
        <v>15.9056050475294</v>
      </c>
      <c r="AS199" s="71">
        <f t="shared" si="11"/>
        <v>0.81185526993091806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>
        <v>14.8</v>
      </c>
      <c r="V200" s="56">
        <v>15.15</v>
      </c>
      <c r="W200" s="56"/>
      <c r="X200" s="56">
        <v>15.7</v>
      </c>
      <c r="Y200" s="56">
        <v>13.85</v>
      </c>
      <c r="Z200" s="56">
        <v>12.55</v>
      </c>
      <c r="AA200" s="56">
        <v>13.65</v>
      </c>
      <c r="AB200" s="56">
        <v>14.5</v>
      </c>
      <c r="AC200" s="56">
        <v>15.1</v>
      </c>
      <c r="AD200" s="56">
        <v>14.95</v>
      </c>
      <c r="AE200" s="56">
        <v>15.9</v>
      </c>
      <c r="AF200" s="56">
        <v>14.35</v>
      </c>
      <c r="AG200" s="56">
        <v>14.35</v>
      </c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22</v>
      </c>
      <c r="AQ200" s="71">
        <f t="shared" si="10"/>
        <v>14.438636363636364</v>
      </c>
      <c r="AR200" s="71">
        <f>IFERROR(VLOOKUP(A200,Climatologia_TMED!A:U,9+$E$2,FALSE),"")</f>
        <v>13.344977882388941</v>
      </c>
      <c r="AS200" s="71">
        <f t="shared" si="11"/>
        <v>1.0936584812474237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>
        <v>29.4</v>
      </c>
      <c r="V201" s="56">
        <v>28.55</v>
      </c>
      <c r="W201" s="56">
        <v>28.9</v>
      </c>
      <c r="X201" s="56">
        <v>28.35</v>
      </c>
      <c r="Y201" s="56">
        <v>29.4</v>
      </c>
      <c r="Z201" s="56">
        <v>26.6</v>
      </c>
      <c r="AA201" s="56">
        <v>26.05</v>
      </c>
      <c r="AB201" s="56">
        <v>25.95</v>
      </c>
      <c r="AC201" s="56">
        <v>30.5</v>
      </c>
      <c r="AD201" s="56">
        <v>30.6</v>
      </c>
      <c r="AE201" s="56">
        <v>29.4</v>
      </c>
      <c r="AF201" s="56">
        <v>27.65</v>
      </c>
      <c r="AG201" s="56">
        <v>28.4</v>
      </c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23</v>
      </c>
      <c r="AQ201" s="71">
        <f t="shared" si="10"/>
        <v>28.471739130434777</v>
      </c>
      <c r="AR201" s="71">
        <f>IFERROR(VLOOKUP(A201,Climatologia_TMED!A:U,9+$E$2,FALSE),"")</f>
        <v>26.42009640850436</v>
      </c>
      <c r="AS201" s="71">
        <f t="shared" si="11"/>
        <v>2.051642721930417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>
        <v>13.15</v>
      </c>
      <c r="V202" s="56">
        <v>13.5</v>
      </c>
      <c r="W202" s="56">
        <v>12.85</v>
      </c>
      <c r="X202" s="56">
        <v>13.05</v>
      </c>
      <c r="Y202" s="56">
        <v>13.1</v>
      </c>
      <c r="Z202" s="56">
        <v>13.7</v>
      </c>
      <c r="AA202" s="56">
        <v>13.4</v>
      </c>
      <c r="AB202" s="56">
        <v>12.6</v>
      </c>
      <c r="AC202" s="56">
        <v>13.85</v>
      </c>
      <c r="AD202" s="56">
        <v>13.2</v>
      </c>
      <c r="AE202" s="56">
        <v>14.25</v>
      </c>
      <c r="AF202" s="56">
        <v>13.1</v>
      </c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22</v>
      </c>
      <c r="AQ202" s="71">
        <f t="shared" si="10"/>
        <v>13.040909090909089</v>
      </c>
      <c r="AR202" s="71">
        <f>IFERROR(VLOOKUP(A202,Climatologia_TMED!A:U,9+$E$2,FALSE),"")</f>
        <v>12.92387825817962</v>
      </c>
      <c r="AS202" s="71">
        <f t="shared" si="11"/>
        <v>0.11703083272946913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>
        <v>14</v>
      </c>
      <c r="S203" s="56">
        <v>15.06666666666667</v>
      </c>
      <c r="T203" s="56">
        <v>13.4</v>
      </c>
      <c r="U203" s="56">
        <v>14.2</v>
      </c>
      <c r="V203" s="56">
        <v>14.33333333333333</v>
      </c>
      <c r="W203" s="56">
        <v>14.2</v>
      </c>
      <c r="X203" s="56">
        <v>14.733333333333331</v>
      </c>
      <c r="Y203" s="56"/>
      <c r="Z203" s="56"/>
      <c r="AA203" s="56">
        <v>14.4</v>
      </c>
      <c r="AB203" s="56"/>
      <c r="AC203" s="56">
        <v>14.8</v>
      </c>
      <c r="AD203" s="56">
        <v>13.93333333333333</v>
      </c>
      <c r="AE203" s="56">
        <v>13.866666666666671</v>
      </c>
      <c r="AF203" s="56">
        <v>14</v>
      </c>
      <c r="AG203" s="56">
        <v>14</v>
      </c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20</v>
      </c>
      <c r="AQ203" s="71">
        <f t="shared" si="10"/>
        <v>14.143333333333334</v>
      </c>
      <c r="AR203" s="71">
        <f>IFERROR(VLOOKUP(A203,Climatologia_TMED!A:U,9+$E$2,FALSE),"")</f>
        <v>12.086069715466531</v>
      </c>
      <c r="AS203" s="71">
        <f t="shared" si="11"/>
        <v>2.0572636178668038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>
        <v>15.4</v>
      </c>
      <c r="U205" s="56">
        <v>15.3</v>
      </c>
      <c r="V205" s="56">
        <v>16</v>
      </c>
      <c r="W205" s="56">
        <v>14.9</v>
      </c>
      <c r="X205" s="56">
        <v>15.15</v>
      </c>
      <c r="Y205" s="56">
        <v>16.05</v>
      </c>
      <c r="Z205" s="56">
        <v>14.6</v>
      </c>
      <c r="AA205" s="56">
        <v>15.3</v>
      </c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17</v>
      </c>
      <c r="AQ205" s="71">
        <f t="shared" si="10"/>
        <v>14.214705882352943</v>
      </c>
      <c r="AR205" s="71">
        <f>IFERROR(VLOOKUP(A205,Climatologia_TMED!A:U,9+$E$2,FALSE),"")</f>
        <v>13.43544585253456</v>
      </c>
      <c r="AS205" s="71">
        <f t="shared" si="11"/>
        <v>0.77926002981838316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>
        <v>13.1</v>
      </c>
      <c r="V206" s="56">
        <v>13.6</v>
      </c>
      <c r="W206" s="56">
        <v>13.1</v>
      </c>
      <c r="X206" s="56">
        <v>13.75</v>
      </c>
      <c r="Y206" s="56">
        <v>14.25</v>
      </c>
      <c r="Z206" s="56">
        <v>11.7</v>
      </c>
      <c r="AA206" s="56">
        <v>13.45</v>
      </c>
      <c r="AB206" s="56">
        <v>13.1</v>
      </c>
      <c r="AC206" s="56">
        <v>14.05</v>
      </c>
      <c r="AD206" s="56">
        <v>13.75</v>
      </c>
      <c r="AE206" s="56">
        <v>12.4</v>
      </c>
      <c r="AF206" s="56">
        <v>11.35</v>
      </c>
      <c r="AG206" s="56">
        <v>13.75</v>
      </c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23</v>
      </c>
      <c r="AQ206" s="71">
        <f t="shared" si="10"/>
        <v>13.356521739130432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>
        <v>14.66666666666667</v>
      </c>
      <c r="V207" s="56">
        <v>14.6</v>
      </c>
      <c r="W207" s="56">
        <v>13.733333333333331</v>
      </c>
      <c r="X207" s="56">
        <v>14.266666666666669</v>
      </c>
      <c r="Y207" s="56"/>
      <c r="Z207" s="56"/>
      <c r="AA207" s="56"/>
      <c r="AB207" s="56">
        <v>14.46666666666667</v>
      </c>
      <c r="AC207" s="56">
        <v>14.66666666666667</v>
      </c>
      <c r="AD207" s="56">
        <v>14.46666666666667</v>
      </c>
      <c r="AE207" s="56">
        <v>13.93333333333333</v>
      </c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11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>
        <v>14</v>
      </c>
      <c r="V208" s="56">
        <v>13.55</v>
      </c>
      <c r="W208" s="56">
        <v>13.85</v>
      </c>
      <c r="X208" s="56">
        <v>15.25</v>
      </c>
      <c r="Y208" s="56">
        <v>13.8</v>
      </c>
      <c r="Z208" s="56">
        <v>14.25</v>
      </c>
      <c r="AA208" s="56">
        <v>13.95</v>
      </c>
      <c r="AB208" s="56">
        <v>13.3</v>
      </c>
      <c r="AC208" s="56">
        <v>15.25</v>
      </c>
      <c r="AD208" s="56">
        <v>14.55</v>
      </c>
      <c r="AE208" s="56">
        <v>11.55</v>
      </c>
      <c r="AF208" s="56">
        <v>13.9</v>
      </c>
      <c r="AG208" s="56">
        <v>14.9</v>
      </c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23</v>
      </c>
      <c r="AQ208" s="71">
        <f t="shared" si="10"/>
        <v>13.806521739130433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>
        <v>10.65</v>
      </c>
      <c r="V209" s="56">
        <v>10.75</v>
      </c>
      <c r="W209" s="56">
        <v>10.65</v>
      </c>
      <c r="X209" s="56">
        <v>11.05</v>
      </c>
      <c r="Y209" s="56">
        <v>11.1</v>
      </c>
      <c r="Z209" s="56">
        <v>11.15</v>
      </c>
      <c r="AA209" s="56">
        <v>11.6</v>
      </c>
      <c r="AB209" s="56">
        <v>11.3</v>
      </c>
      <c r="AC209" s="56">
        <v>11.1</v>
      </c>
      <c r="AD209" s="56">
        <v>11.55</v>
      </c>
      <c r="AE209" s="56">
        <v>11.4</v>
      </c>
      <c r="AF209" s="56">
        <v>10.65</v>
      </c>
      <c r="AG209" s="56">
        <v>11</v>
      </c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23</v>
      </c>
      <c r="AQ209" s="71">
        <f t="shared" si="10"/>
        <v>11.100000000000001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>
        <v>15.55</v>
      </c>
      <c r="U210" s="56">
        <v>15.1</v>
      </c>
      <c r="V210" s="56">
        <v>15.3</v>
      </c>
      <c r="W210" s="56">
        <v>16.7</v>
      </c>
      <c r="X210" s="56">
        <v>16.55</v>
      </c>
      <c r="Y210" s="56">
        <v>16.7</v>
      </c>
      <c r="Z210" s="56">
        <v>17.3</v>
      </c>
      <c r="AA210" s="56">
        <v>15.55</v>
      </c>
      <c r="AB210" s="56">
        <v>15.75</v>
      </c>
      <c r="AC210" s="56">
        <v>15.7</v>
      </c>
      <c r="AD210" s="56">
        <v>16.149999999999999</v>
      </c>
      <c r="AE210" s="56">
        <v>16.600000000000001</v>
      </c>
      <c r="AF210" s="56">
        <v>16</v>
      </c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22</v>
      </c>
      <c r="AQ210" s="71">
        <f t="shared" si="10"/>
        <v>15.811363636363636</v>
      </c>
      <c r="AR210" s="71">
        <f>IFERROR(VLOOKUP(A210,Climatologia_TMED!A:U,9+$E$2,FALSE),"")</f>
        <v>14.343130840767889</v>
      </c>
      <c r="AS210" s="71">
        <f t="shared" si="11"/>
        <v>1.4682327955957462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>
        <v>7.45</v>
      </c>
      <c r="V211" s="56">
        <v>8.1999999999999993</v>
      </c>
      <c r="W211" s="56">
        <v>8.6999999999999993</v>
      </c>
      <c r="X211" s="56">
        <v>8.9499999999999993</v>
      </c>
      <c r="Y211" s="56">
        <v>8.8500000000000014</v>
      </c>
      <c r="Z211" s="56">
        <v>9.1499999999999986</v>
      </c>
      <c r="AA211" s="56">
        <v>8.6999999999999993</v>
      </c>
      <c r="AB211" s="56">
        <v>8.4499999999999993</v>
      </c>
      <c r="AC211" s="56">
        <v>9.1499999999999986</v>
      </c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19</v>
      </c>
      <c r="AQ211" s="71">
        <f t="shared" si="10"/>
        <v>8.4184210526315777</v>
      </c>
      <c r="AR211" s="71">
        <f>IFERROR(VLOOKUP(A211,Climatologia_TMED!A:U,9+$E$2,FALSE),"")</f>
        <v>8.1491623782224423</v>
      </c>
      <c r="AS211" s="71">
        <f t="shared" si="11"/>
        <v>0.26925867440913542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>
        <v>27.35</v>
      </c>
      <c r="V212" s="56">
        <v>28</v>
      </c>
      <c r="W212" s="56">
        <v>27.75</v>
      </c>
      <c r="X212" s="56">
        <v>27.45</v>
      </c>
      <c r="Y212" s="56"/>
      <c r="Z212" s="56"/>
      <c r="AA212" s="56">
        <v>27.7</v>
      </c>
      <c r="AB212" s="56">
        <v>27.25</v>
      </c>
      <c r="AC212" s="56">
        <v>27.5</v>
      </c>
      <c r="AD212" s="56">
        <v>27.45</v>
      </c>
      <c r="AE212" s="56">
        <v>26.9</v>
      </c>
      <c r="AF212" s="56">
        <v>27</v>
      </c>
      <c r="AG212" s="56">
        <v>26.55</v>
      </c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21</v>
      </c>
      <c r="AQ212" s="71">
        <f t="shared" si="10"/>
        <v>27.545238095238091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2026-08-24T15:30:00Z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2026-08-24T15:30:00Z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67955ae9-5166-4c0a-8c4d-29d3bcd709dc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