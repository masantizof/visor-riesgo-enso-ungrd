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55F8525-0F58-4A3A-9414-50E5D92F4EB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Temperatura!$P$1:$P$212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S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S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S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R35" i="1"/>
  <c r="AP35" i="1"/>
  <c r="AQ35" i="1" s="1"/>
  <c r="AR34" i="1"/>
  <c r="AP34" i="1"/>
  <c r="AQ34" i="1" s="1"/>
  <c r="AR33" i="1"/>
  <c r="AP33" i="1"/>
  <c r="AQ33" i="1" s="1"/>
  <c r="AR32" i="1"/>
  <c r="AP32" i="1"/>
  <c r="AQ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9" i="1" l="1"/>
  <c r="AS19" i="1"/>
  <c r="AS29" i="1"/>
  <c r="AS39" i="1"/>
  <c r="AS49" i="1"/>
  <c r="AS59" i="1"/>
  <c r="AS69" i="1"/>
  <c r="AS79" i="1"/>
  <c r="AS89" i="1"/>
  <c r="AS109" i="1"/>
  <c r="AS119" i="1"/>
  <c r="AS99" i="1"/>
  <c r="AS8" i="1"/>
  <c r="AS18" i="1"/>
  <c r="AS28" i="1"/>
  <c r="AS38" i="1"/>
  <c r="AS48" i="1"/>
  <c r="AS68" i="1"/>
  <c r="AS78" i="1"/>
  <c r="AS88" i="1"/>
  <c r="AS98" i="1"/>
  <c r="AS108" i="1"/>
  <c r="AS118" i="1"/>
  <c r="AS128" i="1"/>
  <c r="AS138" i="1"/>
  <c r="AS148" i="1"/>
  <c r="AS158" i="1"/>
  <c r="AS168" i="1"/>
  <c r="AS178" i="1"/>
  <c r="AS188" i="1"/>
  <c r="AS198" i="1"/>
  <c r="AS208" i="1"/>
  <c r="AS129" i="1"/>
  <c r="AS139" i="1"/>
  <c r="AS149" i="1"/>
  <c r="AS159" i="1"/>
  <c r="AS169" i="1"/>
  <c r="AS179" i="1"/>
  <c r="AS189" i="1"/>
  <c r="AS199" i="1"/>
  <c r="AS209" i="1"/>
  <c r="AS201" i="1"/>
  <c r="AS211" i="1"/>
  <c r="AS14" i="1"/>
  <c r="AS24" i="1"/>
  <c r="AS34" i="1"/>
  <c r="AS44" i="1"/>
  <c r="AS54" i="1"/>
  <c r="AS64" i="1"/>
  <c r="AS74" i="1"/>
  <c r="AS84" i="1"/>
  <c r="AS94" i="1"/>
  <c r="AS104" i="1"/>
  <c r="AS114" i="1"/>
  <c r="AS124" i="1"/>
  <c r="AS134" i="1"/>
  <c r="AS144" i="1"/>
  <c r="AS154" i="1"/>
  <c r="AS164" i="1"/>
  <c r="AS174" i="1"/>
  <c r="AS184" i="1"/>
  <c r="AS194" i="1"/>
  <c r="AS204" i="1"/>
  <c r="AS5" i="1"/>
  <c r="AS15" i="1"/>
  <c r="AS25" i="1"/>
  <c r="AS35" i="1"/>
  <c r="AS45" i="1"/>
  <c r="AS55" i="1"/>
  <c r="AS65" i="1"/>
  <c r="AS75" i="1"/>
  <c r="AS85" i="1"/>
  <c r="AS95" i="1"/>
  <c r="AS105" i="1"/>
  <c r="AS115" i="1"/>
  <c r="AS125" i="1"/>
  <c r="AS135" i="1"/>
  <c r="AS145" i="1"/>
  <c r="AS155" i="1"/>
  <c r="AS165" i="1"/>
  <c r="AS175" i="1"/>
  <c r="AS185" i="1"/>
  <c r="AS195" i="1"/>
  <c r="AS205" i="1"/>
  <c r="AS6" i="1"/>
  <c r="AS16" i="1"/>
  <c r="AS26" i="1"/>
  <c r="AS36" i="1"/>
  <c r="AS46" i="1"/>
  <c r="AS56" i="1"/>
  <c r="AS66" i="1"/>
  <c r="AS76" i="1"/>
  <c r="AS86" i="1"/>
  <c r="AS96" i="1"/>
  <c r="AS106" i="1"/>
  <c r="AS116" i="1"/>
  <c r="AS126" i="1"/>
  <c r="AS136" i="1"/>
  <c r="AS146" i="1"/>
  <c r="AS156" i="1"/>
  <c r="AS166" i="1"/>
  <c r="AS176" i="1"/>
  <c r="AS186" i="1"/>
  <c r="AS196" i="1"/>
  <c r="AS206" i="1"/>
  <c r="AS7" i="1"/>
  <c r="AS17" i="1"/>
  <c r="AS27" i="1"/>
  <c r="AS37" i="1"/>
  <c r="AS47" i="1"/>
  <c r="AS57" i="1"/>
  <c r="AS67" i="1"/>
  <c r="AS77" i="1"/>
  <c r="AS87" i="1"/>
  <c r="AS97" i="1"/>
  <c r="AS107" i="1"/>
  <c r="AS117" i="1"/>
  <c r="AS127" i="1"/>
  <c r="AS137" i="1"/>
  <c r="AS147" i="1"/>
  <c r="AS157" i="1"/>
  <c r="AS167" i="1"/>
  <c r="AS177" i="1"/>
  <c r="AS58" i="1"/>
  <c r="AS10" i="1"/>
  <c r="AS20" i="1"/>
  <c r="AS30" i="1"/>
  <c r="AS40" i="1"/>
  <c r="AS50" i="1"/>
  <c r="AS60" i="1"/>
  <c r="AS70" i="1"/>
  <c r="AS80" i="1"/>
  <c r="AS90" i="1"/>
  <c r="AS100" i="1"/>
  <c r="AS110" i="1"/>
  <c r="AS120" i="1"/>
  <c r="AS130" i="1"/>
  <c r="AS140" i="1"/>
  <c r="AS150" i="1"/>
  <c r="AS160" i="1"/>
  <c r="AS170" i="1"/>
  <c r="AS180" i="1"/>
  <c r="AS190" i="1"/>
  <c r="AS200" i="1"/>
  <c r="AS210" i="1"/>
  <c r="AS11" i="1"/>
  <c r="AS21" i="1"/>
  <c r="AS31" i="1"/>
  <c r="AS41" i="1"/>
  <c r="AS51" i="1"/>
  <c r="AS61" i="1"/>
  <c r="AS71" i="1"/>
  <c r="AS81" i="1"/>
  <c r="AS91" i="1"/>
  <c r="AS101" i="1"/>
  <c r="AS111" i="1"/>
  <c r="AS121" i="1"/>
  <c r="AS131" i="1"/>
  <c r="AS141" i="1"/>
  <c r="AS151" i="1"/>
  <c r="AS161" i="1"/>
  <c r="AS171" i="1"/>
  <c r="AS181" i="1"/>
  <c r="AS191" i="1"/>
  <c r="AS12" i="1"/>
  <c r="AS22" i="1"/>
  <c r="AS32" i="1"/>
  <c r="AS42" i="1"/>
  <c r="AS52" i="1"/>
  <c r="AS62" i="1"/>
  <c r="AS72" i="1"/>
  <c r="AS82" i="1"/>
  <c r="AS92" i="1"/>
  <c r="AS102" i="1"/>
  <c r="AS112" i="1"/>
  <c r="AS122" i="1"/>
  <c r="AS132" i="1"/>
  <c r="AS142" i="1"/>
  <c r="AS152" i="1"/>
  <c r="AS162" i="1"/>
  <c r="AS172" i="1"/>
  <c r="AS182" i="1"/>
  <c r="AS192" i="1"/>
  <c r="AS202" i="1"/>
  <c r="AS212" i="1"/>
  <c r="AS13" i="1"/>
  <c r="AS23" i="1"/>
  <c r="AS33" i="1"/>
  <c r="AS43" i="1"/>
  <c r="AS53" i="1"/>
  <c r="AS63" i="1"/>
  <c r="AS73" i="1"/>
  <c r="AS83" i="1"/>
  <c r="AS93" i="1"/>
  <c r="AS103" i="1"/>
  <c r="AS113" i="1"/>
  <c r="AS123" i="1"/>
  <c r="AS133" i="1"/>
  <c r="AS143" i="1"/>
  <c r="AS153" i="1"/>
  <c r="AS163" i="1"/>
  <c r="AS173" i="1"/>
  <c r="AS183" i="1"/>
  <c r="AS193" i="1"/>
  <c r="AS203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<sst xmlns="http://schemas.openxmlformats.org/spreadsheetml/2006/main" count="3690" uniqueCount="1514">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</sst>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0" zoomScaleNormal="80" workbookViewId="0">
      <selection activeCell="P17" sqref="P17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25" width="32.42578125" style="50" customWidth="1"/>
    <col min="126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6</v>
      </c>
      <c r="AQ5" s="71" t="str">
        <f t="shared" ref="AQ5:AQ68" si="1">IF(AP5&gt;14,AVERAGE(K5:AO5),"")</f>
        <v/>
      </c>
      <c r="AR5" s="71">
        <f>IFERROR(VLOOKUP(A5,Climatologia_TMED!A:U,9+$E$2,FALSE),"")</f>
        <v>28.292205052411301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6</v>
      </c>
      <c r="AQ6" s="71" t="str">
        <f t="shared" si="1"/>
        <v/>
      </c>
      <c r="AR6" s="71">
        <f>IFERROR(VLOOKUP(A6,Climatologia_TMED!A:U,9+$E$2,FALSE),"")</f>
        <v>28.542323510282561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6</v>
      </c>
      <c r="AQ7" s="71" t="str">
        <f t="shared" si="1"/>
        <v/>
      </c>
      <c r="AR7" s="71">
        <f>IFERROR(VLOOKUP(A7,Climatologia_TMED!A:U,9+$E$2,FALSE),"")</f>
        <v>28.878924731182799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6</v>
      </c>
      <c r="AQ8" s="71" t="str">
        <f t="shared" si="1"/>
        <v/>
      </c>
      <c r="AR8" s="71">
        <f>IFERROR(VLOOKUP(A8,Climatologia_TMED!A:U,9+$E$2,FALSE),"")</f>
        <v>28.663204007006499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6</v>
      </c>
      <c r="AQ9" s="71" t="str">
        <f t="shared" si="1"/>
        <v/>
      </c>
      <c r="AR9" s="71">
        <f>IFERROR(VLOOKUP(A9,Climatologia_TMED!A:U,9+$E$2,FALSE),"")</f>
        <v>29.925161290322539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6</v>
      </c>
      <c r="AQ10" s="71" t="str">
        <f t="shared" si="1"/>
        <v/>
      </c>
      <c r="AR10" s="71">
        <f>IFERROR(VLOOKUP(A10,Climatologia_TMED!A:U,9+$E$2,FALSE),"")</f>
        <v>29.55639347861802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6</v>
      </c>
      <c r="AQ11" s="71" t="str">
        <f t="shared" si="1"/>
        <v/>
      </c>
      <c r="AR11" s="71">
        <f>IFERROR(VLOOKUP(A11,Climatologia_TMED!A:U,9+$E$2,FALSE),"")</f>
        <v>29.275519036173971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6</v>
      </c>
      <c r="AQ12" s="71" t="str">
        <f t="shared" si="1"/>
        <v/>
      </c>
      <c r="AR12" s="71">
        <f>IFERROR(VLOOKUP(A12,Climatologia_TMED!A:U,9+$E$2,FALSE),"")</f>
        <v>28.08210560234475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6</v>
      </c>
      <c r="AQ13" s="71" t="str">
        <f t="shared" si="1"/>
        <v/>
      </c>
      <c r="AR13" s="71">
        <f>IFERROR(VLOOKUP(A13,Climatologia_TMED!A:U,9+$E$2,FALSE),"")</f>
        <v>28.275630329996261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6</v>
      </c>
      <c r="AQ14" s="71" t="str">
        <f t="shared" si="1"/>
        <v/>
      </c>
      <c r="AR14" s="71">
        <f>IFERROR(VLOOKUP(A14,Climatologia_TMED!A:U,9+$E$2,FALSE),"")</f>
        <v>21.814997932175341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6</v>
      </c>
      <c r="AQ15" s="71" t="str">
        <f t="shared" si="1"/>
        <v/>
      </c>
      <c r="AR15" s="71">
        <f>IFERROR(VLOOKUP(A15,Climatologia_TMED!A:U,9+$E$2,FALSE),"")</f>
        <v>28.742611827956981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6</v>
      </c>
      <c r="AQ16" s="71" t="str">
        <f t="shared" si="1"/>
        <v/>
      </c>
      <c r="AR16" s="71">
        <f>IFERROR(VLOOKUP(A16,Climatologia_TMED!A:U,9+$E$2,FALSE),"")</f>
        <v>27.745849035404088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6</v>
      </c>
      <c r="AQ17" s="71" t="str">
        <f t="shared" si="1"/>
        <v/>
      </c>
      <c r="AR17" s="71">
        <f>IFERROR(VLOOKUP(A17,Climatologia_TMED!A:U,9+$E$2,FALSE),"")</f>
        <v>23.942684331797231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6</v>
      </c>
      <c r="AQ18" s="71" t="str">
        <f t="shared" si="1"/>
        <v/>
      </c>
      <c r="AR18" s="71">
        <f>IFERROR(VLOOKUP(A18,Climatologia_TMED!A:U,9+$E$2,FALSE),"")</f>
        <v>17.429768704357489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6</v>
      </c>
      <c r="AQ19" s="71" t="str">
        <f t="shared" si="1"/>
        <v/>
      </c>
      <c r="AR19" s="71">
        <f>IFERROR(VLOOKUP(A19,Climatologia_TMED!A:U,9+$E$2,FALSE),"")</f>
        <v>22.368290322580641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6</v>
      </c>
      <c r="AQ20" s="71" t="str">
        <f t="shared" si="1"/>
        <v/>
      </c>
      <c r="AR20" s="71">
        <f>IFERROR(VLOOKUP(A20,Climatologia_TMED!A:U,9+$E$2,FALSE),"")</f>
        <v>22.807707609594701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6</v>
      </c>
      <c r="AQ21" s="71" t="str">
        <f t="shared" si="1"/>
        <v/>
      </c>
      <c r="AR21" s="71">
        <f>IFERROR(VLOOKUP(A21,Climatologia_TMED!A:U,9+$E$2,FALSE),"")</f>
        <v>25.445872233516159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6</v>
      </c>
      <c r="AQ22" s="71" t="str">
        <f t="shared" si="1"/>
        <v/>
      </c>
      <c r="AR22" s="71">
        <f>IFERROR(VLOOKUP(A22,Climatologia_TMED!A:U,9+$E$2,FALSE),"")</f>
        <v>13.827819728473219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6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6</v>
      </c>
      <c r="AQ24" s="71" t="str">
        <f t="shared" si="1"/>
        <v/>
      </c>
      <c r="AR24" s="71">
        <f>IFERROR(VLOOKUP(A24,Climatologia_TMED!A:U,9+$E$2,FALSE),"")</f>
        <v>29.117078853046579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6</v>
      </c>
      <c r="AQ25" s="71" t="str">
        <f t="shared" si="1"/>
        <v/>
      </c>
      <c r="AR25" s="71">
        <f>IFERROR(VLOOKUP(A25,Climatologia_TMED!A:U,9+$E$2,FALSE),"")</f>
        <v>20.318073144829391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6</v>
      </c>
      <c r="AQ26" s="71" t="str">
        <f t="shared" si="1"/>
        <v/>
      </c>
      <c r="AR26" s="71">
        <f>IFERROR(VLOOKUP(A26,Climatologia_TMED!A:U,9+$E$2,FALSE),"")</f>
        <v>10.2499147200593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6</v>
      </c>
      <c r="AQ27" s="71" t="str">
        <f t="shared" si="1"/>
        <v/>
      </c>
      <c r="AR27" s="71">
        <f>IFERROR(VLOOKUP(A27,Climatologia_TMED!A:U,9+$E$2,FALSE),"")</f>
        <v>26.978227598566299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6</v>
      </c>
      <c r="AQ28" s="71" t="str">
        <f t="shared" si="1"/>
        <v/>
      </c>
      <c r="AR28" s="71">
        <f>IFERROR(VLOOKUP(A28,Climatologia_TMED!A:U,9+$E$2,FALSE),"")</f>
        <v>26.165451660622249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6</v>
      </c>
      <c r="AQ29" s="71" t="str">
        <f t="shared" si="1"/>
        <v/>
      </c>
      <c r="AR29" s="71">
        <f>IFERROR(VLOOKUP(A29,Climatologia_TMED!A:U,9+$E$2,FALSE),"")</f>
        <v>27.268435099846361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6</v>
      </c>
      <c r="AQ30" s="71" t="str">
        <f t="shared" si="1"/>
        <v/>
      </c>
      <c r="AR30" s="71">
        <f>IFERROR(VLOOKUP(A30,Climatologia_TMED!A:U,9+$E$2,FALSE),"")</f>
        <v>25.205756395995511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6</v>
      </c>
      <c r="AQ31" s="71" t="str">
        <f t="shared" si="1"/>
        <v/>
      </c>
      <c r="AR31" s="71">
        <f>IFERROR(VLOOKUP(A31,Climatologia_TMED!A:U,9+$E$2,FALSE),"")</f>
        <v>25.960296951277201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6</v>
      </c>
      <c r="AQ32" s="71" t="str">
        <f t="shared" si="1"/>
        <v/>
      </c>
      <c r="AR32" s="71">
        <f>IFERROR(VLOOKUP(A32,Climatologia_TMED!A:U,9+$E$2,FALSE),"")</f>
        <v>17.69892835396929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6</v>
      </c>
      <c r="AQ33" s="71" t="str">
        <f t="shared" si="1"/>
        <v/>
      </c>
      <c r="AR33" s="71">
        <f>IFERROR(VLOOKUP(A33,Climatologia_TMED!A:U,9+$E$2,FALSE),"")</f>
        <v>26.885476337530289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20.666666666666671</v>
      </c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6</v>
      </c>
      <c r="AQ34" s="71" t="str">
        <f t="shared" si="1"/>
        <v/>
      </c>
      <c r="AR34" s="71">
        <f>IFERROR(VLOOKUP(A34,Climatologia_TMED!A:U,9+$E$2,FALSE),"")</f>
        <v>19.861806556333011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6</v>
      </c>
      <c r="AQ35" s="71" t="str">
        <f t="shared" si="1"/>
        <v/>
      </c>
      <c r="AR35" s="71">
        <f>IFERROR(VLOOKUP(A35,Climatologia_TMED!A:U,9+$E$2,FALSE),"")</f>
        <v>24.163939937062029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6</v>
      </c>
      <c r="AQ36" s="71" t="str">
        <f t="shared" si="1"/>
        <v/>
      </c>
      <c r="AR36" s="71">
        <f>IFERROR(VLOOKUP(A36,Climatologia_TMED!A:U,9+$E$2,FALSE),"")</f>
        <v>18.948390779307498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6</v>
      </c>
      <c r="AQ37" s="71" t="str">
        <f t="shared" si="1"/>
        <v/>
      </c>
      <c r="AR37" s="71">
        <f>IFERROR(VLOOKUP(A37,Climatologia_TMED!A:U,9+$E$2,FALSE),"")</f>
        <v>26.09341273397051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6</v>
      </c>
      <c r="AQ38" s="71" t="str">
        <f t="shared" si="1"/>
        <v/>
      </c>
      <c r="AR38" s="71">
        <f>IFERROR(VLOOKUP(A38,Climatologia_TMED!A:U,9+$E$2,FALSE),"")</f>
        <v>15.0852109133605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6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4</v>
      </c>
      <c r="AQ40" s="71" t="str">
        <f t="shared" si="1"/>
        <v/>
      </c>
      <c r="AR40" s="71">
        <f>IFERROR(VLOOKUP(A40,Climatologia_TMED!A:U,9+$E$2,FALSE),"")</f>
        <v>22.98415856403572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6</v>
      </c>
      <c r="AQ41" s="71" t="str">
        <f t="shared" si="1"/>
        <v/>
      </c>
      <c r="AR41" s="71">
        <f>IFERROR(VLOOKUP(A41,Climatologia_TMED!A:U,9+$E$2,FALSE),"")</f>
        <v>18.50720543555942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6</v>
      </c>
      <c r="AQ42" s="71" t="str">
        <f t="shared" si="1"/>
        <v/>
      </c>
      <c r="AR42" s="71">
        <f>IFERROR(VLOOKUP(A42,Climatologia_TMED!A:U,9+$E$2,FALSE),"")</f>
        <v>27.517114695340499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6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6</v>
      </c>
      <c r="AQ44" s="71" t="str">
        <f t="shared" si="1"/>
        <v/>
      </c>
      <c r="AR44" s="71">
        <f>IFERROR(VLOOKUP(A44,Climatologia_TMED!A:U,9+$E$2,FALSE),"")</f>
        <v>27.22851750737534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6</v>
      </c>
      <c r="AQ45" s="71" t="str">
        <f t="shared" si="1"/>
        <v/>
      </c>
      <c r="AR45" s="71">
        <f>IFERROR(VLOOKUP(A45,Climatologia_TMED!A:U,9+$E$2,FALSE),"")</f>
        <v>27.597106102685618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6</v>
      </c>
      <c r="AQ46" s="71" t="str">
        <f t="shared" si="1"/>
        <v/>
      </c>
      <c r="AR46" s="71">
        <f>IFERROR(VLOOKUP(A46,Climatologia_TMED!A:U,9+$E$2,FALSE),"")</f>
        <v>27.738976943755159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6</v>
      </c>
      <c r="AQ47" s="71" t="str">
        <f t="shared" si="1"/>
        <v/>
      </c>
      <c r="AR47" s="71">
        <f>IFERROR(VLOOKUP(A47,Climatologia_TMED!A:U,9+$E$2,FALSE),"")</f>
        <v>27.87742247854888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6</v>
      </c>
      <c r="AQ50" s="71" t="str">
        <f t="shared" si="1"/>
        <v/>
      </c>
      <c r="AR50" s="71">
        <f>IFERROR(VLOOKUP(A50,Climatologia_TMED!A:U,9+$E$2,FALSE),"")</f>
        <v>27.21920614995987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6</v>
      </c>
      <c r="AQ53" s="71" t="str">
        <f t="shared" si="1"/>
        <v/>
      </c>
      <c r="AR53" s="71">
        <f>IFERROR(VLOOKUP(A53,Climatologia_TMED!A:U,9+$E$2,FALSE),"")</f>
        <v>27.2190910764708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6</v>
      </c>
      <c r="AQ54" s="71" t="str">
        <f t="shared" si="1"/>
        <v/>
      </c>
      <c r="AR54" s="71">
        <f>IFERROR(VLOOKUP(A54,Climatologia_TMED!A:U,9+$E$2,FALSE),"")</f>
        <v>28.41139216335926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6</v>
      </c>
      <c r="AQ55" s="71" t="str">
        <f t="shared" si="1"/>
        <v/>
      </c>
      <c r="AR55" s="71">
        <f>IFERROR(VLOOKUP(A55,Climatologia_TMED!A:U,9+$E$2,FALSE),"")</f>
        <v>28.417502124868491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6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6</v>
      </c>
      <c r="AQ59" s="71" t="str">
        <f t="shared" si="1"/>
        <v/>
      </c>
      <c r="AR59" s="71">
        <f>IFERROR(VLOOKUP(A59,Climatologia_TMED!A:U,9+$E$2,FALSE),"")</f>
        <v>27.95576397141701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0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6</v>
      </c>
      <c r="AQ61" s="71" t="str">
        <f t="shared" si="1"/>
        <v/>
      </c>
      <c r="AR61" s="71">
        <f>IFERROR(VLOOKUP(A61,Climatologia_TMED!A:U,9+$E$2,FALSE),"")</f>
        <v>26.14540821795481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6</v>
      </c>
      <c r="AQ62" s="71" t="str">
        <f t="shared" si="1"/>
        <v/>
      </c>
      <c r="AR62" s="71">
        <f>IFERROR(VLOOKUP(A62,Climatologia_TMED!A:U,9+$E$2,FALSE),"")</f>
        <v>25.12904940316772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/>
      <c r="M65" s="56"/>
      <c r="N65" s="56">
        <v>25.3</v>
      </c>
      <c r="O65" s="56">
        <v>25.6</v>
      </c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3</v>
      </c>
      <c r="AQ65" s="71" t="str">
        <f t="shared" si="1"/>
        <v/>
      </c>
      <c r="AR65" s="71">
        <f>IFERROR(VLOOKUP(A65,Climatologia_TMED!A:U,9+$E$2,FALSE),"")</f>
        <v>25.359269039673709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6</v>
      </c>
      <c r="AQ66" s="71" t="str">
        <f t="shared" si="1"/>
        <v/>
      </c>
      <c r="AR66" s="71">
        <f>IFERROR(VLOOKUP(A66,Climatologia_TMED!A:U,9+$E$2,FALSE),"")</f>
        <v>25.449219842417062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5</v>
      </c>
      <c r="AQ67" s="71" t="str">
        <f t="shared" si="1"/>
        <v/>
      </c>
      <c r="AR67" s="71">
        <f>IFERROR(VLOOKUP(A67,Climatologia_TMED!A:U,9+$E$2,FALSE),"")</f>
        <v>25.277101656093599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6</v>
      </c>
      <c r="AQ68" s="71" t="str">
        <f t="shared" si="1"/>
        <v/>
      </c>
      <c r="AR68" s="71">
        <f>IFERROR(VLOOKUP(A68,Climatologia_TMED!A:U,9+$E$2,FALSE),"")</f>
        <v>25.105050309426691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6</v>
      </c>
      <c r="AQ69" s="71" t="str">
        <f t="shared" ref="AQ69:AQ132" si="4">IF(AP69&gt;14,AVERAGE(K69:AO69),"")</f>
        <v/>
      </c>
      <c r="AR69" s="71">
        <f>IFERROR(VLOOKUP(A69,Climatologia_TMED!A:U,9+$E$2,FALSE),"")</f>
        <v>24.8597341342183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/>
      <c r="L70" s="56"/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4</v>
      </c>
      <c r="AQ70" s="71" t="str">
        <f t="shared" si="4"/>
        <v/>
      </c>
      <c r="AR70" s="71">
        <f>IFERROR(VLOOKUP(A70,Climatologia_TMED!A:U,9+$E$2,FALSE),"")</f>
        <v>26.28861277959394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6</v>
      </c>
      <c r="AQ71" s="71" t="str">
        <f t="shared" si="4"/>
        <v/>
      </c>
      <c r="AR71" s="71">
        <f>IFERROR(VLOOKUP(A71,Climatologia_TMED!A:U,9+$E$2,FALSE),"")</f>
        <v>26.117252164977831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6</v>
      </c>
      <c r="AQ72" s="71" t="str">
        <f t="shared" si="4"/>
        <v/>
      </c>
      <c r="AR72" s="71">
        <f>IFERROR(VLOOKUP(A72,Climatologia_TMED!A:U,9+$E$2,FALSE),"")</f>
        <v>25.27783516958878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/>
      <c r="M73" s="56"/>
      <c r="N73" s="56">
        <v>25.75</v>
      </c>
      <c r="O73" s="56">
        <v>24</v>
      </c>
      <c r="P73" s="56">
        <v>25.7</v>
      </c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4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6</v>
      </c>
      <c r="AQ74" s="71" t="str">
        <f t="shared" si="4"/>
        <v/>
      </c>
      <c r="AR74" s="71">
        <f>IFERROR(VLOOKUP(A74,Climatologia_TMED!A:U,9+$E$2,FALSE),"")</f>
        <v>20.33780487249993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6</v>
      </c>
      <c r="AQ75" s="71" t="str">
        <f t="shared" si="4"/>
        <v/>
      </c>
      <c r="AR75" s="71">
        <f>IFERROR(VLOOKUP(A75,Climatologia_TMED!A:U,9+$E$2,FALSE),"")</f>
        <v>15.196816531610249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6</v>
      </c>
      <c r="AQ76" s="71" t="str">
        <f t="shared" si="4"/>
        <v/>
      </c>
      <c r="AR76" s="71">
        <f>IFERROR(VLOOKUP(A76,Climatologia_TMED!A:U,9+$E$2,FALSE),"")</f>
        <v>19.97314578052206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6</v>
      </c>
      <c r="AQ77" s="71" t="str">
        <f t="shared" si="4"/>
        <v/>
      </c>
      <c r="AR77" s="71">
        <f>IFERROR(VLOOKUP(A77,Climatologia_TMED!A:U,9+$E$2,FALSE),"")</f>
        <v>23.041557017477079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6</v>
      </c>
      <c r="AQ78" s="71" t="str">
        <f t="shared" si="4"/>
        <v/>
      </c>
      <c r="AR78" s="71">
        <f>IFERROR(VLOOKUP(A78,Climatologia_TMED!A:U,9+$E$2,FALSE),"")</f>
        <v>30.200545349460899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6</v>
      </c>
      <c r="AQ79" s="71" t="str">
        <f t="shared" si="4"/>
        <v/>
      </c>
      <c r="AR79" s="71">
        <f>IFERROR(VLOOKUP(A79,Climatologia_TMED!A:U,9+$E$2,FALSE),"")</f>
        <v>30.2833215669562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</v>
      </c>
      <c r="AQ80" s="71" t="str">
        <f t="shared" si="4"/>
        <v/>
      </c>
      <c r="AR80" s="71">
        <f>IFERROR(VLOOKUP(A80,Climatologia_TMED!A:U,9+$E$2,FALSE),"")</f>
        <v>19.906859619029429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6</v>
      </c>
      <c r="AQ81" s="71" t="str">
        <f t="shared" si="4"/>
        <v/>
      </c>
      <c r="AR81" s="71">
        <f>IFERROR(VLOOKUP(A81,Climatologia_TMED!A:U,9+$E$2,FALSE),"")</f>
        <v>24.759854360077661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6</v>
      </c>
      <c r="AQ82" s="71" t="str">
        <f t="shared" si="4"/>
        <v/>
      </c>
      <c r="AR82" s="71">
        <f>IFERROR(VLOOKUP(A82,Climatologia_TMED!A:U,9+$E$2,FALSE),"")</f>
        <v>25.773428481765642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6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6</v>
      </c>
      <c r="AQ86" s="71" t="str">
        <f t="shared" si="4"/>
        <v/>
      </c>
      <c r="AR86" s="71">
        <f>IFERROR(VLOOKUP(A86,Climatologia_TMED!A:U,9+$E$2,FALSE),"")</f>
        <v>28.83382033964488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6</v>
      </c>
      <c r="AQ87" s="71" t="str">
        <f t="shared" si="4"/>
        <v/>
      </c>
      <c r="AR87" s="71">
        <f>IFERROR(VLOOKUP(A87,Climatologia_TMED!A:U,9+$E$2,FALSE),"")</f>
        <v>28.894325312819621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6</v>
      </c>
      <c r="AQ88" s="71" t="str">
        <f t="shared" si="4"/>
        <v/>
      </c>
      <c r="AR88" s="71">
        <f>IFERROR(VLOOKUP(A88,Climatologia_TMED!A:U,9+$E$2,FALSE),"")</f>
        <v>28.344159946236552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4</v>
      </c>
      <c r="AQ89" s="71" t="str">
        <f t="shared" si="4"/>
        <v/>
      </c>
      <c r="AR89" s="71">
        <f>IFERROR(VLOOKUP(A89,Climatologia_TMED!A:U,9+$E$2,FALSE),"")</f>
        <v>29.044183635472439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6</v>
      </c>
      <c r="AQ90" s="71" t="str">
        <f t="shared" si="4"/>
        <v/>
      </c>
      <c r="AR90" s="71">
        <f>IFERROR(VLOOKUP(A90,Climatologia_TMED!A:U,9+$E$2,FALSE),"")</f>
        <v>28.656630487957131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5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6</v>
      </c>
      <c r="AQ92" s="71" t="str">
        <f t="shared" si="4"/>
        <v/>
      </c>
      <c r="AR92" s="71">
        <f>IFERROR(VLOOKUP(A92,Climatologia_TMED!A:U,9+$E$2,FALSE),"")</f>
        <v>16.21673046594978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6</v>
      </c>
      <c r="AQ93" s="71" t="str">
        <f t="shared" si="4"/>
        <v/>
      </c>
      <c r="AR93" s="71">
        <f>IFERROR(VLOOKUP(A93,Climatologia_TMED!A:U,9+$E$2,FALSE),"")</f>
        <v>22.373011505376319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6</v>
      </c>
      <c r="AQ94" s="71" t="str">
        <f t="shared" si="4"/>
        <v/>
      </c>
      <c r="AR94" s="71">
        <f>IFERROR(VLOOKUP(A94,Climatologia_TMED!A:U,9+$E$2,FALSE),"")</f>
        <v>16.186325847907689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6</v>
      </c>
      <c r="AQ95" s="71" t="str">
        <f t="shared" si="4"/>
        <v/>
      </c>
      <c r="AR95" s="71">
        <f>IFERROR(VLOOKUP(A95,Climatologia_TMED!A:U,9+$E$2,FALSE),"")</f>
        <v>13.65433628672837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6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6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6</v>
      </c>
      <c r="AQ100" s="71" t="str">
        <f t="shared" si="4"/>
        <v/>
      </c>
      <c r="AR100" s="71">
        <f>IFERROR(VLOOKUP(A100,Climatologia_TMED!A:U,9+$E$2,FALSE),"")</f>
        <v>14.335275908930971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6</v>
      </c>
      <c r="AQ101" s="71" t="str">
        <f t="shared" si="4"/>
        <v/>
      </c>
      <c r="AR101" s="71">
        <f>IFERROR(VLOOKUP(A101,Climatologia_TMED!A:U,9+$E$2,FALSE),"")</f>
        <v>12.395793750638649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6</v>
      </c>
      <c r="AQ102" s="71" t="str">
        <f t="shared" si="4"/>
        <v/>
      </c>
      <c r="AR102" s="71">
        <f>IFERROR(VLOOKUP(A102,Climatologia_TMED!A:U,9+$E$2,FALSE),"")</f>
        <v>11.348393880387549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6</v>
      </c>
      <c r="AQ105" s="71" t="str">
        <f t="shared" si="4"/>
        <v/>
      </c>
      <c r="AR105" s="71">
        <f>IFERROR(VLOOKUP(A105,Climatologia_TMED!A:U,9+$E$2,FALSE),"")</f>
        <v>17.222389051882701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4</v>
      </c>
      <c r="AQ107" s="71" t="str">
        <f t="shared" si="4"/>
        <v/>
      </c>
      <c r="AR107" s="71">
        <f>IFERROR(VLOOKUP(A107,Climatologia_TMED!A:U,9+$E$2,FALSE),"")</f>
        <v>13.6270649143767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6</v>
      </c>
      <c r="AQ108" s="71" t="str">
        <f t="shared" si="4"/>
        <v/>
      </c>
      <c r="AR108" s="71">
        <f>IFERROR(VLOOKUP(A108,Climatologia_TMED!A:U,9+$E$2,FALSE),"")</f>
        <v>14.24758963832916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6</v>
      </c>
      <c r="AQ109" s="71" t="str">
        <f t="shared" si="4"/>
        <v/>
      </c>
      <c r="AR109" s="71">
        <f>IFERROR(VLOOKUP(A109,Climatologia_TMED!A:U,9+$E$2,FALSE),"")</f>
        <v>13.718935791090621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4</v>
      </c>
      <c r="AQ110" s="71" t="str">
        <f t="shared" si="4"/>
        <v/>
      </c>
      <c r="AR110" s="71">
        <f>IFERROR(VLOOKUP(A110,Climatologia_TMED!A:U,9+$E$2,FALSE),"")</f>
        <v>17.072890642646779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6</v>
      </c>
      <c r="AQ111" s="71" t="str">
        <f t="shared" si="4"/>
        <v/>
      </c>
      <c r="AR111" s="71">
        <f>IFERROR(VLOOKUP(A111,Climatologia_TMED!A:U,9+$E$2,FALSE),"")</f>
        <v>15.45884618025514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16.69989368729069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5</v>
      </c>
      <c r="AQ113" s="71" t="str">
        <f t="shared" si="4"/>
        <v/>
      </c>
      <c r="AR113" s="71">
        <f>IFERROR(VLOOKUP(A113,Climatologia_TMED!A:U,9+$E$2,FALSE),"")</f>
        <v>18.084103151649959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6</v>
      </c>
      <c r="AQ114" s="71" t="str">
        <f t="shared" si="4"/>
        <v/>
      </c>
      <c r="AR114" s="71">
        <f>IFERROR(VLOOKUP(A114,Climatologia_TMED!A:U,9+$E$2,FALSE),"")</f>
        <v>20.406627759107511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6</v>
      </c>
      <c r="AQ115" s="71" t="str">
        <f t="shared" si="4"/>
        <v/>
      </c>
      <c r="AR115" s="71">
        <f>IFERROR(VLOOKUP(A115,Climatologia_TMED!A:U,9+$E$2,FALSE),"")</f>
        <v>26.548363201911549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6</v>
      </c>
      <c r="AQ116" s="71" t="str">
        <f t="shared" si="4"/>
        <v/>
      </c>
      <c r="AR116" s="71">
        <f>IFERROR(VLOOKUP(A116,Climatologia_TMED!A:U,9+$E$2,FALSE),"")</f>
        <v>18.451479726130369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6</v>
      </c>
      <c r="AQ117" s="71" t="str">
        <f t="shared" si="4"/>
        <v/>
      </c>
      <c r="AR117" s="71">
        <f>IFERROR(VLOOKUP(A117,Climatologia_TMED!A:U,9+$E$2,FALSE),"")</f>
        <v>25.726306451612881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5</v>
      </c>
      <c r="AQ118" s="71" t="str">
        <f t="shared" si="4"/>
        <v/>
      </c>
      <c r="AR118" s="71">
        <f>IFERROR(VLOOKUP(A118,Climatologia_TMED!A:U,9+$E$2,FALSE),"")</f>
        <v>26.064774193548381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6</v>
      </c>
      <c r="AQ119" s="71" t="str">
        <f t="shared" si="4"/>
        <v/>
      </c>
      <c r="AR119" s="71">
        <f>IFERROR(VLOOKUP(A119,Climatologia_TMED!A:U,9+$E$2,FALSE),"")</f>
        <v>22.097715053763402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5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6</v>
      </c>
      <c r="AQ122" s="71" t="str">
        <f t="shared" si="4"/>
        <v/>
      </c>
      <c r="AR122" s="71">
        <f>IFERROR(VLOOKUP(A122,Climatologia_TMED!A:U,9+$E$2,FALSE),"")</f>
        <v>10.160420312062531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4</v>
      </c>
      <c r="AQ124" s="71" t="str">
        <f t="shared" si="4"/>
        <v/>
      </c>
      <c r="AR124" s="71">
        <f>IFERROR(VLOOKUP(A124,Climatologia_TMED!A:U,9+$E$2,FALSE),"")</f>
        <v>15.061040072324371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3</v>
      </c>
      <c r="AQ126" s="71" t="str">
        <f t="shared" si="4"/>
        <v/>
      </c>
      <c r="AR126" s="71">
        <f>IFERROR(VLOOKUP(A126,Climatologia_TMED!A:U,9+$E$2,FALSE),"")</f>
        <v>10.651018477594549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6</v>
      </c>
      <c r="AQ130" s="71" t="str">
        <f t="shared" si="4"/>
        <v/>
      </c>
      <c r="AR130" s="71">
        <f>IFERROR(VLOOKUP(A130,Climatologia_TMED!A:U,9+$E$2,FALSE),"")</f>
        <v>14.37068910561999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6</v>
      </c>
      <c r="AQ131" s="71" t="str">
        <f t="shared" si="4"/>
        <v/>
      </c>
      <c r="AR131" s="71">
        <f>IFERROR(VLOOKUP(A131,Climatologia_TMED!A:U,9+$E$2,FALSE),"")</f>
        <v>17.018039759621502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6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12.632064451040261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6</v>
      </c>
      <c r="AQ134" s="71" t="str">
        <f t="shared" si="7"/>
        <v/>
      </c>
      <c r="AR134" s="71">
        <f>IFERROR(VLOOKUP(A134,Climatologia_TMED!A:U,9+$E$2,FALSE),"")</f>
        <v>15.77617103004156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6</v>
      </c>
      <c r="AQ135" s="71" t="str">
        <f t="shared" si="7"/>
        <v/>
      </c>
      <c r="AR135" s="71">
        <f>IFERROR(VLOOKUP(A135,Climatologia_TMED!A:U,9+$E$2,FALSE),"")</f>
        <v>19.08404124452408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5</v>
      </c>
      <c r="AQ136" s="71" t="str">
        <f t="shared" si="7"/>
        <v/>
      </c>
      <c r="AR136" s="71">
        <f>IFERROR(VLOOKUP(A136,Climatologia_TMED!A:U,9+$E$2,FALSE),"")</f>
        <v>10.862936379928311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6</v>
      </c>
      <c r="AQ138" s="71" t="str">
        <f t="shared" si="7"/>
        <v/>
      </c>
      <c r="AR138" s="71">
        <f>IFERROR(VLOOKUP(A138,Climatologia_TMED!A:U,9+$E$2,FALSE),"")</f>
        <v>20.235550356930549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6</v>
      </c>
      <c r="AQ139" s="71" t="str">
        <f t="shared" si="7"/>
        <v/>
      </c>
      <c r="AR139" s="71">
        <f>IFERROR(VLOOKUP(A139,Climatologia_TMED!A:U,9+$E$2,FALSE),"")</f>
        <v>12.97471752858849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6</v>
      </c>
      <c r="AQ140" s="71" t="str">
        <f t="shared" si="7"/>
        <v/>
      </c>
      <c r="AR140" s="71">
        <f>IFERROR(VLOOKUP(A140,Climatologia_TMED!A:U,9+$E$2,FALSE),"")</f>
        <v>15.718876344086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6</v>
      </c>
      <c r="AQ141" s="71" t="str">
        <f t="shared" si="7"/>
        <v/>
      </c>
      <c r="AR141" s="71">
        <f>IFERROR(VLOOKUP(A141,Climatologia_TMED!A:U,9+$E$2,FALSE),"")</f>
        <v>11.969387238873461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5</v>
      </c>
      <c r="AQ142" s="71" t="str">
        <f t="shared" si="7"/>
        <v/>
      </c>
      <c r="AR142" s="71">
        <f>IFERROR(VLOOKUP(A142,Climatologia_TMED!A:U,9+$E$2,FALSE),"")</f>
        <v>10.49248004916649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6</v>
      </c>
      <c r="AQ143" s="71" t="str">
        <f t="shared" si="7"/>
        <v/>
      </c>
      <c r="AR143" s="71">
        <f>IFERROR(VLOOKUP(A143,Climatologia_TMED!A:U,9+$E$2,FALSE),"")</f>
        <v>25.992543202764971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5</v>
      </c>
      <c r="AQ144" s="71" t="str">
        <f t="shared" si="7"/>
        <v/>
      </c>
      <c r="AR144" s="71">
        <f>IFERROR(VLOOKUP(A144,Climatologia_TMED!A:U,9+$E$2,FALSE),"")</f>
        <v>15.9826099414474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6</v>
      </c>
      <c r="AQ145" s="71" t="str">
        <f t="shared" si="7"/>
        <v/>
      </c>
      <c r="AR145" s="71">
        <f>IFERROR(VLOOKUP(A145,Climatologia_TMED!A:U,9+$E$2,FALSE),"")</f>
        <v>19.40683329936412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6</v>
      </c>
      <c r="AQ146" s="71" t="str">
        <f t="shared" si="7"/>
        <v/>
      </c>
      <c r="AR146" s="71">
        <f>IFERROR(VLOOKUP(A146,Climatologia_TMED!A:U,9+$E$2,FALSE),"")</f>
        <v>29.306317625921391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6</v>
      </c>
      <c r="AQ147" s="71" t="str">
        <f t="shared" si="7"/>
        <v/>
      </c>
      <c r="AR147" s="71">
        <f>IFERROR(VLOOKUP(A147,Climatologia_TMED!A:U,9+$E$2,FALSE),"")</f>
        <v>24.061574212155389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5</v>
      </c>
      <c r="AQ148" s="71" t="str">
        <f t="shared" si="7"/>
        <v/>
      </c>
      <c r="AR148" s="71">
        <f>IFERROR(VLOOKUP(A148,Climatologia_TMED!A:U,9+$E$2,FALSE),"")</f>
        <v>29.17936497960693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6</v>
      </c>
      <c r="AQ149" s="71" t="str">
        <f t="shared" si="7"/>
        <v/>
      </c>
      <c r="AR149" s="71">
        <f>IFERROR(VLOOKUP(A149,Climatologia_TMED!A:U,9+$E$2,FALSE),"")</f>
        <v>21.98128955804011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5</v>
      </c>
      <c r="AQ151" s="71" t="str">
        <f t="shared" si="7"/>
        <v/>
      </c>
      <c r="AR151" s="71">
        <f>IFERROR(VLOOKUP(A151,Climatologia_TMED!A:U,9+$E$2,FALSE),"")</f>
        <v>21.718227316119769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6</v>
      </c>
      <c r="AQ154" s="71" t="str">
        <f t="shared" si="7"/>
        <v/>
      </c>
      <c r="AR154" s="71">
        <f>IFERROR(VLOOKUP(A154,Climatologia_TMED!A:U,9+$E$2,FALSE),"")</f>
        <v>19.603370199692769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5</v>
      </c>
      <c r="AQ155" s="71" t="str">
        <f t="shared" si="7"/>
        <v/>
      </c>
      <c r="AR155" s="71">
        <f>IFERROR(VLOOKUP(A155,Climatologia_TMED!A:U,9+$E$2,FALSE),"")</f>
        <v>27.798082822950249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6</v>
      </c>
      <c r="AQ157" s="71" t="str">
        <f t="shared" si="7"/>
        <v/>
      </c>
      <c r="AR157" s="71">
        <f>IFERROR(VLOOKUP(A157,Climatologia_TMED!A:U,9+$E$2,FALSE),"")</f>
        <v>27.586074724019738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6</v>
      </c>
      <c r="AQ158" s="71" t="str">
        <f t="shared" si="7"/>
        <v/>
      </c>
      <c r="AR158" s="71">
        <f>IFERROR(VLOOKUP(A158,Climatologia_TMED!A:U,9+$E$2,FALSE),"")</f>
        <v>28.018688345149439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6</v>
      </c>
      <c r="AQ159" s="71" t="str">
        <f t="shared" si="7"/>
        <v/>
      </c>
      <c r="AR159" s="71">
        <f>IFERROR(VLOOKUP(A159,Climatologia_TMED!A:U,9+$E$2,FALSE),"")</f>
        <v>19.083052786798319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5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6</v>
      </c>
      <c r="AQ161" s="71" t="str">
        <f t="shared" si="7"/>
        <v/>
      </c>
      <c r="AR161" s="71">
        <f>IFERROR(VLOOKUP(A161,Climatologia_TMED!A:U,9+$E$2,FALSE),"")</f>
        <v>17.518211901578969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6</v>
      </c>
      <c r="AQ162" s="71" t="str">
        <f t="shared" si="7"/>
        <v/>
      </c>
      <c r="AR162" s="71">
        <f>IFERROR(VLOOKUP(A162,Climatologia_TMED!A:U,9+$E$2,FALSE),"")</f>
        <v>28.49681537062899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6</v>
      </c>
      <c r="AQ163" s="71" t="str">
        <f t="shared" si="7"/>
        <v/>
      </c>
      <c r="AR163" s="71">
        <f>IFERROR(VLOOKUP(A163,Climatologia_TMED!A:U,9+$E$2,FALSE),"")</f>
        <v>21.304846458288491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6</v>
      </c>
      <c r="AQ164" s="71" t="str">
        <f t="shared" si="7"/>
        <v/>
      </c>
      <c r="AR164" s="71">
        <f>IFERROR(VLOOKUP(A164,Climatologia_TMED!A:U,9+$E$2,FALSE),"")</f>
        <v>23.886011584659681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6</v>
      </c>
      <c r="AQ166" s="71" t="str">
        <f t="shared" si="7"/>
        <v/>
      </c>
      <c r="AR166" s="71">
        <f>IFERROR(VLOOKUP(A166,Climatologia_TMED!A:U,9+$E$2,FALSE),"")</f>
        <v>13.59731182795695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/>
      <c r="O167" s="56"/>
      <c r="P167" s="56">
        <v>19.733333333333331</v>
      </c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4</v>
      </c>
      <c r="AQ167" s="71" t="str">
        <f t="shared" si="7"/>
        <v/>
      </c>
      <c r="AR167" s="71">
        <f>IFERROR(VLOOKUP(A167,Climatologia_TMED!A:U,9+$E$2,FALSE),"")</f>
        <v>19.132762427527378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6</v>
      </c>
      <c r="AQ168" s="71" t="str">
        <f t="shared" si="7"/>
        <v/>
      </c>
      <c r="AR168" s="71">
        <f>IFERROR(VLOOKUP(A168,Climatologia_TMED!A:U,9+$E$2,FALSE),"")</f>
        <v>26.11906044753972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6</v>
      </c>
      <c r="AQ169" s="71" t="str">
        <f t="shared" si="7"/>
        <v/>
      </c>
      <c r="AR169" s="71">
        <f>IFERROR(VLOOKUP(A169,Climatologia_TMED!A:U,9+$E$2,FALSE),"")</f>
        <v>8.9418110731500597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6</v>
      </c>
      <c r="AQ170" s="71" t="str">
        <f t="shared" si="7"/>
        <v/>
      </c>
      <c r="AR170" s="71">
        <f>IFERROR(VLOOKUP(A170,Climatologia_TMED!A:U,9+$E$2,FALSE),"")</f>
        <v>24.395609944791921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5</v>
      </c>
      <c r="AQ171" s="71" t="str">
        <f t="shared" si="7"/>
        <v/>
      </c>
      <c r="AR171" s="71">
        <f>IFERROR(VLOOKUP(A171,Climatologia_TMED!A:U,9+$E$2,FALSE),"")</f>
        <v>19.277535015015289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5</v>
      </c>
      <c r="AQ172" s="71" t="str">
        <f t="shared" si="7"/>
        <v/>
      </c>
      <c r="AR172" s="71">
        <f>IFERROR(VLOOKUP(A172,Climatologia_TMED!A:U,9+$E$2,FALSE),"")</f>
        <v>24.578876627051489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6</v>
      </c>
      <c r="AQ173" s="71" t="str">
        <f t="shared" si="7"/>
        <v/>
      </c>
      <c r="AR173" s="71">
        <f>IFERROR(VLOOKUP(A173,Climatologia_TMED!A:U,9+$E$2,FALSE),"")</f>
        <v>24.24334341397849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5</v>
      </c>
      <c r="AQ174" s="71" t="str">
        <f t="shared" si="7"/>
        <v/>
      </c>
      <c r="AR174" s="71">
        <f>IFERROR(VLOOKUP(A174,Climatologia_TMED!A:U,9+$E$2,FALSE),"")</f>
        <v>12.130348155415341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/>
      <c r="N175" s="56"/>
      <c r="O175" s="56"/>
      <c r="P175" s="56">
        <v>25.86666666666666</v>
      </c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23.810002936419639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6</v>
      </c>
      <c r="AQ178" s="71" t="str">
        <f t="shared" si="7"/>
        <v/>
      </c>
      <c r="AR178" s="71">
        <f>IFERROR(VLOOKUP(A178,Climatologia_TMED!A:U,9+$E$2,FALSE),"")</f>
        <v>24.764281496732401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6</v>
      </c>
      <c r="AQ179" s="71" t="str">
        <f t="shared" si="7"/>
        <v/>
      </c>
      <c r="AR179" s="71">
        <f>IFERROR(VLOOKUP(A179,Climatologia_TMED!A:U,9+$E$2,FALSE),"")</f>
        <v>17.52263018923631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6</v>
      </c>
      <c r="AQ181" s="71" t="str">
        <f t="shared" si="7"/>
        <v/>
      </c>
      <c r="AR181" s="71">
        <f>IFERROR(VLOOKUP(A181,Climatologia_TMED!A:U,9+$E$2,FALSE),"")</f>
        <v>29.494520657328639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6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5</v>
      </c>
      <c r="AQ185" s="71" t="str">
        <f t="shared" si="7"/>
        <v/>
      </c>
      <c r="AR185" s="71">
        <f>IFERROR(VLOOKUP(A185,Climatologia_TMED!A:U,9+$E$2,FALSE),"")</f>
        <v>28.426879526214119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5</v>
      </c>
      <c r="AQ188" s="71" t="str">
        <f t="shared" si="7"/>
        <v/>
      </c>
      <c r="AR188" s="71">
        <f>IFERROR(VLOOKUP(A188,Climatologia_TMED!A:U,9+$E$2,FALSE),"")</f>
        <v>16.219992677735171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4</v>
      </c>
      <c r="AQ189" s="71" t="str">
        <f t="shared" si="7"/>
        <v/>
      </c>
      <c r="AR189" s="71">
        <f>IFERROR(VLOOKUP(A189,Climatologia_TMED!A:U,9+$E$2,FALSE),"")</f>
        <v>30.520337316954809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6</v>
      </c>
      <c r="AQ190" s="71" t="str">
        <f t="shared" si="7"/>
        <v/>
      </c>
      <c r="AR190" s="71">
        <f>IFERROR(VLOOKUP(A190,Climatologia_TMED!A:U,9+$E$2,FALSE),"")</f>
        <v>29.552042558032198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6</v>
      </c>
      <c r="AQ191" s="71" t="str">
        <f t="shared" si="7"/>
        <v/>
      </c>
      <c r="AR191" s="71">
        <f>IFERROR(VLOOKUP(A191,Climatologia_TMED!A:U,9+$E$2,FALSE),"")</f>
        <v>17.464112079265011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6</v>
      </c>
      <c r="AQ192" s="71" t="str">
        <f t="shared" si="7"/>
        <v/>
      </c>
      <c r="AR192" s="71">
        <f>IFERROR(VLOOKUP(A192,Climatologia_TMED!A:U,9+$E$2,FALSE),"")</f>
        <v>25.598921067303831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6</v>
      </c>
      <c r="AQ193" s="71" t="str">
        <f t="shared" si="7"/>
        <v/>
      </c>
      <c r="AR193" s="71">
        <f>IFERROR(VLOOKUP(A193,Climatologia_TMED!A:U,9+$E$2,FALSE),"")</f>
        <v>26.876419518290088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5</v>
      </c>
      <c r="AQ194" s="71" t="str">
        <f t="shared" si="7"/>
        <v/>
      </c>
      <c r="AR194" s="71">
        <f>IFERROR(VLOOKUP(A194,Climatologia_TMED!A:U,9+$E$2,FALSE),"")</f>
        <v>21.92453935902186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6</v>
      </c>
      <c r="AQ195" s="71" t="str">
        <f t="shared" si="7"/>
        <v/>
      </c>
      <c r="AR195" s="71">
        <f>IFERROR(VLOOKUP(A195,Climatologia_TMED!A:U,9+$E$2,FALSE),"")</f>
        <v>25.93887423035611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6</v>
      </c>
      <c r="AQ196" s="71" t="str">
        <f t="shared" si="7"/>
        <v/>
      </c>
      <c r="AR196" s="71">
        <f>IFERROR(VLOOKUP(A196,Climatologia_TMED!A:U,9+$E$2,FALSE),"")</f>
        <v>20.501275507765811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12" si="9">COUNTIF(K197:AO197,"&gt;0")</f>
        <v>6</v>
      </c>
      <c r="AQ197" s="71" t="str">
        <f t="shared" ref="AQ197:AQ212" si="10">IF(AP197&gt;14,AVERAGE(K197:AO197),"")</f>
        <v/>
      </c>
      <c r="AR197" s="71">
        <f>IFERROR(VLOOKUP(A197,Climatologia_TMED!A:U,9+$E$2,FALSE),"")</f>
        <v>24.669620158482161</v>
      </c>
      <c r="AS197" s="71" t="str">
        <f t="shared" ref="AS197:AS212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6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6</v>
      </c>
      <c r="AQ199" s="71" t="str">
        <f t="shared" si="10"/>
        <v/>
      </c>
      <c r="AR199" s="71">
        <f>IFERROR(VLOOKUP(A199,Climatologia_TMED!A:U,9+$E$2,FALSE),"")</f>
        <v>15.9056050475294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6</v>
      </c>
      <c r="AQ200" s="71" t="str">
        <f t="shared" si="10"/>
        <v/>
      </c>
      <c r="AR200" s="71">
        <f>IFERROR(VLOOKUP(A200,Climatologia_TMED!A:U,9+$E$2,FALSE),"")</f>
        <v>13.344977882388941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6</v>
      </c>
      <c r="AQ201" s="71" t="str">
        <f t="shared" si="10"/>
        <v/>
      </c>
      <c r="AR201" s="71">
        <f>IFERROR(VLOOKUP(A201,Climatologia_TMED!A:U,9+$E$2,FALSE),"")</f>
        <v>26.42009640850436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6</v>
      </c>
      <c r="AQ202" s="71" t="str">
        <f t="shared" si="10"/>
        <v/>
      </c>
      <c r="AR202" s="71">
        <f>IFERROR(VLOOKUP(A202,Climatologia_TMED!A:U,9+$E$2,FALSE),"")</f>
        <v>12.92387825817962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5</v>
      </c>
      <c r="AQ203" s="71" t="str">
        <f t="shared" si="10"/>
        <v/>
      </c>
      <c r="AR203" s="71">
        <f>IFERROR(VLOOKUP(A203,Climatologia_TMED!A:U,9+$E$2,FALSE),"")</f>
        <v>12.086069715466531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6</v>
      </c>
      <c r="AQ205" s="71" t="str">
        <f t="shared" si="10"/>
        <v/>
      </c>
      <c r="AR205" s="71">
        <f>IFERROR(VLOOKUP(A205,Climatologia_TMED!A:U,9+$E$2,FALSE),"")</f>
        <v>13.43544585253456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6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3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6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6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6</v>
      </c>
      <c r="AQ210" s="71" t="str">
        <f t="shared" si="10"/>
        <v/>
      </c>
      <c r="AR210" s="71">
        <f>IFERROR(VLOOKUP(A210,Climatologia_TMED!A:U,9+$E$2,FALSE),"")</f>
        <v>14.343130840767889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6</v>
      </c>
      <c r="AQ211" s="71" t="str">
        <f t="shared" si="10"/>
        <v/>
      </c>
      <c r="AR211" s="71">
        <f>IFERROR(VLOOKUP(A211,Climatologia_TMED!A:U,9+$E$2,FALSE),"")</f>
        <v>8.1491623782224423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/>
      <c r="M212" s="56">
        <v>27.7</v>
      </c>
      <c r="N212" s="56">
        <v>27.7</v>
      </c>
      <c r="O212" s="56">
        <v>27.75</v>
      </c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4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2026-08-07T16:09:39Z</dcterms:modified>
</cp:coreProperties>
</file>