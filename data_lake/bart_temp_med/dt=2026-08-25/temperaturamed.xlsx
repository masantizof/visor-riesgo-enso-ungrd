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098ED03-C2AB-4186-B51E-B57D27CF1C6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Q210" i="1"/>
  <c r="AS210" i="1" s="1"/>
  <c r="AP210" i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Q205" i="1"/>
  <c r="AS205" i="1" s="1"/>
  <c r="AP205" i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Q200" i="1"/>
  <c r="AS200" i="1" s="1"/>
  <c r="AP200" i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Q195" i="1"/>
  <c r="AS195" i="1" s="1"/>
  <c r="AP195" i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Q185" i="1"/>
  <c r="AS185" i="1" s="1"/>
  <c r="AP185" i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Q170" i="1"/>
  <c r="AS170" i="1" s="1"/>
  <c r="AP170" i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Q160" i="1"/>
  <c r="AS160" i="1" s="1"/>
  <c r="AP160" i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Q145" i="1"/>
  <c r="AS145" i="1" s="1"/>
  <c r="AP145" i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Q125" i="1"/>
  <c r="AS125" i="1" s="1"/>
  <c r="AP125" i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Q120" i="1"/>
  <c r="AS120" i="1" s="1"/>
  <c r="AP120" i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Q105" i="1"/>
  <c r="AS105" i="1" s="1"/>
  <c r="AP105" i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Q100" i="1"/>
  <c r="AS100" i="1" s="1"/>
  <c r="AP100" i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Q95" i="1"/>
  <c r="AS95" i="1" s="1"/>
  <c r="AP95" i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Q90" i="1"/>
  <c r="AS90" i="1" s="1"/>
  <c r="AP90" i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Q80" i="1"/>
  <c r="AS80" i="1" s="1"/>
  <c r="AP80" i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Q75" i="1"/>
  <c r="AS75" i="1" s="1"/>
  <c r="AP75" i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Q70" i="1"/>
  <c r="AS70" i="1" s="1"/>
  <c r="AP70" i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Q65" i="1"/>
  <c r="AS65" i="1" s="1"/>
  <c r="AP65" i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Q60" i="1"/>
  <c r="AS60" i="1" s="1"/>
  <c r="AP60" i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Q55" i="1"/>
  <c r="AS55" i="1" s="1"/>
  <c r="AP55" i="1"/>
  <c r="AR54" i="1"/>
  <c r="AQ54" i="1"/>
  <c r="AS54" i="1" s="1"/>
  <c r="AP54" i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Q49" i="1"/>
  <c r="AS49" i="1" s="1"/>
  <c r="AP49" i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Q45" i="1"/>
  <c r="AS45" i="1" s="1"/>
  <c r="AP45" i="1"/>
  <c r="AR44" i="1"/>
  <c r="AQ44" i="1"/>
  <c r="AS44" i="1" s="1"/>
  <c r="AP44" i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Q40" i="1"/>
  <c r="AS40" i="1" s="1"/>
  <c r="AP40" i="1"/>
  <c r="AR39" i="1"/>
  <c r="AQ39" i="1"/>
  <c r="AS39" i="1" s="1"/>
  <c r="AP39" i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Q35" i="1"/>
  <c r="AS35" i="1" s="1"/>
  <c r="AP35" i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Q30" i="1"/>
  <c r="AS30" i="1" s="1"/>
  <c r="AP30" i="1"/>
  <c r="AR29" i="1"/>
  <c r="AQ29" i="1"/>
  <c r="AS29" i="1" s="1"/>
  <c r="AP29" i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Q25" i="1"/>
  <c r="AS25" i="1" s="1"/>
  <c r="AP25" i="1"/>
  <c r="AR24" i="1"/>
  <c r="AQ24" i="1"/>
  <c r="AS24" i="1" s="1"/>
  <c r="AP24" i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Q20" i="1"/>
  <c r="AS20" i="1" s="1"/>
  <c r="AP20" i="1"/>
  <c r="AR19" i="1"/>
  <c r="AQ19" i="1"/>
  <c r="AS19" i="1" s="1"/>
  <c r="AP19" i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Q15" i="1"/>
  <c r="AS15" i="1" s="1"/>
  <c r="AP15" i="1"/>
  <c r="AR14" i="1"/>
  <c r="AQ14" i="1"/>
  <c r="AS14" i="1" s="1"/>
  <c r="AP14" i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Q10" i="1"/>
  <c r="AS10" i="1" s="1"/>
  <c r="AP10" i="1"/>
  <c r="AR9" i="1"/>
  <c r="AQ9" i="1"/>
  <c r="AS9" i="1" s="1"/>
  <c r="AP9" i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<sst xmlns="http://schemas.openxmlformats.org/spreadsheetml/2006/main" count="3690" uniqueCount="1514">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</sst>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R188" zoomScale="90" zoomScaleNormal="90" workbookViewId="0">
      <selection activeCell="AK8" sqref="AK8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43" width="32.42578125" style="50" customWidth="1"/>
    <col min="14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>
        <v>30.3</v>
      </c>
      <c r="AF5" s="56">
        <v>29.9</v>
      </c>
      <c r="AG5" s="56">
        <v>28.8</v>
      </c>
      <c r="AH5" s="56">
        <v>29.3</v>
      </c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24</v>
      </c>
      <c r="AQ5" s="71">
        <f t="shared" ref="AQ5:AQ68" si="1">IF(AP5&gt;14,AVERAGE(K5:AO5),"")</f>
        <v>29.591666666666658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1.2994616142553568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>
        <v>29.9</v>
      </c>
      <c r="AF6" s="56">
        <v>29.8</v>
      </c>
      <c r="AG6" s="56">
        <v>29.9</v>
      </c>
      <c r="AH6" s="56">
        <v>28.3</v>
      </c>
      <c r="AI6" s="56"/>
      <c r="AJ6" s="56"/>
      <c r="AK6" s="56"/>
      <c r="AL6" s="56"/>
      <c r="AM6" s="56"/>
      <c r="AN6" s="56"/>
      <c r="AO6" s="56"/>
      <c r="AP6" s="58">
        <f t="shared" si="0"/>
        <v>24</v>
      </c>
      <c r="AQ6" s="71">
        <f t="shared" si="1"/>
        <v>29.42916666666666</v>
      </c>
      <c r="AR6" s="71">
        <f>IFERROR(VLOOKUP(A6,Climatologia_TMED!A:U,9+$E$2,FALSE),"")</f>
        <v>28.542323510282561</v>
      </c>
      <c r="AS6" s="71">
        <f t="shared" si="2"/>
        <v>0.88684315638409927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>
        <v>32.700000000000003</v>
      </c>
      <c r="AF7" s="56">
        <v>30.9</v>
      </c>
      <c r="AG7" s="56">
        <v>28.8</v>
      </c>
      <c r="AH7" s="56">
        <v>30</v>
      </c>
      <c r="AI7" s="56"/>
      <c r="AJ7" s="56"/>
      <c r="AK7" s="56"/>
      <c r="AL7" s="56"/>
      <c r="AM7" s="56"/>
      <c r="AN7" s="56"/>
      <c r="AO7" s="56"/>
      <c r="AP7" s="58">
        <f t="shared" si="0"/>
        <v>24</v>
      </c>
      <c r="AQ7" s="71">
        <f t="shared" si="1"/>
        <v>31.045833333333334</v>
      </c>
      <c r="AR7" s="71">
        <f>IFERROR(VLOOKUP(A7,Climatologia_TMED!A:U,9+$E$2,FALSE),"")</f>
        <v>28.878924731182799</v>
      </c>
      <c r="AS7" s="71">
        <f t="shared" si="2"/>
        <v>2.166908602150535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>
        <v>29</v>
      </c>
      <c r="AF8" s="56">
        <v>29.2</v>
      </c>
      <c r="AG8" s="56">
        <v>28.8</v>
      </c>
      <c r="AH8" s="56">
        <v>29.4</v>
      </c>
      <c r="AI8" s="56"/>
      <c r="AJ8" s="56"/>
      <c r="AK8" s="56"/>
      <c r="AL8" s="56"/>
      <c r="AM8" s="56"/>
      <c r="AN8" s="56"/>
      <c r="AO8" s="56"/>
      <c r="AP8" s="58">
        <f t="shared" si="0"/>
        <v>24</v>
      </c>
      <c r="AQ8" s="71">
        <f t="shared" si="1"/>
        <v>29.895833333333329</v>
      </c>
      <c r="AR8" s="71">
        <f>IFERROR(VLOOKUP(A8,Climatologia_TMED!A:U,9+$E$2,FALSE),"")</f>
        <v>28.663204007006499</v>
      </c>
      <c r="AS8" s="71">
        <f t="shared" si="2"/>
        <v>1.2326293263268298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>
        <v>30.1</v>
      </c>
      <c r="AF9" s="56">
        <v>29.3</v>
      </c>
      <c r="AG9" s="56">
        <v>28.1</v>
      </c>
      <c r="AH9" s="56">
        <v>30.6</v>
      </c>
      <c r="AI9" s="56"/>
      <c r="AJ9" s="56"/>
      <c r="AK9" s="56"/>
      <c r="AL9" s="56"/>
      <c r="AM9" s="56"/>
      <c r="AN9" s="56"/>
      <c r="AO9" s="56"/>
      <c r="AP9" s="58">
        <f t="shared" si="0"/>
        <v>24</v>
      </c>
      <c r="AQ9" s="71">
        <f t="shared" si="1"/>
        <v>29.966666666666669</v>
      </c>
      <c r="AR9" s="71">
        <f>IFERROR(VLOOKUP(A9,Climatologia_TMED!A:U,9+$E$2,FALSE),"")</f>
        <v>29.925161290322539</v>
      </c>
      <c r="AS9" s="71">
        <f t="shared" si="2"/>
        <v>4.1505376344129985E-2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>
        <v>31.5</v>
      </c>
      <c r="AF10" s="56">
        <v>29.5</v>
      </c>
      <c r="AG10" s="56">
        <v>29.3</v>
      </c>
      <c r="AH10" s="56">
        <v>32.799999999999997</v>
      </c>
      <c r="AI10" s="56"/>
      <c r="AJ10" s="56"/>
      <c r="AK10" s="56"/>
      <c r="AL10" s="56"/>
      <c r="AM10" s="56"/>
      <c r="AN10" s="56"/>
      <c r="AO10" s="56"/>
      <c r="AP10" s="58">
        <f t="shared" si="0"/>
        <v>24</v>
      </c>
      <c r="AQ10" s="71">
        <f t="shared" si="1"/>
        <v>31.833333333333329</v>
      </c>
      <c r="AR10" s="71">
        <f>IFERROR(VLOOKUP(A10,Climatologia_TMED!A:U,9+$E$2,FALSE),"")</f>
        <v>29.55639347861802</v>
      </c>
      <c r="AS10" s="71">
        <f t="shared" si="2"/>
        <v>2.2769398547153088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>
        <v>33.4</v>
      </c>
      <c r="AF11" s="56">
        <v>31.9</v>
      </c>
      <c r="AG11" s="56">
        <v>30.3</v>
      </c>
      <c r="AH11" s="56">
        <v>33</v>
      </c>
      <c r="AI11" s="56"/>
      <c r="AJ11" s="56"/>
      <c r="AK11" s="56"/>
      <c r="AL11" s="56"/>
      <c r="AM11" s="56"/>
      <c r="AN11" s="56"/>
      <c r="AO11" s="56"/>
      <c r="AP11" s="58">
        <f t="shared" si="0"/>
        <v>24</v>
      </c>
      <c r="AQ11" s="71">
        <f t="shared" si="1"/>
        <v>32.974999999999994</v>
      </c>
      <c r="AR11" s="71">
        <f>IFERROR(VLOOKUP(A11,Climatologia_TMED!A:U,9+$E$2,FALSE),"")</f>
        <v>29.275519036173971</v>
      </c>
      <c r="AS11" s="71">
        <f t="shared" si="2"/>
        <v>3.6994809638260229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>
        <v>31.3</v>
      </c>
      <c r="AF12" s="56">
        <v>28</v>
      </c>
      <c r="AG12" s="56">
        <v>30.3</v>
      </c>
      <c r="AH12" s="56">
        <v>29.8</v>
      </c>
      <c r="AI12" s="56"/>
      <c r="AJ12" s="56"/>
      <c r="AK12" s="56"/>
      <c r="AL12" s="56"/>
      <c r="AM12" s="56"/>
      <c r="AN12" s="56"/>
      <c r="AO12" s="56"/>
      <c r="AP12" s="58">
        <f t="shared" si="0"/>
        <v>24</v>
      </c>
      <c r="AQ12" s="71">
        <f t="shared" si="1"/>
        <v>30.024999999999988</v>
      </c>
      <c r="AR12" s="71">
        <f>IFERROR(VLOOKUP(A12,Climatologia_TMED!A:U,9+$E$2,FALSE),"")</f>
        <v>28.08210560234475</v>
      </c>
      <c r="AS12" s="71">
        <f t="shared" si="2"/>
        <v>1.9428943976552375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>
        <v>30.5</v>
      </c>
      <c r="AF13" s="56">
        <v>28.7</v>
      </c>
      <c r="AG13" s="56">
        <v>29</v>
      </c>
      <c r="AH13" s="56">
        <v>30.7</v>
      </c>
      <c r="AI13" s="56"/>
      <c r="AJ13" s="56"/>
      <c r="AK13" s="56"/>
      <c r="AL13" s="56"/>
      <c r="AM13" s="56"/>
      <c r="AN13" s="56"/>
      <c r="AO13" s="56"/>
      <c r="AP13" s="58">
        <f t="shared" si="0"/>
        <v>24</v>
      </c>
      <c r="AQ13" s="71">
        <f t="shared" si="1"/>
        <v>30.770833333333332</v>
      </c>
      <c r="AR13" s="71">
        <f>IFERROR(VLOOKUP(A13,Climatologia_TMED!A:U,9+$E$2,FALSE),"")</f>
        <v>28.275630329996261</v>
      </c>
      <c r="AS13" s="71">
        <f t="shared" si="2"/>
        <v>2.4952030033370711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>
        <v>24.5</v>
      </c>
      <c r="AF14" s="56">
        <v>23.4</v>
      </c>
      <c r="AG14" s="56">
        <v>23.6</v>
      </c>
      <c r="AH14" s="56">
        <v>25.1</v>
      </c>
      <c r="AI14" s="56"/>
      <c r="AJ14" s="56"/>
      <c r="AK14" s="56"/>
      <c r="AL14" s="56"/>
      <c r="AM14" s="56"/>
      <c r="AN14" s="56"/>
      <c r="AO14" s="56"/>
      <c r="AP14" s="58">
        <f t="shared" si="0"/>
        <v>24</v>
      </c>
      <c r="AQ14" s="71">
        <f t="shared" si="1"/>
        <v>24.579166666666666</v>
      </c>
      <c r="AR14" s="71">
        <f>IFERROR(VLOOKUP(A14,Climatologia_TMED!A:U,9+$E$2,FALSE),"")</f>
        <v>21.814997932175341</v>
      </c>
      <c r="AS14" s="71">
        <f t="shared" si="2"/>
        <v>2.7641687344913244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>
        <v>31.8</v>
      </c>
      <c r="AF15" s="56">
        <v>30.6</v>
      </c>
      <c r="AG15" s="56">
        <v>28.5</v>
      </c>
      <c r="AH15" s="56">
        <v>31.8</v>
      </c>
      <c r="AI15" s="56"/>
      <c r="AJ15" s="56"/>
      <c r="AK15" s="56"/>
      <c r="AL15" s="56"/>
      <c r="AM15" s="56"/>
      <c r="AN15" s="56"/>
      <c r="AO15" s="56"/>
      <c r="AP15" s="58">
        <f t="shared" si="0"/>
        <v>24</v>
      </c>
      <c r="AQ15" s="71">
        <f t="shared" si="1"/>
        <v>30.858333333333331</v>
      </c>
      <c r="AR15" s="71">
        <f>IFERROR(VLOOKUP(A15,Climatologia_TMED!A:U,9+$E$2,FALSE),"")</f>
        <v>28.742611827956981</v>
      </c>
      <c r="AS15" s="71">
        <f t="shared" si="2"/>
        <v>2.1157215053763494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>
        <v>30.1</v>
      </c>
      <c r="AF16" s="56">
        <v>26.8</v>
      </c>
      <c r="AG16" s="56">
        <v>29.2</v>
      </c>
      <c r="AH16" s="56">
        <v>28.2</v>
      </c>
      <c r="AI16" s="56"/>
      <c r="AJ16" s="56"/>
      <c r="AK16" s="56"/>
      <c r="AL16" s="56"/>
      <c r="AM16" s="56"/>
      <c r="AN16" s="56"/>
      <c r="AO16" s="56"/>
      <c r="AP16" s="58">
        <f t="shared" si="0"/>
        <v>24</v>
      </c>
      <c r="AQ16" s="71">
        <f t="shared" si="1"/>
        <v>28.520833333333339</v>
      </c>
      <c r="AR16" s="71">
        <f>IFERROR(VLOOKUP(A16,Climatologia_TMED!A:U,9+$E$2,FALSE),"")</f>
        <v>27.745849035404088</v>
      </c>
      <c r="AS16" s="71">
        <f t="shared" si="2"/>
        <v>0.77498429792925094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>
        <v>26.6</v>
      </c>
      <c r="AF17" s="56">
        <v>24.4</v>
      </c>
      <c r="AG17" s="56">
        <v>23.7</v>
      </c>
      <c r="AH17" s="56">
        <v>26.5</v>
      </c>
      <c r="AI17" s="56"/>
      <c r="AJ17" s="56"/>
      <c r="AK17" s="56"/>
      <c r="AL17" s="56"/>
      <c r="AM17" s="56"/>
      <c r="AN17" s="56"/>
      <c r="AO17" s="56"/>
      <c r="AP17" s="58">
        <f t="shared" si="0"/>
        <v>24</v>
      </c>
      <c r="AQ17" s="71">
        <f t="shared" si="1"/>
        <v>25.720833333333331</v>
      </c>
      <c r="AR17" s="71">
        <f>IFERROR(VLOOKUP(A17,Climatologia_TMED!A:U,9+$E$2,FALSE),"")</f>
        <v>23.942684331797231</v>
      </c>
      <c r="AS17" s="71">
        <f t="shared" si="2"/>
        <v>1.7781490015361001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>
        <v>19.5</v>
      </c>
      <c r="AF18" s="56">
        <v>19.3</v>
      </c>
      <c r="AG18" s="56">
        <v>19</v>
      </c>
      <c r="AH18" s="56">
        <v>20</v>
      </c>
      <c r="AI18" s="56"/>
      <c r="AJ18" s="56"/>
      <c r="AK18" s="56"/>
      <c r="AL18" s="56"/>
      <c r="AM18" s="56"/>
      <c r="AN18" s="56"/>
      <c r="AO18" s="56"/>
      <c r="AP18" s="58">
        <f t="shared" si="0"/>
        <v>24</v>
      </c>
      <c r="AQ18" s="71">
        <f t="shared" si="1"/>
        <v>19.25416666666667</v>
      </c>
      <c r="AR18" s="71">
        <f>IFERROR(VLOOKUP(A18,Climatologia_TMED!A:U,9+$E$2,FALSE),"")</f>
        <v>17.429768704357489</v>
      </c>
      <c r="AS18" s="71">
        <f t="shared" si="2"/>
        <v>1.8243979623091811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>
        <v>25.8</v>
      </c>
      <c r="AF19" s="56">
        <v>22.6</v>
      </c>
      <c r="AG19" s="56">
        <v>24.7</v>
      </c>
      <c r="AH19" s="56">
        <v>24.5</v>
      </c>
      <c r="AI19" s="56"/>
      <c r="AJ19" s="56"/>
      <c r="AK19" s="56"/>
      <c r="AL19" s="56"/>
      <c r="AM19" s="56"/>
      <c r="AN19" s="56"/>
      <c r="AO19" s="56"/>
      <c r="AP19" s="58">
        <f t="shared" si="0"/>
        <v>24</v>
      </c>
      <c r="AQ19" s="71">
        <f t="shared" si="1"/>
        <v>24.558333333333337</v>
      </c>
      <c r="AR19" s="71">
        <f>IFERROR(VLOOKUP(A19,Climatologia_TMED!A:U,9+$E$2,FALSE),"")</f>
        <v>22.368290322580641</v>
      </c>
      <c r="AS19" s="71">
        <f t="shared" si="2"/>
        <v>2.1900430107526958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>
        <v>25.7</v>
      </c>
      <c r="AF20" s="56">
        <v>24.5</v>
      </c>
      <c r="AG20" s="56">
        <v>24.6</v>
      </c>
      <c r="AH20" s="56">
        <v>25</v>
      </c>
      <c r="AI20" s="56"/>
      <c r="AJ20" s="56"/>
      <c r="AK20" s="56"/>
      <c r="AL20" s="56"/>
      <c r="AM20" s="56"/>
      <c r="AN20" s="56"/>
      <c r="AO20" s="56"/>
      <c r="AP20" s="58">
        <f t="shared" si="0"/>
        <v>23</v>
      </c>
      <c r="AQ20" s="71">
        <f t="shared" si="1"/>
        <v>24.717391304347821</v>
      </c>
      <c r="AR20" s="71">
        <f>IFERROR(VLOOKUP(A20,Climatologia_TMED!A:U,9+$E$2,FALSE),"")</f>
        <v>22.807707609594701</v>
      </c>
      <c r="AS20" s="71">
        <f t="shared" si="2"/>
        <v>1.9096836947531202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>
        <v>28.6</v>
      </c>
      <c r="AF21" s="56">
        <v>27.6</v>
      </c>
      <c r="AG21" s="56">
        <v>28.1</v>
      </c>
      <c r="AH21" s="56">
        <v>28.9</v>
      </c>
      <c r="AI21" s="56"/>
      <c r="AJ21" s="56"/>
      <c r="AK21" s="56"/>
      <c r="AL21" s="56"/>
      <c r="AM21" s="56"/>
      <c r="AN21" s="56"/>
      <c r="AO21" s="56"/>
      <c r="AP21" s="58">
        <f t="shared" si="0"/>
        <v>24</v>
      </c>
      <c r="AQ21" s="71">
        <f t="shared" si="1"/>
        <v>28.312500000000004</v>
      </c>
      <c r="AR21" s="71">
        <f>IFERROR(VLOOKUP(A21,Climatologia_TMED!A:U,9+$E$2,FALSE),"")</f>
        <v>25.445872233516159</v>
      </c>
      <c r="AS21" s="71">
        <f t="shared" si="2"/>
        <v>2.8666277664838447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>
        <v>15.2</v>
      </c>
      <c r="AF22" s="56">
        <v>14.2</v>
      </c>
      <c r="AG22" s="56">
        <v>15.6</v>
      </c>
      <c r="AH22" s="56">
        <v>15.6</v>
      </c>
      <c r="AI22" s="56"/>
      <c r="AJ22" s="56"/>
      <c r="AK22" s="56"/>
      <c r="AL22" s="56"/>
      <c r="AM22" s="56"/>
      <c r="AN22" s="56"/>
      <c r="AO22" s="56"/>
      <c r="AP22" s="58">
        <f t="shared" si="0"/>
        <v>24</v>
      </c>
      <c r="AQ22" s="71">
        <f t="shared" si="1"/>
        <v>15.675000000000002</v>
      </c>
      <c r="AR22" s="71">
        <f>IFERROR(VLOOKUP(A22,Climatologia_TMED!A:U,9+$E$2,FALSE),"")</f>
        <v>13.827819728473219</v>
      </c>
      <c r="AS22" s="71">
        <f t="shared" si="2"/>
        <v>1.8471802715267831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>
        <v>26.9</v>
      </c>
      <c r="AF23" s="56">
        <v>27.7</v>
      </c>
      <c r="AG23" s="56">
        <v>27.9</v>
      </c>
      <c r="AH23" s="56">
        <v>27.1</v>
      </c>
      <c r="AI23" s="56"/>
      <c r="AJ23" s="56"/>
      <c r="AK23" s="56"/>
      <c r="AL23" s="56"/>
      <c r="AM23" s="56"/>
      <c r="AN23" s="56"/>
      <c r="AO23" s="56"/>
      <c r="AP23" s="58">
        <f t="shared" si="0"/>
        <v>23</v>
      </c>
      <c r="AQ23" s="71">
        <f t="shared" si="1"/>
        <v>26.4304347826087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>
        <v>30.9</v>
      </c>
      <c r="AF24" s="56">
        <v>29.3</v>
      </c>
      <c r="AG24" s="56">
        <v>30</v>
      </c>
      <c r="AH24" s="56">
        <v>31.7</v>
      </c>
      <c r="AI24" s="56"/>
      <c r="AJ24" s="56"/>
      <c r="AK24" s="56"/>
      <c r="AL24" s="56"/>
      <c r="AM24" s="56"/>
      <c r="AN24" s="56"/>
      <c r="AO24" s="56"/>
      <c r="AP24" s="58">
        <f t="shared" si="0"/>
        <v>24</v>
      </c>
      <c r="AQ24" s="71">
        <f t="shared" si="1"/>
        <v>30.604166666666671</v>
      </c>
      <c r="AR24" s="71">
        <f>IFERROR(VLOOKUP(A24,Climatologia_TMED!A:U,9+$E$2,FALSE),"")</f>
        <v>29.117078853046579</v>
      </c>
      <c r="AS24" s="71">
        <f t="shared" si="2"/>
        <v>1.4870878136200929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>
        <v>23.9</v>
      </c>
      <c r="AF25" s="56">
        <v>22.3</v>
      </c>
      <c r="AG25" s="56">
        <v>23</v>
      </c>
      <c r="AH25" s="56">
        <v>23.6</v>
      </c>
      <c r="AI25" s="56"/>
      <c r="AJ25" s="56"/>
      <c r="AK25" s="56"/>
      <c r="AL25" s="56"/>
      <c r="AM25" s="56"/>
      <c r="AN25" s="56"/>
      <c r="AO25" s="56"/>
      <c r="AP25" s="58">
        <f t="shared" si="0"/>
        <v>24</v>
      </c>
      <c r="AQ25" s="71">
        <f t="shared" si="1"/>
        <v>22.599999999999998</v>
      </c>
      <c r="AR25" s="71">
        <f>IFERROR(VLOOKUP(A25,Climatologia_TMED!A:U,9+$E$2,FALSE),"")</f>
        <v>20.318073144829391</v>
      </c>
      <c r="AS25" s="71">
        <f t="shared" si="2"/>
        <v>2.2819268551706067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>
        <v>12.1</v>
      </c>
      <c r="AF26" s="56">
        <v>11.7</v>
      </c>
      <c r="AG26" s="56">
        <v>12.4</v>
      </c>
      <c r="AH26" s="56">
        <v>13</v>
      </c>
      <c r="AI26" s="56"/>
      <c r="AJ26" s="56"/>
      <c r="AK26" s="56"/>
      <c r="AL26" s="56"/>
      <c r="AM26" s="56"/>
      <c r="AN26" s="56"/>
      <c r="AO26" s="56"/>
      <c r="AP26" s="58">
        <f t="shared" si="0"/>
        <v>24</v>
      </c>
      <c r="AQ26" s="71">
        <f t="shared" si="1"/>
        <v>11.64583333333333</v>
      </c>
      <c r="AR26" s="71">
        <f>IFERROR(VLOOKUP(A26,Climatologia_TMED!A:U,9+$E$2,FALSE),"")</f>
        <v>10.2499147200593</v>
      </c>
      <c r="AS26" s="71">
        <f t="shared" si="2"/>
        <v>1.3959186132740307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>
        <v>29.1</v>
      </c>
      <c r="AF27" s="56">
        <v>26.2</v>
      </c>
      <c r="AG27" s="56">
        <v>29.7</v>
      </c>
      <c r="AH27" s="56">
        <v>27.9</v>
      </c>
      <c r="AI27" s="56"/>
      <c r="AJ27" s="56"/>
      <c r="AK27" s="56"/>
      <c r="AL27" s="56"/>
      <c r="AM27" s="56"/>
      <c r="AN27" s="56"/>
      <c r="AO27" s="56"/>
      <c r="AP27" s="58">
        <f t="shared" si="0"/>
        <v>24</v>
      </c>
      <c r="AQ27" s="71">
        <f t="shared" si="1"/>
        <v>28.237500000000001</v>
      </c>
      <c r="AR27" s="71">
        <f>IFERROR(VLOOKUP(A27,Climatologia_TMED!A:U,9+$E$2,FALSE),"")</f>
        <v>26.978227598566299</v>
      </c>
      <c r="AS27" s="71">
        <f t="shared" si="2"/>
        <v>1.2592724014337016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>
        <v>28.3</v>
      </c>
      <c r="AF28" s="56">
        <v>27.6</v>
      </c>
      <c r="AG28" s="56">
        <v>25.1</v>
      </c>
      <c r="AH28" s="56">
        <v>27.6</v>
      </c>
      <c r="AI28" s="56"/>
      <c r="AJ28" s="56"/>
      <c r="AK28" s="56"/>
      <c r="AL28" s="56"/>
      <c r="AM28" s="56"/>
      <c r="AN28" s="56"/>
      <c r="AO28" s="56"/>
      <c r="AP28" s="58">
        <f t="shared" si="0"/>
        <v>24</v>
      </c>
      <c r="AQ28" s="71">
        <f t="shared" si="1"/>
        <v>27.7</v>
      </c>
      <c r="AR28" s="71">
        <f>IFERROR(VLOOKUP(A28,Climatologia_TMED!A:U,9+$E$2,FALSE),"")</f>
        <v>26.165451660622249</v>
      </c>
      <c r="AS28" s="71">
        <f t="shared" si="2"/>
        <v>1.5345483393777499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>
        <v>26.9</v>
      </c>
      <c r="AF29" s="56">
        <v>27.8</v>
      </c>
      <c r="AG29" s="56">
        <v>27.1</v>
      </c>
      <c r="AH29" s="56">
        <v>28.5</v>
      </c>
      <c r="AI29" s="56"/>
      <c r="AJ29" s="56"/>
      <c r="AK29" s="56"/>
      <c r="AL29" s="56"/>
      <c r="AM29" s="56"/>
      <c r="AN29" s="56"/>
      <c r="AO29" s="56"/>
      <c r="AP29" s="58">
        <f t="shared" si="0"/>
        <v>24</v>
      </c>
      <c r="AQ29" s="71">
        <f t="shared" si="1"/>
        <v>27.741666666666671</v>
      </c>
      <c r="AR29" s="71">
        <f>IFERROR(VLOOKUP(A29,Climatologia_TMED!A:U,9+$E$2,FALSE),"")</f>
        <v>27.268435099846361</v>
      </c>
      <c r="AS29" s="71">
        <f t="shared" si="2"/>
        <v>0.47323156682030998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>
        <v>25.4</v>
      </c>
      <c r="AF30" s="56">
        <v>26.4</v>
      </c>
      <c r="AG30" s="56">
        <v>24.4</v>
      </c>
      <c r="AH30" s="56">
        <v>25.8</v>
      </c>
      <c r="AI30" s="56"/>
      <c r="AJ30" s="56"/>
      <c r="AK30" s="56"/>
      <c r="AL30" s="56"/>
      <c r="AM30" s="56"/>
      <c r="AN30" s="56"/>
      <c r="AO30" s="56"/>
      <c r="AP30" s="58">
        <f t="shared" si="0"/>
        <v>24</v>
      </c>
      <c r="AQ30" s="71">
        <f t="shared" si="1"/>
        <v>26.020833333333332</v>
      </c>
      <c r="AR30" s="71">
        <f>IFERROR(VLOOKUP(A30,Climatologia_TMED!A:U,9+$E$2,FALSE),"")</f>
        <v>25.205756395995511</v>
      </c>
      <c r="AS30" s="71">
        <f t="shared" si="2"/>
        <v>0.81507693733782105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>
        <v>27</v>
      </c>
      <c r="AF31" s="98">
        <v>27.7</v>
      </c>
      <c r="AG31" s="98">
        <v>25.9</v>
      </c>
      <c r="AH31" s="98">
        <v>27.3</v>
      </c>
      <c r="AI31" s="98"/>
      <c r="AJ31" s="98"/>
      <c r="AK31" s="98"/>
      <c r="AL31" s="98"/>
      <c r="AM31" s="98"/>
      <c r="AN31" s="98"/>
      <c r="AO31" s="98"/>
      <c r="AP31" s="58">
        <f t="shared" si="0"/>
        <v>24</v>
      </c>
      <c r="AQ31" s="71">
        <f t="shared" si="1"/>
        <v>27.462499999999995</v>
      </c>
      <c r="AR31" s="71">
        <f>IFERROR(VLOOKUP(A31,Climatologia_TMED!A:U,9+$E$2,FALSE),"")</f>
        <v>25.960296951277201</v>
      </c>
      <c r="AS31" s="71">
        <f t="shared" si="2"/>
        <v>1.5022030487227944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>
        <v>20.2</v>
      </c>
      <c r="AF32" s="56">
        <v>19.866666666666671</v>
      </c>
      <c r="AG32" s="56">
        <v>20.6</v>
      </c>
      <c r="AH32" s="56">
        <v>20.666666666666671</v>
      </c>
      <c r="AI32" s="56"/>
      <c r="AJ32" s="56"/>
      <c r="AK32" s="56"/>
      <c r="AL32" s="56"/>
      <c r="AM32" s="56"/>
      <c r="AN32" s="56"/>
      <c r="AO32" s="56"/>
      <c r="AP32" s="58">
        <f t="shared" si="0"/>
        <v>24</v>
      </c>
      <c r="AQ32" s="71">
        <f t="shared" si="1"/>
        <v>20.244444444444447</v>
      </c>
      <c r="AR32" s="71">
        <f>IFERROR(VLOOKUP(A32,Climatologia_TMED!A:U,9+$E$2,FALSE),"")</f>
        <v>17.69892835396929</v>
      </c>
      <c r="AS32" s="71">
        <f t="shared" si="2"/>
        <v>2.5455160904751573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>
        <v>29.3</v>
      </c>
      <c r="AF33" s="56">
        <v>26.35</v>
      </c>
      <c r="AG33" s="56">
        <v>28.7</v>
      </c>
      <c r="AH33" s="56">
        <v>28.3</v>
      </c>
      <c r="AI33" s="56"/>
      <c r="AJ33" s="56"/>
      <c r="AK33" s="56"/>
      <c r="AL33" s="56"/>
      <c r="AM33" s="56"/>
      <c r="AN33" s="56"/>
      <c r="AO33" s="56"/>
      <c r="AP33" s="58">
        <f t="shared" si="0"/>
        <v>24</v>
      </c>
      <c r="AQ33" s="71">
        <f t="shared" si="1"/>
        <v>28.104166666666668</v>
      </c>
      <c r="AR33" s="71">
        <f>IFERROR(VLOOKUP(A33,Climatologia_TMED!A:U,9+$E$2,FALSE),"")</f>
        <v>26.885476337530289</v>
      </c>
      <c r="AS33" s="71">
        <f t="shared" si="2"/>
        <v>1.2186903291363791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>
        <v>22.06666666666667</v>
      </c>
      <c r="AE34" s="56">
        <v>21.86666666666666</v>
      </c>
      <c r="AF34" s="56">
        <v>21.733333333333331</v>
      </c>
      <c r="AG34" s="56">
        <v>21.666666666666671</v>
      </c>
      <c r="AH34" s="56">
        <v>21.86666666666666</v>
      </c>
      <c r="AI34" s="56"/>
      <c r="AJ34" s="56"/>
      <c r="AK34" s="56"/>
      <c r="AL34" s="56"/>
      <c r="AM34" s="56"/>
      <c r="AN34" s="56"/>
      <c r="AO34" s="56"/>
      <c r="AP34" s="58">
        <f t="shared" si="0"/>
        <v>24</v>
      </c>
      <c r="AQ34" s="71">
        <f t="shared" si="1"/>
        <v>21.669444444444441</v>
      </c>
      <c r="AR34" s="71">
        <f>IFERROR(VLOOKUP(A34,Climatologia_TMED!A:U,9+$E$2,FALSE),"")</f>
        <v>19.861806556333011</v>
      </c>
      <c r="AS34" s="71">
        <f t="shared" si="2"/>
        <v>1.8076378881114294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>
        <v>25.75</v>
      </c>
      <c r="AF35" s="56">
        <v>24.05</v>
      </c>
      <c r="AG35" s="56">
        <v>23.55</v>
      </c>
      <c r="AH35" s="56">
        <v>27.25</v>
      </c>
      <c r="AI35" s="56"/>
      <c r="AJ35" s="56"/>
      <c r="AK35" s="56"/>
      <c r="AL35" s="56"/>
      <c r="AM35" s="56"/>
      <c r="AN35" s="56"/>
      <c r="AO35" s="56"/>
      <c r="AP35" s="58">
        <f t="shared" si="0"/>
        <v>24</v>
      </c>
      <c r="AQ35" s="71">
        <f t="shared" si="1"/>
        <v>25.236458333333331</v>
      </c>
      <c r="AR35" s="71">
        <f>IFERROR(VLOOKUP(A35,Climatologia_TMED!A:U,9+$E$2,FALSE),"")</f>
        <v>24.163939937062029</v>
      </c>
      <c r="AS35" s="71">
        <f t="shared" si="2"/>
        <v>1.0725183962713025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>
        <v>20.55</v>
      </c>
      <c r="AF36" s="56">
        <v>19.600000000000001</v>
      </c>
      <c r="AG36" s="56">
        <v>20.7</v>
      </c>
      <c r="AH36" s="56">
        <v>20.100000000000001</v>
      </c>
      <c r="AI36" s="56"/>
      <c r="AJ36" s="56"/>
      <c r="AK36" s="56"/>
      <c r="AL36" s="56"/>
      <c r="AM36" s="56"/>
      <c r="AN36" s="56"/>
      <c r="AO36" s="56"/>
      <c r="AP36" s="58">
        <f t="shared" si="0"/>
        <v>24</v>
      </c>
      <c r="AQ36" s="71">
        <f t="shared" si="1"/>
        <v>20.135416666666668</v>
      </c>
      <c r="AR36" s="71">
        <f>IFERROR(VLOOKUP(A36,Climatologia_TMED!A:U,9+$E$2,FALSE),"")</f>
        <v>18.948390779307498</v>
      </c>
      <c r="AS36" s="71">
        <f t="shared" si="2"/>
        <v>1.1870258873591695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>
        <v>28.25</v>
      </c>
      <c r="AF37" s="56">
        <v>28.5</v>
      </c>
      <c r="AG37" s="56">
        <v>27.9</v>
      </c>
      <c r="AH37" s="56">
        <v>28.3</v>
      </c>
      <c r="AI37" s="56"/>
      <c r="AJ37" s="56"/>
      <c r="AK37" s="56"/>
      <c r="AL37" s="56"/>
      <c r="AM37" s="56"/>
      <c r="AN37" s="56"/>
      <c r="AO37" s="56"/>
      <c r="AP37" s="58">
        <f t="shared" si="0"/>
        <v>24</v>
      </c>
      <c r="AQ37" s="71">
        <f t="shared" si="1"/>
        <v>28.010416666666661</v>
      </c>
      <c r="AR37" s="71">
        <f>IFERROR(VLOOKUP(A37,Climatologia_TMED!A:U,9+$E$2,FALSE),"")</f>
        <v>26.09341273397051</v>
      </c>
      <c r="AS37" s="71">
        <f t="shared" si="2"/>
        <v>1.9170039326961508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>
        <v>17.25</v>
      </c>
      <c r="AF38" s="56">
        <v>15.45</v>
      </c>
      <c r="AG38" s="56">
        <v>15.3</v>
      </c>
      <c r="AH38" s="56">
        <v>17</v>
      </c>
      <c r="AI38" s="56"/>
      <c r="AJ38" s="56"/>
      <c r="AK38" s="56"/>
      <c r="AL38" s="56"/>
      <c r="AM38" s="56"/>
      <c r="AN38" s="56"/>
      <c r="AO38" s="56"/>
      <c r="AP38" s="58">
        <f t="shared" si="0"/>
        <v>23</v>
      </c>
      <c r="AQ38" s="71">
        <f t="shared" si="1"/>
        <v>16.193478260869568</v>
      </c>
      <c r="AR38" s="71">
        <f>IFERROR(VLOOKUP(A38,Climatologia_TMED!A:U,9+$E$2,FALSE),"")</f>
        <v>15.0852109133605</v>
      </c>
      <c r="AS38" s="71">
        <f t="shared" si="2"/>
        <v>1.1082673475090683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>
        <v>23.2</v>
      </c>
      <c r="AF39" s="56">
        <v>22.533333333333331</v>
      </c>
      <c r="AG39" s="56">
        <v>21.666666666666671</v>
      </c>
      <c r="AH39" s="56">
        <v>22.666666666666671</v>
      </c>
      <c r="AI39" s="56"/>
      <c r="AJ39" s="56"/>
      <c r="AK39" s="56"/>
      <c r="AL39" s="56"/>
      <c r="AM39" s="56"/>
      <c r="AN39" s="56"/>
      <c r="AO39" s="56"/>
      <c r="AP39" s="58">
        <f t="shared" si="0"/>
        <v>24</v>
      </c>
      <c r="AQ39" s="71">
        <f t="shared" si="1"/>
        <v>23.002777777777769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>
        <v>26.2</v>
      </c>
      <c r="AF40" s="56"/>
      <c r="AG40" s="56"/>
      <c r="AH40" s="56">
        <v>24.533333333333331</v>
      </c>
      <c r="AI40" s="56"/>
      <c r="AJ40" s="56"/>
      <c r="AK40" s="56"/>
      <c r="AL40" s="56"/>
      <c r="AM40" s="56"/>
      <c r="AN40" s="56"/>
      <c r="AO40" s="56"/>
      <c r="AP40" s="58">
        <f t="shared" si="0"/>
        <v>17</v>
      </c>
      <c r="AQ40" s="71">
        <f t="shared" si="1"/>
        <v>25.572549019607845</v>
      </c>
      <c r="AR40" s="71">
        <f>IFERROR(VLOOKUP(A40,Climatologia_TMED!A:U,9+$E$2,FALSE),"")</f>
        <v>22.98415856403572</v>
      </c>
      <c r="AS40" s="71">
        <f t="shared" si="2"/>
        <v>2.5883904555721244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>
        <v>20.2</v>
      </c>
      <c r="AE41" s="56">
        <v>19.866666666666671</v>
      </c>
      <c r="AF41" s="56">
        <v>19.8</v>
      </c>
      <c r="AG41" s="56">
        <v>19.666666666666661</v>
      </c>
      <c r="AH41" s="56">
        <v>20.266666666666669</v>
      </c>
      <c r="AI41" s="56"/>
      <c r="AJ41" s="56"/>
      <c r="AK41" s="56"/>
      <c r="AL41" s="56"/>
      <c r="AM41" s="56"/>
      <c r="AN41" s="56"/>
      <c r="AO41" s="56"/>
      <c r="AP41" s="58">
        <f t="shared" si="0"/>
        <v>23</v>
      </c>
      <c r="AQ41" s="71">
        <f t="shared" si="1"/>
        <v>20.436231884057971</v>
      </c>
      <c r="AR41" s="71">
        <f>IFERROR(VLOOKUP(A41,Climatologia_TMED!A:U,9+$E$2,FALSE),"")</f>
        <v>18.50720543555942</v>
      </c>
      <c r="AS41" s="71">
        <f t="shared" si="2"/>
        <v>1.9290264484985506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>
        <v>28.4</v>
      </c>
      <c r="AF42" s="56">
        <v>26.95</v>
      </c>
      <c r="AG42" s="56">
        <v>28.85</v>
      </c>
      <c r="AH42" s="56">
        <v>27.55</v>
      </c>
      <c r="AI42" s="56"/>
      <c r="AJ42" s="56"/>
      <c r="AK42" s="56"/>
      <c r="AL42" s="56"/>
      <c r="AM42" s="56"/>
      <c r="AN42" s="56"/>
      <c r="AO42" s="56"/>
      <c r="AP42" s="58">
        <f t="shared" si="0"/>
        <v>24</v>
      </c>
      <c r="AQ42" s="71">
        <f t="shared" si="1"/>
        <v>28.072916666666668</v>
      </c>
      <c r="AR42" s="71">
        <f>IFERROR(VLOOKUP(A42,Climatologia_TMED!A:U,9+$E$2,FALSE),"")</f>
        <v>27.517114695340499</v>
      </c>
      <c r="AS42" s="71">
        <f t="shared" si="2"/>
        <v>0.5558019713261686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>
        <v>30.9</v>
      </c>
      <c r="AF43" s="56">
        <v>28.95</v>
      </c>
      <c r="AG43" s="56">
        <v>29.55</v>
      </c>
      <c r="AH43" s="56">
        <v>28.35</v>
      </c>
      <c r="AI43" s="56"/>
      <c r="AJ43" s="56"/>
      <c r="AK43" s="56"/>
      <c r="AL43" s="56"/>
      <c r="AM43" s="56"/>
      <c r="AN43" s="56"/>
      <c r="AO43" s="56"/>
      <c r="AP43" s="58">
        <f t="shared" si="0"/>
        <v>24</v>
      </c>
      <c r="AQ43" s="71">
        <f t="shared" si="1"/>
        <v>29.443750000000005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>
        <v>30.024999999999999</v>
      </c>
      <c r="AF44" s="56">
        <v>26.675000000000001</v>
      </c>
      <c r="AG44" s="56">
        <v>30.725000000000001</v>
      </c>
      <c r="AH44" s="56">
        <v>26.875</v>
      </c>
      <c r="AI44" s="56"/>
      <c r="AJ44" s="56"/>
      <c r="AK44" s="56"/>
      <c r="AL44" s="56"/>
      <c r="AM44" s="56"/>
      <c r="AN44" s="56"/>
      <c r="AO44" s="56"/>
      <c r="AP44" s="58">
        <f t="shared" si="0"/>
        <v>24</v>
      </c>
      <c r="AQ44" s="71">
        <f t="shared" si="1"/>
        <v>28.702083333333334</v>
      </c>
      <c r="AR44" s="71">
        <f>IFERROR(VLOOKUP(A44,Climatologia_TMED!A:U,9+$E$2,FALSE),"")</f>
        <v>27.22851750737534</v>
      </c>
      <c r="AS44" s="71">
        <f t="shared" si="2"/>
        <v>1.4735658259579942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>
        <v>28.95</v>
      </c>
      <c r="AF45" s="56">
        <v>27.3</v>
      </c>
      <c r="AG45" s="56">
        <v>26.8</v>
      </c>
      <c r="AH45" s="56">
        <v>28.25</v>
      </c>
      <c r="AI45" s="56"/>
      <c r="AJ45" s="56"/>
      <c r="AK45" s="56"/>
      <c r="AL45" s="56"/>
      <c r="AM45" s="56"/>
      <c r="AN45" s="56"/>
      <c r="AO45" s="56"/>
      <c r="AP45" s="58">
        <f t="shared" si="0"/>
        <v>24</v>
      </c>
      <c r="AQ45" s="71">
        <f t="shared" si="1"/>
        <v>29.020833333333332</v>
      </c>
      <c r="AR45" s="71">
        <f>IFERROR(VLOOKUP(A45,Climatologia_TMED!A:U,9+$E$2,FALSE),"")</f>
        <v>27.597106102685618</v>
      </c>
      <c r="AS45" s="71">
        <f t="shared" si="2"/>
        <v>1.4237272306477138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>
        <v>29.8</v>
      </c>
      <c r="AF46" s="56">
        <v>28.4</v>
      </c>
      <c r="AG46" s="56">
        <v>28.3</v>
      </c>
      <c r="AH46" s="56">
        <v>28.9</v>
      </c>
      <c r="AI46" s="56"/>
      <c r="AJ46" s="56"/>
      <c r="AK46" s="56"/>
      <c r="AL46" s="56"/>
      <c r="AM46" s="56"/>
      <c r="AN46" s="56"/>
      <c r="AO46" s="56"/>
      <c r="AP46" s="58">
        <f t="shared" si="0"/>
        <v>24</v>
      </c>
      <c r="AQ46" s="71">
        <f t="shared" si="1"/>
        <v>28.932291666666657</v>
      </c>
      <c r="AR46" s="71">
        <f>IFERROR(VLOOKUP(A46,Climatologia_TMED!A:U,9+$E$2,FALSE),"")</f>
        <v>27.738976943755159</v>
      </c>
      <c r="AS46" s="71">
        <f t="shared" si="2"/>
        <v>1.1933147229114986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>
        <v>31.933333333333341</v>
      </c>
      <c r="AF47" s="56">
        <v>28.06666666666667</v>
      </c>
      <c r="AG47" s="56">
        <v>30.666666666666671</v>
      </c>
      <c r="AH47" s="56">
        <v>30.95</v>
      </c>
      <c r="AI47" s="56"/>
      <c r="AJ47" s="56"/>
      <c r="AK47" s="56"/>
      <c r="AL47" s="56"/>
      <c r="AM47" s="56"/>
      <c r="AN47" s="56"/>
      <c r="AO47" s="56"/>
      <c r="AP47" s="58">
        <f t="shared" si="0"/>
        <v>22</v>
      </c>
      <c r="AQ47" s="71">
        <f t="shared" si="1"/>
        <v>30.138636363636365</v>
      </c>
      <c r="AR47" s="71">
        <f>IFERROR(VLOOKUP(A47,Climatologia_TMED!A:U,9+$E$2,FALSE),"")</f>
        <v>27.87742247854888</v>
      </c>
      <c r="AS47" s="71">
        <f t="shared" si="2"/>
        <v>2.2612138850874857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>
        <v>29.05</v>
      </c>
      <c r="AF50" s="56">
        <v>26.35</v>
      </c>
      <c r="AG50" s="56">
        <v>28.85</v>
      </c>
      <c r="AH50" s="56">
        <v>27.6</v>
      </c>
      <c r="AI50" s="56"/>
      <c r="AJ50" s="56"/>
      <c r="AK50" s="56"/>
      <c r="AL50" s="56"/>
      <c r="AM50" s="56"/>
      <c r="AN50" s="56"/>
      <c r="AO50" s="56"/>
      <c r="AP50" s="58">
        <f t="shared" si="0"/>
        <v>24</v>
      </c>
      <c r="AQ50" s="71">
        <f t="shared" si="1"/>
        <v>28.979166666666671</v>
      </c>
      <c r="AR50" s="71">
        <f>IFERROR(VLOOKUP(A50,Climatologia_TMED!A:U,9+$E$2,FALSE),"")</f>
        <v>27.21920614995987</v>
      </c>
      <c r="AS50" s="71">
        <f t="shared" si="2"/>
        <v>1.7599605167068013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>
        <v>29.9</v>
      </c>
      <c r="AF53" s="56">
        <v>27.15</v>
      </c>
      <c r="AG53" s="56">
        <v>28.1</v>
      </c>
      <c r="AH53" s="56">
        <v>28.3</v>
      </c>
      <c r="AI53" s="56"/>
      <c r="AJ53" s="56"/>
      <c r="AK53" s="56"/>
      <c r="AL53" s="56"/>
      <c r="AM53" s="56"/>
      <c r="AN53" s="56"/>
      <c r="AO53" s="56"/>
      <c r="AP53" s="58">
        <f t="shared" si="0"/>
        <v>24</v>
      </c>
      <c r="AQ53" s="71">
        <f t="shared" si="1"/>
        <v>28.812499999999996</v>
      </c>
      <c r="AR53" s="71">
        <f>IFERROR(VLOOKUP(A53,Climatologia_TMED!A:U,9+$E$2,FALSE),"")</f>
        <v>27.2190910764708</v>
      </c>
      <c r="AS53" s="71">
        <f t="shared" si="2"/>
        <v>1.5934089235291964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>
        <v>31.4</v>
      </c>
      <c r="AF54" s="56"/>
      <c r="AG54" s="56">
        <v>28.8</v>
      </c>
      <c r="AH54" s="56">
        <v>30.35</v>
      </c>
      <c r="AI54" s="56"/>
      <c r="AJ54" s="56"/>
      <c r="AK54" s="56"/>
      <c r="AL54" s="56"/>
      <c r="AM54" s="56"/>
      <c r="AN54" s="56"/>
      <c r="AO54" s="56"/>
      <c r="AP54" s="58">
        <f t="shared" si="0"/>
        <v>23</v>
      </c>
      <c r="AQ54" s="71">
        <f t="shared" si="1"/>
        <v>30.169565217391302</v>
      </c>
      <c r="AR54" s="71">
        <f>IFERROR(VLOOKUP(A54,Climatologia_TMED!A:U,9+$E$2,FALSE),"")</f>
        <v>28.41139216335926</v>
      </c>
      <c r="AS54" s="71">
        <f t="shared" si="2"/>
        <v>1.7581730540320422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>
        <v>30.05</v>
      </c>
      <c r="AF55" s="56">
        <v>29.85</v>
      </c>
      <c r="AG55" s="56"/>
      <c r="AH55" s="56">
        <v>30.8</v>
      </c>
      <c r="AI55" s="56"/>
      <c r="AJ55" s="56"/>
      <c r="AK55" s="56"/>
      <c r="AL55" s="56"/>
      <c r="AM55" s="56"/>
      <c r="AN55" s="56"/>
      <c r="AO55" s="56"/>
      <c r="AP55" s="58">
        <f t="shared" si="0"/>
        <v>22</v>
      </c>
      <c r="AQ55" s="71">
        <f t="shared" si="1"/>
        <v>30.53863636363636</v>
      </c>
      <c r="AR55" s="71">
        <f>IFERROR(VLOOKUP(A55,Climatologia_TMED!A:U,9+$E$2,FALSE),"")</f>
        <v>28.417502124868491</v>
      </c>
      <c r="AS55" s="71">
        <f t="shared" si="2"/>
        <v>2.1211342387678691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>
        <v>28.25</v>
      </c>
      <c r="AF59" s="56">
        <v>28.35</v>
      </c>
      <c r="AG59" s="56">
        <v>27.2</v>
      </c>
      <c r="AH59" s="56">
        <v>28.1</v>
      </c>
      <c r="AI59" s="56"/>
      <c r="AJ59" s="56"/>
      <c r="AK59" s="56"/>
      <c r="AL59" s="56"/>
      <c r="AM59" s="56"/>
      <c r="AN59" s="56"/>
      <c r="AO59" s="56"/>
      <c r="AP59" s="58">
        <f t="shared" si="0"/>
        <v>24</v>
      </c>
      <c r="AQ59" s="71">
        <f t="shared" si="1"/>
        <v>28.806250000000006</v>
      </c>
      <c r="AR59" s="71">
        <f>IFERROR(VLOOKUP(A59,Climatologia_TMED!A:U,9+$E$2,FALSE),"")</f>
        <v>27.95576397141701</v>
      </c>
      <c r="AS59" s="71">
        <f t="shared" si="2"/>
        <v>0.8504860285829956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>
        <v>25.65</v>
      </c>
      <c r="Z60" s="56">
        <v>25.1</v>
      </c>
      <c r="AA60" s="56">
        <v>25.65</v>
      </c>
      <c r="AB60" s="56">
        <v>26.4</v>
      </c>
      <c r="AC60" s="56"/>
      <c r="AD60" s="56">
        <v>26.65</v>
      </c>
      <c r="AE60" s="56">
        <v>24.5</v>
      </c>
      <c r="AF60" s="56">
        <v>25.4</v>
      </c>
      <c r="AG60" s="56">
        <v>24.65</v>
      </c>
      <c r="AH60" s="56">
        <v>26.15</v>
      </c>
      <c r="AI60" s="56"/>
      <c r="AJ60" s="56"/>
      <c r="AK60" s="56"/>
      <c r="AL60" s="56"/>
      <c r="AM60" s="56"/>
      <c r="AN60" s="56"/>
      <c r="AO60" s="56"/>
      <c r="AP60" s="58">
        <f t="shared" si="0"/>
        <v>16</v>
      </c>
      <c r="AQ60" s="71">
        <f t="shared" si="1"/>
        <v>25.62812499999999</v>
      </c>
      <c r="AR60" s="71">
        <f>IFERROR(VLOOKUP(A60,Climatologia_TMED!A:U,9+$E$2,FALSE),"")</f>
        <v>24.593803323854988</v>
      </c>
      <c r="AS60" s="71">
        <f t="shared" si="2"/>
        <v>1.0343216761450016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>
        <v>25.9</v>
      </c>
      <c r="AF61" s="56">
        <v>26.2</v>
      </c>
      <c r="AG61" s="56">
        <v>26.85</v>
      </c>
      <c r="AH61" s="56">
        <v>27.5</v>
      </c>
      <c r="AI61" s="56"/>
      <c r="AJ61" s="56"/>
      <c r="AK61" s="56"/>
      <c r="AL61" s="56"/>
      <c r="AM61" s="56"/>
      <c r="AN61" s="56"/>
      <c r="AO61" s="56"/>
      <c r="AP61" s="58">
        <f t="shared" si="0"/>
        <v>24</v>
      </c>
      <c r="AQ61" s="71">
        <f t="shared" si="1"/>
        <v>27.091666666666672</v>
      </c>
      <c r="AR61" s="71">
        <f>IFERROR(VLOOKUP(A61,Climatologia_TMED!A:U,9+$E$2,FALSE),"")</f>
        <v>26.14540821795481</v>
      </c>
      <c r="AS61" s="71">
        <f t="shared" si="2"/>
        <v>0.9462584487118626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>
        <v>27.2</v>
      </c>
      <c r="AE62" s="56">
        <v>27.8</v>
      </c>
      <c r="AF62" s="56">
        <v>26.93333333333333</v>
      </c>
      <c r="AG62" s="56">
        <v>26.2</v>
      </c>
      <c r="AH62" s="56">
        <v>27.6</v>
      </c>
      <c r="AI62" s="56"/>
      <c r="AJ62" s="56"/>
      <c r="AK62" s="56"/>
      <c r="AL62" s="56"/>
      <c r="AM62" s="56"/>
      <c r="AN62" s="56"/>
      <c r="AO62" s="56"/>
      <c r="AP62" s="58">
        <f t="shared" si="0"/>
        <v>24</v>
      </c>
      <c r="AQ62" s="71">
        <f t="shared" si="1"/>
        <v>26.791666666666661</v>
      </c>
      <c r="AR62" s="71">
        <f>IFERROR(VLOOKUP(A62,Climatologia_TMED!A:U,9+$E$2,FALSE),"")</f>
        <v>25.12904940316772</v>
      </c>
      <c r="AS62" s="71">
        <f t="shared" si="2"/>
        <v>1.6626172634989409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>
        <v>25.05</v>
      </c>
      <c r="AF65" s="56">
        <v>26.75</v>
      </c>
      <c r="AG65" s="56">
        <v>25.35</v>
      </c>
      <c r="AH65" s="56">
        <v>27.3</v>
      </c>
      <c r="AI65" s="56"/>
      <c r="AJ65" s="56"/>
      <c r="AK65" s="56"/>
      <c r="AL65" s="56"/>
      <c r="AM65" s="56"/>
      <c r="AN65" s="56"/>
      <c r="AO65" s="56"/>
      <c r="AP65" s="58">
        <f t="shared" si="0"/>
        <v>24</v>
      </c>
      <c r="AQ65" s="71">
        <f t="shared" si="1"/>
        <v>26.029166666666665</v>
      </c>
      <c r="AR65" s="71">
        <f>IFERROR(VLOOKUP(A65,Climatologia_TMED!A:U,9+$E$2,FALSE),"")</f>
        <v>25.359269039673709</v>
      </c>
      <c r="AS65" s="71">
        <f t="shared" si="2"/>
        <v>0.66989762699295596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>
        <v>24.7</v>
      </c>
      <c r="AF66" s="56">
        <v>25.85</v>
      </c>
      <c r="AG66" s="56">
        <v>24.2</v>
      </c>
      <c r="AH66" s="56">
        <v>27.05</v>
      </c>
      <c r="AI66" s="56"/>
      <c r="AJ66" s="56"/>
      <c r="AK66" s="56"/>
      <c r="AL66" s="56"/>
      <c r="AM66" s="56"/>
      <c r="AN66" s="56"/>
      <c r="AO66" s="56"/>
      <c r="AP66" s="58">
        <f t="shared" si="0"/>
        <v>24</v>
      </c>
      <c r="AQ66" s="71">
        <f t="shared" si="1"/>
        <v>25.908333333333335</v>
      </c>
      <c r="AR66" s="71">
        <f>IFERROR(VLOOKUP(A66,Climatologia_TMED!A:U,9+$E$2,FALSE),"")</f>
        <v>25.449219842417062</v>
      </c>
      <c r="AS66" s="71">
        <f t="shared" si="2"/>
        <v>0.45911349091627329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>
        <v>25.6</v>
      </c>
      <c r="AF67" s="56">
        <v>25.25</v>
      </c>
      <c r="AG67" s="56">
        <v>25.05</v>
      </c>
      <c r="AH67" s="56">
        <v>27.95</v>
      </c>
      <c r="AI67" s="56"/>
      <c r="AJ67" s="56"/>
      <c r="AK67" s="56"/>
      <c r="AL67" s="56"/>
      <c r="AM67" s="56"/>
      <c r="AN67" s="56"/>
      <c r="AO67" s="56"/>
      <c r="AP67" s="58">
        <f t="shared" si="0"/>
        <v>23</v>
      </c>
      <c r="AQ67" s="71">
        <f t="shared" si="1"/>
        <v>26.293478260869566</v>
      </c>
      <c r="AR67" s="71">
        <f>IFERROR(VLOOKUP(A67,Climatologia_TMED!A:U,9+$E$2,FALSE),"")</f>
        <v>25.277101656093599</v>
      </c>
      <c r="AS67" s="71">
        <f t="shared" si="2"/>
        <v>1.0163766047759673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>
        <v>25.45</v>
      </c>
      <c r="AF68" s="56"/>
      <c r="AG68" s="56"/>
      <c r="AH68" s="56">
        <v>25.274999999999999</v>
      </c>
      <c r="AI68" s="56"/>
      <c r="AJ68" s="56"/>
      <c r="AK68" s="56"/>
      <c r="AL68" s="56"/>
      <c r="AM68" s="56"/>
      <c r="AN68" s="56"/>
      <c r="AO68" s="56"/>
      <c r="AP68" s="58">
        <f t="shared" si="0"/>
        <v>22</v>
      </c>
      <c r="AQ68" s="71">
        <f t="shared" si="1"/>
        <v>25.721590909090903</v>
      </c>
      <c r="AR68" s="71">
        <f>IFERROR(VLOOKUP(A68,Climatologia_TMED!A:U,9+$E$2,FALSE),"")</f>
        <v>25.105050309426691</v>
      </c>
      <c r="AS68" s="71">
        <f t="shared" si="2"/>
        <v>0.61654059966421215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>
        <v>24.45</v>
      </c>
      <c r="AF69" s="56">
        <v>24.95</v>
      </c>
      <c r="AG69" s="56">
        <v>24</v>
      </c>
      <c r="AH69" s="56">
        <v>25.6</v>
      </c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24</v>
      </c>
      <c r="AQ69" s="71">
        <f t="shared" ref="AQ69:AQ132" si="4">IF(AP69&gt;14,AVERAGE(K69:AO69),"")</f>
        <v>25.397916666666671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0.53818253244837067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>
        <v>27.733333333333331</v>
      </c>
      <c r="AF70" s="56">
        <v>27.4</v>
      </c>
      <c r="AG70" s="56">
        <v>25.6</v>
      </c>
      <c r="AH70" s="56">
        <v>26.86666666666666</v>
      </c>
      <c r="AI70" s="56"/>
      <c r="AJ70" s="56"/>
      <c r="AK70" s="56"/>
      <c r="AL70" s="56"/>
      <c r="AM70" s="56"/>
      <c r="AN70" s="56"/>
      <c r="AO70" s="56"/>
      <c r="AP70" s="58">
        <f t="shared" si="3"/>
        <v>20</v>
      </c>
      <c r="AQ70" s="71">
        <f t="shared" si="4"/>
        <v>27.351666666666667</v>
      </c>
      <c r="AR70" s="71">
        <f>IFERROR(VLOOKUP(A70,Climatologia_TMED!A:U,9+$E$2,FALSE),"")</f>
        <v>26.28861277959394</v>
      </c>
      <c r="AS70" s="71">
        <f t="shared" si="5"/>
        <v>1.0630538870727264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>
        <v>26.43333333333333</v>
      </c>
      <c r="AF71" s="56">
        <v>26.266666666666669</v>
      </c>
      <c r="AG71" s="56">
        <v>24.466666666666669</v>
      </c>
      <c r="AH71" s="56">
        <v>27.166666666666671</v>
      </c>
      <c r="AI71" s="56"/>
      <c r="AJ71" s="56"/>
      <c r="AK71" s="56"/>
      <c r="AL71" s="56"/>
      <c r="AM71" s="56"/>
      <c r="AN71" s="56"/>
      <c r="AO71" s="56"/>
      <c r="AP71" s="58">
        <f t="shared" si="3"/>
        <v>24</v>
      </c>
      <c r="AQ71" s="71">
        <f t="shared" si="4"/>
        <v>26.43472222222222</v>
      </c>
      <c r="AR71" s="71">
        <f>IFERROR(VLOOKUP(A71,Climatologia_TMED!A:U,9+$E$2,FALSE),"")</f>
        <v>26.117252164977831</v>
      </c>
      <c r="AS71" s="71">
        <f t="shared" si="5"/>
        <v>0.31747005724438893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>
        <v>25.93333333333333</v>
      </c>
      <c r="AF72" s="56">
        <v>23.93333333333333</v>
      </c>
      <c r="AG72" s="56">
        <v>26.166666666666671</v>
      </c>
      <c r="AH72" s="56">
        <v>27.466666666666669</v>
      </c>
      <c r="AI72" s="56"/>
      <c r="AJ72" s="56"/>
      <c r="AK72" s="56"/>
      <c r="AL72" s="56"/>
      <c r="AM72" s="56"/>
      <c r="AN72" s="56"/>
      <c r="AO72" s="56"/>
      <c r="AP72" s="58">
        <f t="shared" si="3"/>
        <v>23</v>
      </c>
      <c r="AQ72" s="71">
        <f t="shared" si="4"/>
        <v>25.975362318840578</v>
      </c>
      <c r="AR72" s="71">
        <f>IFERROR(VLOOKUP(A72,Climatologia_TMED!A:U,9+$E$2,FALSE),"")</f>
        <v>25.27783516958878</v>
      </c>
      <c r="AS72" s="71">
        <f t="shared" si="5"/>
        <v>0.6975271492517976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>
        <v>26.2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>
        <v>21.05</v>
      </c>
      <c r="AC74" s="56">
        <v>23.3</v>
      </c>
      <c r="AD74" s="56">
        <v>21.7</v>
      </c>
      <c r="AE74" s="56">
        <v>21.55</v>
      </c>
      <c r="AF74" s="56">
        <v>21.6</v>
      </c>
      <c r="AG74" s="56">
        <v>21.1</v>
      </c>
      <c r="AH74" s="56">
        <v>23.4</v>
      </c>
      <c r="AI74" s="56"/>
      <c r="AJ74" s="56"/>
      <c r="AK74" s="56"/>
      <c r="AL74" s="56"/>
      <c r="AM74" s="56"/>
      <c r="AN74" s="56"/>
      <c r="AO74" s="56"/>
      <c r="AP74" s="58">
        <f t="shared" si="3"/>
        <v>24</v>
      </c>
      <c r="AQ74" s="71">
        <f t="shared" si="4"/>
        <v>21.443750000000005</v>
      </c>
      <c r="AR74" s="71">
        <f>IFERROR(VLOOKUP(A74,Climatologia_TMED!A:U,9+$E$2,FALSE),"")</f>
        <v>20.33780487249993</v>
      </c>
      <c r="AS74" s="71">
        <f t="shared" si="5"/>
        <v>1.1059451275000747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>
        <v>16.8</v>
      </c>
      <c r="AF75" s="56">
        <v>15.33333333333333</v>
      </c>
      <c r="AG75" s="56">
        <v>15.266666666666669</v>
      </c>
      <c r="AH75" s="56">
        <v>17.13333333333334</v>
      </c>
      <c r="AI75" s="56"/>
      <c r="AJ75" s="56"/>
      <c r="AK75" s="56"/>
      <c r="AL75" s="56"/>
      <c r="AM75" s="56"/>
      <c r="AN75" s="56"/>
      <c r="AO75" s="56"/>
      <c r="AP75" s="58">
        <f t="shared" si="3"/>
        <v>23</v>
      </c>
      <c r="AQ75" s="71">
        <f t="shared" si="4"/>
        <v>15.904347826086955</v>
      </c>
      <c r="AR75" s="71">
        <f>IFERROR(VLOOKUP(A75,Climatologia_TMED!A:U,9+$E$2,FALSE),"")</f>
        <v>15.196816531610249</v>
      </c>
      <c r="AS75" s="71">
        <f t="shared" si="5"/>
        <v>0.7075312944767056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>
        <v>21.85</v>
      </c>
      <c r="AF76" s="56">
        <v>20.6</v>
      </c>
      <c r="AG76" s="56">
        <v>20.7</v>
      </c>
      <c r="AH76" s="56">
        <v>21.55</v>
      </c>
      <c r="AI76" s="56"/>
      <c r="AJ76" s="56"/>
      <c r="AK76" s="56"/>
      <c r="AL76" s="56"/>
      <c r="AM76" s="56"/>
      <c r="AN76" s="56"/>
      <c r="AO76" s="56"/>
      <c r="AP76" s="58">
        <f t="shared" si="3"/>
        <v>24</v>
      </c>
      <c r="AQ76" s="71">
        <f t="shared" si="4"/>
        <v>20.835416666666664</v>
      </c>
      <c r="AR76" s="71">
        <f>IFERROR(VLOOKUP(A76,Climatologia_TMED!A:U,9+$E$2,FALSE),"")</f>
        <v>19.97314578052206</v>
      </c>
      <c r="AS76" s="71">
        <f t="shared" si="5"/>
        <v>0.86227088614460357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>
        <v>25.733333333333331</v>
      </c>
      <c r="AF77" s="56">
        <v>24.266666666666669</v>
      </c>
      <c r="AG77" s="56">
        <v>24.733333333333331</v>
      </c>
      <c r="AH77" s="56">
        <v>26.333333333333329</v>
      </c>
      <c r="AI77" s="56"/>
      <c r="AJ77" s="56"/>
      <c r="AK77" s="56"/>
      <c r="AL77" s="56"/>
      <c r="AM77" s="56"/>
      <c r="AN77" s="56"/>
      <c r="AO77" s="56"/>
      <c r="AP77" s="58">
        <f t="shared" si="3"/>
        <v>24</v>
      </c>
      <c r="AQ77" s="71">
        <f t="shared" si="4"/>
        <v>24.819444444444443</v>
      </c>
      <c r="AR77" s="71">
        <f>IFERROR(VLOOKUP(A77,Climatologia_TMED!A:U,9+$E$2,FALSE),"")</f>
        <v>23.041557017477079</v>
      </c>
      <c r="AS77" s="71">
        <f t="shared" si="5"/>
        <v>1.7778874269673643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>
        <v>33.700000000000003</v>
      </c>
      <c r="AE78" s="56">
        <v>33.400000000000013</v>
      </c>
      <c r="AF78" s="56">
        <v>31.4</v>
      </c>
      <c r="AG78" s="56">
        <v>31.2</v>
      </c>
      <c r="AH78" s="56">
        <v>33.6</v>
      </c>
      <c r="AI78" s="56"/>
      <c r="AJ78" s="56"/>
      <c r="AK78" s="56"/>
      <c r="AL78" s="56"/>
      <c r="AM78" s="56"/>
      <c r="AN78" s="56"/>
      <c r="AO78" s="56"/>
      <c r="AP78" s="58">
        <f t="shared" si="3"/>
        <v>24</v>
      </c>
      <c r="AQ78" s="71">
        <f t="shared" si="4"/>
        <v>32.216666666666661</v>
      </c>
      <c r="AR78" s="71">
        <f>IFERROR(VLOOKUP(A78,Climatologia_TMED!A:U,9+$E$2,FALSE),"")</f>
        <v>30.200545349460899</v>
      </c>
      <c r="AS78" s="71">
        <f t="shared" si="5"/>
        <v>2.0161213172057622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>
        <v>33.533333333333331</v>
      </c>
      <c r="AF79" s="56">
        <v>31</v>
      </c>
      <c r="AG79" s="56">
        <v>32.266666666666673</v>
      </c>
      <c r="AH79" s="56">
        <v>32.866666666666667</v>
      </c>
      <c r="AI79" s="56"/>
      <c r="AJ79" s="56"/>
      <c r="AK79" s="56"/>
      <c r="AL79" s="56"/>
      <c r="AM79" s="56"/>
      <c r="AN79" s="56"/>
      <c r="AO79" s="56"/>
      <c r="AP79" s="58">
        <f t="shared" si="3"/>
        <v>24</v>
      </c>
      <c r="AQ79" s="71">
        <f t="shared" si="4"/>
        <v>31.861111111111111</v>
      </c>
      <c r="AR79" s="71">
        <f>IFERROR(VLOOKUP(A79,Climatologia_TMED!A:U,9+$E$2,FALSE),"")</f>
        <v>30.2833215669562</v>
      </c>
      <c r="AS79" s="71">
        <f t="shared" si="5"/>
        <v>1.5777895441549106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>
        <v>20.8</v>
      </c>
      <c r="AF80" s="56">
        <v>20.2</v>
      </c>
      <c r="AG80" s="56">
        <v>20.733333333333331</v>
      </c>
      <c r="AH80" s="56">
        <v>22</v>
      </c>
      <c r="AI80" s="56"/>
      <c r="AJ80" s="56"/>
      <c r="AK80" s="56"/>
      <c r="AL80" s="56"/>
      <c r="AM80" s="56"/>
      <c r="AN80" s="56"/>
      <c r="AO80" s="56"/>
      <c r="AP80" s="58">
        <f t="shared" si="3"/>
        <v>24</v>
      </c>
      <c r="AQ80" s="71">
        <f t="shared" si="4"/>
        <v>21.183333333333334</v>
      </c>
      <c r="AR80" s="71">
        <f>IFERROR(VLOOKUP(A80,Climatologia_TMED!A:U,9+$E$2,FALSE),"")</f>
        <v>19.906859619029429</v>
      </c>
      <c r="AS80" s="71">
        <f t="shared" si="5"/>
        <v>1.2764737143039042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>
        <v>26.65</v>
      </c>
      <c r="AF81" s="56">
        <v>25.2</v>
      </c>
      <c r="AG81" s="56">
        <v>24.15</v>
      </c>
      <c r="AH81" s="56">
        <v>25.2</v>
      </c>
      <c r="AI81" s="56"/>
      <c r="AJ81" s="56"/>
      <c r="AK81" s="56"/>
      <c r="AL81" s="56"/>
      <c r="AM81" s="56"/>
      <c r="AN81" s="56"/>
      <c r="AO81" s="56"/>
      <c r="AP81" s="58">
        <f t="shared" si="3"/>
        <v>24</v>
      </c>
      <c r="AQ81" s="71">
        <f t="shared" si="4"/>
        <v>25.093750000000004</v>
      </c>
      <c r="AR81" s="71">
        <f>IFERROR(VLOOKUP(A81,Climatologia_TMED!A:U,9+$E$2,FALSE),"")</f>
        <v>24.759854360077661</v>
      </c>
      <c r="AS81" s="71">
        <f t="shared" si="5"/>
        <v>0.33389563992234272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>
        <v>27.13333333333334</v>
      </c>
      <c r="AF82" s="56">
        <v>26.8</v>
      </c>
      <c r="AG82" s="56">
        <v>26</v>
      </c>
      <c r="AH82" s="56">
        <v>27.533333333333331</v>
      </c>
      <c r="AI82" s="56"/>
      <c r="AJ82" s="56"/>
      <c r="AK82" s="56"/>
      <c r="AL82" s="56"/>
      <c r="AM82" s="56"/>
      <c r="AN82" s="56"/>
      <c r="AO82" s="56"/>
      <c r="AP82" s="58">
        <f t="shared" si="3"/>
        <v>23</v>
      </c>
      <c r="AQ82" s="71">
        <f t="shared" si="4"/>
        <v>26.70724637681159</v>
      </c>
      <c r="AR82" s="71">
        <f>IFERROR(VLOOKUP(A82,Climatologia_TMED!A:U,9+$E$2,FALSE),"")</f>
        <v>25.773428481765642</v>
      </c>
      <c r="AS82" s="71">
        <f t="shared" si="5"/>
        <v>0.93381789504594792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>
        <v>32.75</v>
      </c>
      <c r="AF85" s="56">
        <v>30.45</v>
      </c>
      <c r="AG85" s="56">
        <v>31.8</v>
      </c>
      <c r="AH85" s="56">
        <v>31.45</v>
      </c>
      <c r="AI85" s="56"/>
      <c r="AJ85" s="56"/>
      <c r="AK85" s="56"/>
      <c r="AL85" s="56"/>
      <c r="AM85" s="56"/>
      <c r="AN85" s="56"/>
      <c r="AO85" s="56"/>
      <c r="AP85" s="58">
        <f t="shared" si="3"/>
        <v>24</v>
      </c>
      <c r="AQ85" s="71">
        <f t="shared" si="4"/>
        <v>31.981250000000003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>
        <v>29.7</v>
      </c>
      <c r="AF86" s="56">
        <v>29.55</v>
      </c>
      <c r="AG86" s="56">
        <v>29.75</v>
      </c>
      <c r="AH86" s="56">
        <v>30.2</v>
      </c>
      <c r="AI86" s="56"/>
      <c r="AJ86" s="56"/>
      <c r="AK86" s="56"/>
      <c r="AL86" s="56"/>
      <c r="AM86" s="56"/>
      <c r="AN86" s="56"/>
      <c r="AO86" s="56"/>
      <c r="AP86" s="58">
        <f t="shared" si="3"/>
        <v>22</v>
      </c>
      <c r="AQ86" s="71">
        <f t="shared" si="4"/>
        <v>30.290909090909089</v>
      </c>
      <c r="AR86" s="71">
        <f>IFERROR(VLOOKUP(A86,Climatologia_TMED!A:U,9+$E$2,FALSE),"")</f>
        <v>28.83382033964488</v>
      </c>
      <c r="AS86" s="71">
        <f t="shared" si="5"/>
        <v>1.4570887512642088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>
        <v>31.65</v>
      </c>
      <c r="AF87" s="56">
        <v>28.1</v>
      </c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20</v>
      </c>
      <c r="AQ87" s="71">
        <f t="shared" si="4"/>
        <v>30.82375</v>
      </c>
      <c r="AR87" s="71">
        <f>IFERROR(VLOOKUP(A87,Climatologia_TMED!A:U,9+$E$2,FALSE),"")</f>
        <v>28.894325312819621</v>
      </c>
      <c r="AS87" s="71">
        <f t="shared" si="5"/>
        <v>1.9294246871803793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>
        <v>31.75</v>
      </c>
      <c r="AF88" s="56">
        <v>31.2</v>
      </c>
      <c r="AG88" s="56">
        <v>27.9</v>
      </c>
      <c r="AH88" s="56">
        <v>31</v>
      </c>
      <c r="AI88" s="56"/>
      <c r="AJ88" s="56"/>
      <c r="AK88" s="56"/>
      <c r="AL88" s="56"/>
      <c r="AM88" s="56"/>
      <c r="AN88" s="56"/>
      <c r="AO88" s="56"/>
      <c r="AP88" s="58">
        <f t="shared" si="3"/>
        <v>24</v>
      </c>
      <c r="AQ88" s="71">
        <f t="shared" si="4"/>
        <v>30.314583333333335</v>
      </c>
      <c r="AR88" s="71">
        <f>IFERROR(VLOOKUP(A88,Climatologia_TMED!A:U,9+$E$2,FALSE),"")</f>
        <v>28.344159946236552</v>
      </c>
      <c r="AS88" s="71">
        <f t="shared" si="5"/>
        <v>1.9704233870967833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>
        <v>34.299999999999997</v>
      </c>
      <c r="AF89" s="56">
        <v>33.200000000000003</v>
      </c>
      <c r="AG89" s="56"/>
      <c r="AH89" s="56">
        <v>30.4</v>
      </c>
      <c r="AI89" s="56"/>
      <c r="AJ89" s="56"/>
      <c r="AK89" s="56"/>
      <c r="AL89" s="56"/>
      <c r="AM89" s="56"/>
      <c r="AN89" s="56"/>
      <c r="AO89" s="56"/>
      <c r="AP89" s="58">
        <f t="shared" si="3"/>
        <v>20</v>
      </c>
      <c r="AQ89" s="71">
        <f t="shared" si="4"/>
        <v>32.852500000000006</v>
      </c>
      <c r="AR89" s="71">
        <f>IFERROR(VLOOKUP(A89,Climatologia_TMED!A:U,9+$E$2,FALSE),"")</f>
        <v>29.044183635472439</v>
      </c>
      <c r="AS89" s="71">
        <f t="shared" si="5"/>
        <v>3.8083163645275668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>
        <v>32.35</v>
      </c>
      <c r="AF90" s="56">
        <v>31.6</v>
      </c>
      <c r="AG90" s="56">
        <v>30.15</v>
      </c>
      <c r="AH90" s="56">
        <v>31.7</v>
      </c>
      <c r="AI90" s="56"/>
      <c r="AJ90" s="56"/>
      <c r="AK90" s="56"/>
      <c r="AL90" s="56"/>
      <c r="AM90" s="56"/>
      <c r="AN90" s="56"/>
      <c r="AO90" s="56"/>
      <c r="AP90" s="58">
        <f t="shared" si="3"/>
        <v>24</v>
      </c>
      <c r="AQ90" s="71">
        <f t="shared" si="4"/>
        <v>32.228124999999999</v>
      </c>
      <c r="AR90" s="71">
        <f>IFERROR(VLOOKUP(A90,Climatologia_TMED!A:U,9+$E$2,FALSE),"")</f>
        <v>28.656630487957131</v>
      </c>
      <c r="AS90" s="71">
        <f t="shared" si="5"/>
        <v>3.5714945120428681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>
        <v>30.55</v>
      </c>
      <c r="AF91" s="56">
        <v>30.5</v>
      </c>
      <c r="AG91" s="56">
        <v>28.7</v>
      </c>
      <c r="AH91" s="56">
        <v>31.8</v>
      </c>
      <c r="AI91" s="56"/>
      <c r="AJ91" s="56"/>
      <c r="AK91" s="56"/>
      <c r="AL91" s="56"/>
      <c r="AM91" s="56"/>
      <c r="AN91" s="56"/>
      <c r="AO91" s="56"/>
      <c r="AP91" s="58">
        <f t="shared" si="3"/>
        <v>21</v>
      </c>
      <c r="AQ91" s="71">
        <f t="shared" si="4"/>
        <v>32.069047619047616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>
        <v>18</v>
      </c>
      <c r="AF92" s="56">
        <v>17.850000000000001</v>
      </c>
      <c r="AG92" s="56">
        <v>17.25</v>
      </c>
      <c r="AH92" s="56">
        <v>19.399999999999999</v>
      </c>
      <c r="AI92" s="56"/>
      <c r="AJ92" s="56"/>
      <c r="AK92" s="56"/>
      <c r="AL92" s="56"/>
      <c r="AM92" s="56"/>
      <c r="AN92" s="56"/>
      <c r="AO92" s="56"/>
      <c r="AP92" s="58">
        <f t="shared" si="3"/>
        <v>24</v>
      </c>
      <c r="AQ92" s="71">
        <f t="shared" si="4"/>
        <v>17.916666666666664</v>
      </c>
      <c r="AR92" s="71">
        <f>IFERROR(VLOOKUP(A92,Climatologia_TMED!A:U,9+$E$2,FALSE),"")</f>
        <v>16.21673046594978</v>
      </c>
      <c r="AS92" s="71">
        <f t="shared" si="5"/>
        <v>1.6999362007168841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>
        <v>25.666666666666671</v>
      </c>
      <c r="AF93" s="56">
        <v>25.466666666666669</v>
      </c>
      <c r="AG93" s="56">
        <v>25.06666666666667</v>
      </c>
      <c r="AH93" s="56">
        <v>26.333333333333329</v>
      </c>
      <c r="AI93" s="56"/>
      <c r="AJ93" s="56"/>
      <c r="AK93" s="56"/>
      <c r="AL93" s="56"/>
      <c r="AM93" s="56"/>
      <c r="AN93" s="56"/>
      <c r="AO93" s="56"/>
      <c r="AP93" s="58">
        <f t="shared" si="3"/>
        <v>24</v>
      </c>
      <c r="AQ93" s="71">
        <f t="shared" si="4"/>
        <v>24.979166666666671</v>
      </c>
      <c r="AR93" s="71">
        <f>IFERROR(VLOOKUP(A93,Climatologia_TMED!A:U,9+$E$2,FALSE),"")</f>
        <v>22.373011505376319</v>
      </c>
      <c r="AS93" s="71">
        <f t="shared" si="5"/>
        <v>2.6061551612903529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>
        <v>17.600000000000001</v>
      </c>
      <c r="AF94" s="56">
        <v>16.3</v>
      </c>
      <c r="AG94" s="56">
        <v>15.2</v>
      </c>
      <c r="AH94" s="56">
        <v>15.9</v>
      </c>
      <c r="AI94" s="56"/>
      <c r="AJ94" s="56"/>
      <c r="AK94" s="56"/>
      <c r="AL94" s="56"/>
      <c r="AM94" s="56"/>
      <c r="AN94" s="56"/>
      <c r="AO94" s="56"/>
      <c r="AP94" s="58">
        <f t="shared" si="3"/>
        <v>22</v>
      </c>
      <c r="AQ94" s="71">
        <f t="shared" si="4"/>
        <v>17.349999999999998</v>
      </c>
      <c r="AR94" s="71">
        <f>IFERROR(VLOOKUP(A94,Climatologia_TMED!A:U,9+$E$2,FALSE),"")</f>
        <v>16.186325847907689</v>
      </c>
      <c r="AS94" s="71">
        <f t="shared" si="5"/>
        <v>1.1636741520923088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>
        <v>15.65</v>
      </c>
      <c r="AF95" s="56">
        <v>15</v>
      </c>
      <c r="AG95" s="56">
        <v>14.25</v>
      </c>
      <c r="AH95" s="56">
        <v>14.75</v>
      </c>
      <c r="AI95" s="56"/>
      <c r="AJ95" s="56"/>
      <c r="AK95" s="56"/>
      <c r="AL95" s="56"/>
      <c r="AM95" s="56"/>
      <c r="AN95" s="56"/>
      <c r="AO95" s="56"/>
      <c r="AP95" s="58">
        <f t="shared" si="3"/>
        <v>24</v>
      </c>
      <c r="AQ95" s="71">
        <f t="shared" si="4"/>
        <v>15.191666666666668</v>
      </c>
      <c r="AR95" s="71">
        <f>IFERROR(VLOOKUP(A95,Climatologia_TMED!A:U,9+$E$2,FALSE),"")</f>
        <v>13.65433628672837</v>
      </c>
      <c r="AS95" s="71">
        <f t="shared" si="5"/>
        <v>1.5373303799382985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>
        <v>15.25</v>
      </c>
      <c r="AF97" s="56">
        <v>15</v>
      </c>
      <c r="AG97" s="56">
        <v>16.266666666666669</v>
      </c>
      <c r="AH97" s="56">
        <v>15.6</v>
      </c>
      <c r="AI97" s="56"/>
      <c r="AJ97" s="56"/>
      <c r="AK97" s="56"/>
      <c r="AL97" s="56"/>
      <c r="AM97" s="56"/>
      <c r="AN97" s="56"/>
      <c r="AO97" s="56"/>
      <c r="AP97" s="58">
        <f t="shared" si="3"/>
        <v>6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>
        <v>13.65</v>
      </c>
      <c r="AF98" s="56">
        <v>13.35</v>
      </c>
      <c r="AG98" s="56">
        <v>12.75</v>
      </c>
      <c r="AH98" s="56">
        <v>12.8</v>
      </c>
      <c r="AI98" s="56"/>
      <c r="AJ98" s="56"/>
      <c r="AK98" s="56"/>
      <c r="AL98" s="56"/>
      <c r="AM98" s="56"/>
      <c r="AN98" s="56"/>
      <c r="AO98" s="56"/>
      <c r="AP98" s="58">
        <f t="shared" si="3"/>
        <v>24</v>
      </c>
      <c r="AQ98" s="71">
        <f t="shared" si="4"/>
        <v>13.11875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>
        <v>14.766666666666669</v>
      </c>
      <c r="AF99" s="56">
        <v>15.06666666666667</v>
      </c>
      <c r="AG99" s="56">
        <v>13.53333333333333</v>
      </c>
      <c r="AH99" s="56">
        <v>14.66666666666667</v>
      </c>
      <c r="AI99" s="56"/>
      <c r="AJ99" s="56"/>
      <c r="AK99" s="56"/>
      <c r="AL99" s="56"/>
      <c r="AM99" s="56"/>
      <c r="AN99" s="56"/>
      <c r="AO99" s="56"/>
      <c r="AP99" s="58">
        <f t="shared" si="3"/>
        <v>24</v>
      </c>
      <c r="AQ99" s="71">
        <f t="shared" si="4"/>
        <v>15.06388888888889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>
        <v>16.466666666666669</v>
      </c>
      <c r="AF100" s="56"/>
      <c r="AG100" s="56"/>
      <c r="AH100" s="56">
        <v>16</v>
      </c>
      <c r="AI100" s="56"/>
      <c r="AJ100" s="56"/>
      <c r="AK100" s="56"/>
      <c r="AL100" s="56"/>
      <c r="AM100" s="56"/>
      <c r="AN100" s="56"/>
      <c r="AO100" s="56"/>
      <c r="AP100" s="58">
        <f t="shared" si="3"/>
        <v>21</v>
      </c>
      <c r="AQ100" s="71">
        <f t="shared" si="4"/>
        <v>16.123809523809523</v>
      </c>
      <c r="AR100" s="71">
        <f>IFERROR(VLOOKUP(A100,Climatologia_TMED!A:U,9+$E$2,FALSE),"")</f>
        <v>14.335275908930971</v>
      </c>
      <c r="AS100" s="71">
        <f t="shared" si="5"/>
        <v>1.7885336148785527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>
        <v>13.85</v>
      </c>
      <c r="AF101" s="56">
        <v>13.95</v>
      </c>
      <c r="AG101" s="56">
        <v>12.4</v>
      </c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23</v>
      </c>
      <c r="AQ101" s="71">
        <f t="shared" si="4"/>
        <v>13.528260869565214</v>
      </c>
      <c r="AR101" s="71">
        <f>IFERROR(VLOOKUP(A101,Climatologia_TMED!A:U,9+$E$2,FALSE),"")</f>
        <v>12.395793750638649</v>
      </c>
      <c r="AS101" s="71">
        <f t="shared" si="5"/>
        <v>1.1324671189265647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>
        <v>13.266666666666669</v>
      </c>
      <c r="AF102" s="56">
        <v>12.066666666666659</v>
      </c>
      <c r="AG102" s="56">
        <v>12.266666666666669</v>
      </c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20</v>
      </c>
      <c r="AQ102" s="71">
        <f t="shared" si="4"/>
        <v>13.026666666666667</v>
      </c>
      <c r="AR102" s="71">
        <f>IFERROR(VLOOKUP(A102,Climatologia_TMED!A:U,9+$E$2,FALSE),"")</f>
        <v>11.348393880387549</v>
      </c>
      <c r="AS102" s="71">
        <f t="shared" si="5"/>
        <v>1.678272786279118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>
        <v>19.600000000000001</v>
      </c>
      <c r="AF105" s="56">
        <v>19.266666666666669</v>
      </c>
      <c r="AG105" s="56">
        <v>16.866666666666671</v>
      </c>
      <c r="AH105" s="56">
        <v>19.399999999999999</v>
      </c>
      <c r="AI105" s="56"/>
      <c r="AJ105" s="56"/>
      <c r="AK105" s="56"/>
      <c r="AL105" s="56"/>
      <c r="AM105" s="56"/>
      <c r="AN105" s="56"/>
      <c r="AO105" s="56"/>
      <c r="AP105" s="58">
        <f t="shared" si="3"/>
        <v>20</v>
      </c>
      <c r="AQ105" s="71">
        <f t="shared" si="4"/>
        <v>18.830000000000002</v>
      </c>
      <c r="AR105" s="71">
        <f>IFERROR(VLOOKUP(A105,Climatologia_TMED!A:U,9+$E$2,FALSE),"")</f>
        <v>17.222389051882701</v>
      </c>
      <c r="AS105" s="71">
        <f t="shared" si="5"/>
        <v>1.6076109481173013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>
        <v>14.933333333333341</v>
      </c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17</v>
      </c>
      <c r="AQ107" s="71">
        <f t="shared" si="4"/>
        <v>14.107843137254903</v>
      </c>
      <c r="AR107" s="71">
        <f>IFERROR(VLOOKUP(A107,Climatologia_TMED!A:U,9+$E$2,FALSE),"")</f>
        <v>13.6270649143767</v>
      </c>
      <c r="AS107" s="71">
        <f t="shared" si="5"/>
        <v>0.48077822287820382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>
        <v>13.4</v>
      </c>
      <c r="AF108" s="56">
        <v>14.1</v>
      </c>
      <c r="AG108" s="56">
        <v>14.7</v>
      </c>
      <c r="AH108" s="56">
        <v>13</v>
      </c>
      <c r="AI108" s="56"/>
      <c r="AJ108" s="56"/>
      <c r="AK108" s="56"/>
      <c r="AL108" s="56"/>
      <c r="AM108" s="56"/>
      <c r="AN108" s="56"/>
      <c r="AO108" s="56"/>
      <c r="AP108" s="58">
        <f t="shared" si="3"/>
        <v>24</v>
      </c>
      <c r="AQ108" s="71">
        <f t="shared" si="4"/>
        <v>14.200000000000001</v>
      </c>
      <c r="AR108" s="71">
        <f>IFERROR(VLOOKUP(A108,Climatologia_TMED!A:U,9+$E$2,FALSE),"")</f>
        <v>14.24758963832916</v>
      </c>
      <c r="AS108" s="71">
        <f t="shared" si="5"/>
        <v>-4.7589638329158745E-2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>
        <v>14.55</v>
      </c>
      <c r="AF109" s="56">
        <v>14.65</v>
      </c>
      <c r="AG109" s="56">
        <v>14.3</v>
      </c>
      <c r="AH109" s="56">
        <v>14.25</v>
      </c>
      <c r="AI109" s="56"/>
      <c r="AJ109" s="56"/>
      <c r="AK109" s="56"/>
      <c r="AL109" s="56"/>
      <c r="AM109" s="56"/>
      <c r="AN109" s="56"/>
      <c r="AO109" s="56"/>
      <c r="AP109" s="58">
        <f t="shared" si="3"/>
        <v>24</v>
      </c>
      <c r="AQ109" s="71">
        <f t="shared" si="4"/>
        <v>14.847916666666665</v>
      </c>
      <c r="AR109" s="71">
        <f>IFERROR(VLOOKUP(A109,Climatologia_TMED!A:U,9+$E$2,FALSE),"")</f>
        <v>13.718935791090621</v>
      </c>
      <c r="AS109" s="71">
        <f t="shared" si="5"/>
        <v>1.128980875576044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>
        <v>17.600000000000001</v>
      </c>
      <c r="AF110" s="56">
        <v>17.266666666666669</v>
      </c>
      <c r="AG110" s="56">
        <v>16.86666666666666</v>
      </c>
      <c r="AH110" s="56">
        <v>17.600000000000001</v>
      </c>
      <c r="AI110" s="56"/>
      <c r="AJ110" s="56"/>
      <c r="AK110" s="56"/>
      <c r="AL110" s="56"/>
      <c r="AM110" s="56"/>
      <c r="AN110" s="56"/>
      <c r="AO110" s="56"/>
      <c r="AP110" s="58">
        <f t="shared" si="3"/>
        <v>20</v>
      </c>
      <c r="AQ110" s="71">
        <f t="shared" si="4"/>
        <v>17.576666666666668</v>
      </c>
      <c r="AR110" s="71">
        <f>IFERROR(VLOOKUP(A110,Climatologia_TMED!A:U,9+$E$2,FALSE),"")</f>
        <v>17.072890642646779</v>
      </c>
      <c r="AS110" s="71">
        <f t="shared" si="5"/>
        <v>0.50377602401988852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>
        <v>16.666666666666671</v>
      </c>
      <c r="AF111" s="56">
        <v>16.466666666666669</v>
      </c>
      <c r="AG111" s="56">
        <v>14.93333333333333</v>
      </c>
      <c r="AH111" s="56">
        <v>15.4</v>
      </c>
      <c r="AI111" s="56"/>
      <c r="AJ111" s="56"/>
      <c r="AK111" s="56"/>
      <c r="AL111" s="56"/>
      <c r="AM111" s="56"/>
      <c r="AN111" s="56"/>
      <c r="AO111" s="56"/>
      <c r="AP111" s="58">
        <f t="shared" si="3"/>
        <v>24</v>
      </c>
      <c r="AQ111" s="71">
        <f t="shared" si="4"/>
        <v>16.141666666666662</v>
      </c>
      <c r="AR111" s="71">
        <f>IFERROR(VLOOKUP(A111,Climatologia_TMED!A:U,9+$E$2,FALSE),"")</f>
        <v>15.45884618025514</v>
      </c>
      <c r="AS111" s="71">
        <f t="shared" si="5"/>
        <v>0.68282048641152215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>
        <v>18.466666666666669</v>
      </c>
      <c r="AF112" s="56">
        <v>18.06666666666667</v>
      </c>
      <c r="AG112" s="56">
        <v>16.533333333333331</v>
      </c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23</v>
      </c>
      <c r="AQ112" s="71">
        <f t="shared" si="4"/>
        <v>18.346376811594205</v>
      </c>
      <c r="AR112" s="71">
        <f>IFERROR(VLOOKUP(A112,Climatologia_TMED!A:U,9+$E$2,FALSE),"")</f>
        <v>16.69989368729069</v>
      </c>
      <c r="AS112" s="71">
        <f t="shared" si="5"/>
        <v>1.646483124303515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>
        <v>18.93333333333333</v>
      </c>
      <c r="AF113" s="56">
        <v>19</v>
      </c>
      <c r="AG113" s="56">
        <v>17.866666666666671</v>
      </c>
      <c r="AH113" s="56">
        <v>18.399999999999999</v>
      </c>
      <c r="AI113" s="56"/>
      <c r="AJ113" s="56"/>
      <c r="AK113" s="56"/>
      <c r="AL113" s="56"/>
      <c r="AM113" s="56"/>
      <c r="AN113" s="56"/>
      <c r="AO113" s="56"/>
      <c r="AP113" s="58">
        <f t="shared" si="3"/>
        <v>22</v>
      </c>
      <c r="AQ113" s="71">
        <f t="shared" si="4"/>
        <v>19.296969696969697</v>
      </c>
      <c r="AR113" s="71">
        <f>IFERROR(VLOOKUP(A113,Climatologia_TMED!A:U,9+$E$2,FALSE),"")</f>
        <v>18.084103151649959</v>
      </c>
      <c r="AS113" s="71">
        <f t="shared" si="5"/>
        <v>1.2128665453197378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>
        <v>21.8</v>
      </c>
      <c r="AF114" s="56">
        <v>22</v>
      </c>
      <c r="AG114" s="56">
        <v>20.133333333333329</v>
      </c>
      <c r="AH114" s="56">
        <v>21.86666666666666</v>
      </c>
      <c r="AI114" s="56"/>
      <c r="AJ114" s="56"/>
      <c r="AK114" s="56"/>
      <c r="AL114" s="56"/>
      <c r="AM114" s="56"/>
      <c r="AN114" s="56"/>
      <c r="AO114" s="56"/>
      <c r="AP114" s="58">
        <f t="shared" si="3"/>
        <v>21</v>
      </c>
      <c r="AQ114" s="71">
        <f t="shared" si="4"/>
        <v>22.301587301587301</v>
      </c>
      <c r="AR114" s="71">
        <f>IFERROR(VLOOKUP(A114,Climatologia_TMED!A:U,9+$E$2,FALSE),"")</f>
        <v>20.406627759107511</v>
      </c>
      <c r="AS114" s="71">
        <f t="shared" si="5"/>
        <v>1.8949595424797891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>
        <v>26.55</v>
      </c>
      <c r="AF115" s="56">
        <v>26.8</v>
      </c>
      <c r="AG115" s="56">
        <v>24.85</v>
      </c>
      <c r="AH115" s="56">
        <v>26.55</v>
      </c>
      <c r="AI115" s="56"/>
      <c r="AJ115" s="56"/>
      <c r="AK115" s="56"/>
      <c r="AL115" s="56"/>
      <c r="AM115" s="56"/>
      <c r="AN115" s="56"/>
      <c r="AO115" s="56"/>
      <c r="AP115" s="58">
        <f t="shared" si="3"/>
        <v>24</v>
      </c>
      <c r="AQ115" s="71">
        <f t="shared" si="4"/>
        <v>27.131249999999994</v>
      </c>
      <c r="AR115" s="71">
        <f>IFERROR(VLOOKUP(A115,Climatologia_TMED!A:U,9+$E$2,FALSE),"")</f>
        <v>26.548363201911549</v>
      </c>
      <c r="AS115" s="71">
        <f t="shared" si="5"/>
        <v>0.58288679808844535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>
        <v>18.533333333333331</v>
      </c>
      <c r="AF116" s="56">
        <v>20</v>
      </c>
      <c r="AG116" s="56">
        <v>17.93333333333333</v>
      </c>
      <c r="AH116" s="56">
        <v>20</v>
      </c>
      <c r="AI116" s="56"/>
      <c r="AJ116" s="56"/>
      <c r="AK116" s="56"/>
      <c r="AL116" s="56"/>
      <c r="AM116" s="56"/>
      <c r="AN116" s="56"/>
      <c r="AO116" s="56"/>
      <c r="AP116" s="58">
        <f t="shared" si="3"/>
        <v>24</v>
      </c>
      <c r="AQ116" s="71">
        <f t="shared" si="4"/>
        <v>19.452777777777776</v>
      </c>
      <c r="AR116" s="71">
        <f>IFERROR(VLOOKUP(A116,Climatologia_TMED!A:U,9+$E$2,FALSE),"")</f>
        <v>18.451479726130369</v>
      </c>
      <c r="AS116" s="71">
        <f t="shared" si="5"/>
        <v>1.0012980516474066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>
        <v>26</v>
      </c>
      <c r="AF117" s="56">
        <v>26.8</v>
      </c>
      <c r="AG117" s="56">
        <v>23.86666666666666</v>
      </c>
      <c r="AH117" s="56">
        <v>26.86666666666666</v>
      </c>
      <c r="AI117" s="56"/>
      <c r="AJ117" s="56"/>
      <c r="AK117" s="56"/>
      <c r="AL117" s="56"/>
      <c r="AM117" s="56"/>
      <c r="AN117" s="56"/>
      <c r="AO117" s="56"/>
      <c r="AP117" s="58">
        <f t="shared" si="3"/>
        <v>22</v>
      </c>
      <c r="AQ117" s="71">
        <f t="shared" si="4"/>
        <v>26.930303030303033</v>
      </c>
      <c r="AR117" s="71">
        <f>IFERROR(VLOOKUP(A117,Climatologia_TMED!A:U,9+$E$2,FALSE),"")</f>
        <v>25.726306451612881</v>
      </c>
      <c r="AS117" s="71">
        <f t="shared" si="5"/>
        <v>1.2039965786901519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>
        <v>29.666666666666671</v>
      </c>
      <c r="AF118" s="56">
        <v>29.733333333333331</v>
      </c>
      <c r="AG118" s="56">
        <v>25.733333333333331</v>
      </c>
      <c r="AH118" s="56">
        <v>30.13333333333334</v>
      </c>
      <c r="AI118" s="56"/>
      <c r="AJ118" s="56"/>
      <c r="AK118" s="56"/>
      <c r="AL118" s="56"/>
      <c r="AM118" s="56"/>
      <c r="AN118" s="56"/>
      <c r="AO118" s="56"/>
      <c r="AP118" s="58">
        <f t="shared" si="3"/>
        <v>22</v>
      </c>
      <c r="AQ118" s="71">
        <f t="shared" si="4"/>
        <v>29.915151515151514</v>
      </c>
      <c r="AR118" s="71">
        <f>IFERROR(VLOOKUP(A118,Climatologia_TMED!A:U,9+$E$2,FALSE),"")</f>
        <v>26.064774193548381</v>
      </c>
      <c r="AS118" s="71">
        <f t="shared" si="5"/>
        <v>3.8503773216031334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>
        <v>24.93333333333333</v>
      </c>
      <c r="AF119" s="56">
        <v>22.733333333333331</v>
      </c>
      <c r="AG119" s="56">
        <v>24.6</v>
      </c>
      <c r="AH119" s="56">
        <v>24.666666666666671</v>
      </c>
      <c r="AI119" s="56"/>
      <c r="AJ119" s="56"/>
      <c r="AK119" s="56"/>
      <c r="AL119" s="56"/>
      <c r="AM119" s="56"/>
      <c r="AN119" s="56"/>
      <c r="AO119" s="56"/>
      <c r="AP119" s="58">
        <f t="shared" si="3"/>
        <v>21</v>
      </c>
      <c r="AQ119" s="71">
        <f t="shared" si="4"/>
        <v>24.041269841269845</v>
      </c>
      <c r="AR119" s="71">
        <f>IFERROR(VLOOKUP(A119,Climatologia_TMED!A:U,9+$E$2,FALSE),"")</f>
        <v>22.097715053763402</v>
      </c>
      <c r="AS119" s="71">
        <f t="shared" si="5"/>
        <v>1.9435547875064429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>
        <v>12.933333333333341</v>
      </c>
      <c r="AF122" s="56">
        <v>11.866666666666671</v>
      </c>
      <c r="AG122" s="56">
        <v>11.866666666666671</v>
      </c>
      <c r="AH122" s="56">
        <v>13.46666666666667</v>
      </c>
      <c r="AI122" s="56"/>
      <c r="AJ122" s="56"/>
      <c r="AK122" s="56"/>
      <c r="AL122" s="56"/>
      <c r="AM122" s="56"/>
      <c r="AN122" s="56"/>
      <c r="AO122" s="56"/>
      <c r="AP122" s="58">
        <f t="shared" si="3"/>
        <v>24</v>
      </c>
      <c r="AQ122" s="71">
        <f t="shared" si="4"/>
        <v>12.60555555555556</v>
      </c>
      <c r="AR122" s="71">
        <f>IFERROR(VLOOKUP(A122,Climatologia_TMED!A:U,9+$E$2,FALSE),"")</f>
        <v>10.160420312062531</v>
      </c>
      <c r="AS122" s="71">
        <f t="shared" si="5"/>
        <v>2.4451352434930289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>
        <v>16.266666666666669</v>
      </c>
      <c r="AF124" s="56">
        <v>15.6</v>
      </c>
      <c r="AG124" s="56">
        <v>16.399999999999999</v>
      </c>
      <c r="AH124" s="56">
        <v>16.533333333333331</v>
      </c>
      <c r="AI124" s="56"/>
      <c r="AJ124" s="56"/>
      <c r="AK124" s="56"/>
      <c r="AL124" s="56"/>
      <c r="AM124" s="56"/>
      <c r="AN124" s="56"/>
      <c r="AO124" s="56"/>
      <c r="AP124" s="58">
        <f t="shared" si="3"/>
        <v>23</v>
      </c>
      <c r="AQ124" s="71">
        <f t="shared" si="4"/>
        <v>15.571014492753623</v>
      </c>
      <c r="AR124" s="71">
        <f>IFERROR(VLOOKUP(A124,Climatologia_TMED!A:U,9+$E$2,FALSE),"")</f>
        <v>15.061040072324371</v>
      </c>
      <c r="AS124" s="71">
        <f t="shared" si="5"/>
        <v>0.50997442042925201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>
        <v>12.4</v>
      </c>
      <c r="AF126" s="56">
        <v>11.66666666666667</v>
      </c>
      <c r="AG126" s="56">
        <v>11.6</v>
      </c>
      <c r="AH126" s="56">
        <v>12.4</v>
      </c>
      <c r="AI126" s="56"/>
      <c r="AJ126" s="56"/>
      <c r="AK126" s="56"/>
      <c r="AL126" s="56"/>
      <c r="AM126" s="56"/>
      <c r="AN126" s="56"/>
      <c r="AO126" s="56"/>
      <c r="AP126" s="58">
        <f t="shared" si="3"/>
        <v>18</v>
      </c>
      <c r="AQ126" s="71">
        <f t="shared" si="4"/>
        <v>11.540740740740739</v>
      </c>
      <c r="AR126" s="71">
        <f>IFERROR(VLOOKUP(A126,Climatologia_TMED!A:U,9+$E$2,FALSE),"")</f>
        <v>10.651018477594549</v>
      </c>
      <c r="AS126" s="71">
        <f t="shared" si="5"/>
        <v>0.88972226314619007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>
        <v>17.100000000000001</v>
      </c>
      <c r="AF130" s="56">
        <v>16.43333333333333</v>
      </c>
      <c r="AG130" s="56">
        <v>15.233333333333331</v>
      </c>
      <c r="AH130" s="56">
        <v>17.2</v>
      </c>
      <c r="AI130" s="56"/>
      <c r="AJ130" s="56"/>
      <c r="AK130" s="56"/>
      <c r="AL130" s="56"/>
      <c r="AM130" s="56"/>
      <c r="AN130" s="56"/>
      <c r="AO130" s="56"/>
      <c r="AP130" s="58">
        <f t="shared" si="3"/>
        <v>24</v>
      </c>
      <c r="AQ130" s="71">
        <f t="shared" si="4"/>
        <v>15.769444444444446</v>
      </c>
      <c r="AR130" s="71">
        <f>IFERROR(VLOOKUP(A130,Climatologia_TMED!A:U,9+$E$2,FALSE),"")</f>
        <v>14.37068910561999</v>
      </c>
      <c r="AS130" s="71">
        <f t="shared" si="5"/>
        <v>1.398755338824456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>
        <v>19.649999999999999</v>
      </c>
      <c r="AF131" s="56">
        <v>18.899999999999999</v>
      </c>
      <c r="AG131" s="56">
        <v>17.399999999999999</v>
      </c>
      <c r="AH131" s="56">
        <v>20</v>
      </c>
      <c r="AI131" s="56"/>
      <c r="AJ131" s="56"/>
      <c r="AK131" s="56"/>
      <c r="AL131" s="56"/>
      <c r="AM131" s="56"/>
      <c r="AN131" s="56"/>
      <c r="AO131" s="56"/>
      <c r="AP131" s="58">
        <f t="shared" si="3"/>
        <v>23</v>
      </c>
      <c r="AQ131" s="71">
        <f t="shared" si="4"/>
        <v>18.489130434782602</v>
      </c>
      <c r="AR131" s="71">
        <f>IFERROR(VLOOKUP(A131,Climatologia_TMED!A:U,9+$E$2,FALSE),"")</f>
        <v>17.018039759621502</v>
      </c>
      <c r="AS131" s="71">
        <f t="shared" si="5"/>
        <v>1.4710906751611006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>
        <v>14.06666666666667</v>
      </c>
      <c r="AF133" s="56">
        <v>14.366666666666671</v>
      </c>
      <c r="AG133" s="56">
        <v>14.46666666666667</v>
      </c>
      <c r="AH133" s="56">
        <v>14.33333333333333</v>
      </c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24</v>
      </c>
      <c r="AQ133" s="71">
        <f t="shared" ref="AQ133:AQ196" si="7">IF(AP133&gt;14,AVERAGE(K133:AO133),"")</f>
        <v>13.744444444444447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1.1123799934041863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>
        <v>17.86666666666666</v>
      </c>
      <c r="AF134" s="56">
        <v>18</v>
      </c>
      <c r="AG134" s="56">
        <v>18.8</v>
      </c>
      <c r="AH134" s="56">
        <v>19.666666666666671</v>
      </c>
      <c r="AI134" s="56"/>
      <c r="AJ134" s="56"/>
      <c r="AK134" s="56"/>
      <c r="AL134" s="56"/>
      <c r="AM134" s="56"/>
      <c r="AN134" s="56"/>
      <c r="AO134" s="56"/>
      <c r="AP134" s="58">
        <f t="shared" si="6"/>
        <v>24</v>
      </c>
      <c r="AQ134" s="71">
        <f t="shared" si="7"/>
        <v>17.941666666666666</v>
      </c>
      <c r="AR134" s="71">
        <f>IFERROR(VLOOKUP(A134,Climatologia_TMED!A:U,9+$E$2,FALSE),"")</f>
        <v>15.77617103004156</v>
      </c>
      <c r="AS134" s="71">
        <f t="shared" si="8"/>
        <v>2.1654956366251064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>
        <v>22.274999999999999</v>
      </c>
      <c r="AF135" s="56">
        <v>21.5</v>
      </c>
      <c r="AG135" s="56">
        <v>21.8</v>
      </c>
      <c r="AH135" s="56">
        <v>21.25</v>
      </c>
      <c r="AI135" s="56"/>
      <c r="AJ135" s="56"/>
      <c r="AK135" s="56"/>
      <c r="AL135" s="56"/>
      <c r="AM135" s="56"/>
      <c r="AN135" s="56"/>
      <c r="AO135" s="56"/>
      <c r="AP135" s="58">
        <f t="shared" si="6"/>
        <v>23</v>
      </c>
      <c r="AQ135" s="71">
        <f t="shared" si="7"/>
        <v>21.045652173913041</v>
      </c>
      <c r="AR135" s="71">
        <f>IFERROR(VLOOKUP(A135,Climatologia_TMED!A:U,9+$E$2,FALSE),"")</f>
        <v>19.08404124452408</v>
      </c>
      <c r="AS135" s="71">
        <f t="shared" si="8"/>
        <v>1.9616109293889608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/>
      <c r="AE136" s="56">
        <v>10.866666666666671</v>
      </c>
      <c r="AF136" s="56">
        <v>11.266666666666669</v>
      </c>
      <c r="AG136" s="56">
        <v>11.6</v>
      </c>
      <c r="AH136" s="56">
        <v>11.866666666666671</v>
      </c>
      <c r="AI136" s="56"/>
      <c r="AJ136" s="56"/>
      <c r="AK136" s="56"/>
      <c r="AL136" s="56"/>
      <c r="AM136" s="56"/>
      <c r="AN136" s="56"/>
      <c r="AO136" s="56"/>
      <c r="AP136" s="58">
        <f t="shared" si="6"/>
        <v>23</v>
      </c>
      <c r="AQ136" s="71">
        <f t="shared" si="7"/>
        <v>11.023188405797102</v>
      </c>
      <c r="AR136" s="71">
        <f>IFERROR(VLOOKUP(A136,Climatologia_TMED!A:U,9+$E$2,FALSE),"")</f>
        <v>10.862936379928311</v>
      </c>
      <c r="AS136" s="71">
        <f t="shared" si="8"/>
        <v>0.16025202586879139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>
        <v>23.333333333333329</v>
      </c>
      <c r="AF138" s="56">
        <v>22.4</v>
      </c>
      <c r="AG138" s="56">
        <v>22.93333333333333</v>
      </c>
      <c r="AH138" s="56">
        <v>23.06666666666667</v>
      </c>
      <c r="AI138" s="56"/>
      <c r="AJ138" s="56"/>
      <c r="AK138" s="56"/>
      <c r="AL138" s="56"/>
      <c r="AM138" s="56"/>
      <c r="AN138" s="56"/>
      <c r="AO138" s="56"/>
      <c r="AP138" s="58">
        <f t="shared" si="6"/>
        <v>23</v>
      </c>
      <c r="AQ138" s="71">
        <f t="shared" si="7"/>
        <v>22.568115942028982</v>
      </c>
      <c r="AR138" s="71">
        <f>IFERROR(VLOOKUP(A138,Climatologia_TMED!A:U,9+$E$2,FALSE),"")</f>
        <v>20.235550356930549</v>
      </c>
      <c r="AS138" s="71">
        <f t="shared" si="8"/>
        <v>2.3325655850984326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>
        <v>13.95</v>
      </c>
      <c r="AF139" s="56">
        <v>14</v>
      </c>
      <c r="AG139" s="56">
        <v>14.375</v>
      </c>
      <c r="AH139" s="56">
        <v>14.9</v>
      </c>
      <c r="AI139" s="56"/>
      <c r="AJ139" s="56"/>
      <c r="AK139" s="56"/>
      <c r="AL139" s="56"/>
      <c r="AM139" s="56"/>
      <c r="AN139" s="56"/>
      <c r="AO139" s="56"/>
      <c r="AP139" s="58">
        <f t="shared" si="6"/>
        <v>24</v>
      </c>
      <c r="AQ139" s="71">
        <f t="shared" si="7"/>
        <v>13.811458333333333</v>
      </c>
      <c r="AR139" s="71">
        <f>IFERROR(VLOOKUP(A139,Climatologia_TMED!A:U,9+$E$2,FALSE),"")</f>
        <v>12.97471752858849</v>
      </c>
      <c r="AS139" s="71">
        <f t="shared" si="8"/>
        <v>0.83674080474484214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>
        <v>16.7</v>
      </c>
      <c r="AE140" s="56"/>
      <c r="AF140" s="56"/>
      <c r="AG140" s="56">
        <v>17.05</v>
      </c>
      <c r="AH140" s="56">
        <v>16.95</v>
      </c>
      <c r="AI140" s="56"/>
      <c r="AJ140" s="56"/>
      <c r="AK140" s="56"/>
      <c r="AL140" s="56"/>
      <c r="AM140" s="56"/>
      <c r="AN140" s="56"/>
      <c r="AO140" s="56"/>
      <c r="AP140" s="58">
        <f t="shared" si="6"/>
        <v>22</v>
      </c>
      <c r="AQ140" s="71">
        <f t="shared" si="7"/>
        <v>16.484090909090909</v>
      </c>
      <c r="AR140" s="71">
        <f>IFERROR(VLOOKUP(A140,Climatologia_TMED!A:U,9+$E$2,FALSE),"")</f>
        <v>15.718876344086</v>
      </c>
      <c r="AS140" s="71">
        <f t="shared" si="8"/>
        <v>0.76521456500490892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>
        <v>13.266666666666669</v>
      </c>
      <c r="AF141" s="56">
        <v>14.2</v>
      </c>
      <c r="AG141" s="56">
        <v>13.6</v>
      </c>
      <c r="AH141" s="56">
        <v>14.66666666666667</v>
      </c>
      <c r="AI141" s="56"/>
      <c r="AJ141" s="56"/>
      <c r="AK141" s="56"/>
      <c r="AL141" s="56"/>
      <c r="AM141" s="56"/>
      <c r="AN141" s="56"/>
      <c r="AO141" s="56"/>
      <c r="AP141" s="58">
        <f t="shared" si="6"/>
        <v>24</v>
      </c>
      <c r="AQ141" s="71">
        <f t="shared" si="7"/>
        <v>13.286111111111111</v>
      </c>
      <c r="AR141" s="71">
        <f>IFERROR(VLOOKUP(A141,Climatologia_TMED!A:U,9+$E$2,FALSE),"")</f>
        <v>11.969387238873461</v>
      </c>
      <c r="AS141" s="71">
        <f t="shared" si="8"/>
        <v>1.3167238722376506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>
        <v>11.65</v>
      </c>
      <c r="AF142" s="56">
        <v>11.75</v>
      </c>
      <c r="AG142" s="56">
        <v>11.65</v>
      </c>
      <c r="AH142" s="56">
        <v>13.15</v>
      </c>
      <c r="AI142" s="56"/>
      <c r="AJ142" s="56"/>
      <c r="AK142" s="56"/>
      <c r="AL142" s="56"/>
      <c r="AM142" s="56"/>
      <c r="AN142" s="56"/>
      <c r="AO142" s="56"/>
      <c r="AP142" s="58">
        <f t="shared" si="6"/>
        <v>23</v>
      </c>
      <c r="AQ142" s="71">
        <f t="shared" si="7"/>
        <v>11.279347826086955</v>
      </c>
      <c r="AR142" s="71">
        <f>IFERROR(VLOOKUP(A142,Climatologia_TMED!A:U,9+$E$2,FALSE),"")</f>
        <v>10.49248004916649</v>
      </c>
      <c r="AS142" s="71">
        <f t="shared" si="8"/>
        <v>0.78686777692046483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>
        <v>29.266666666666669</v>
      </c>
      <c r="AF143" s="56"/>
      <c r="AG143" s="56">
        <v>28.06666666666667</v>
      </c>
      <c r="AH143" s="56">
        <v>28.2</v>
      </c>
      <c r="AI143" s="56"/>
      <c r="AJ143" s="56"/>
      <c r="AK143" s="56"/>
      <c r="AL143" s="56"/>
      <c r="AM143" s="56"/>
      <c r="AN143" s="56"/>
      <c r="AO143" s="56"/>
      <c r="AP143" s="58">
        <f t="shared" si="6"/>
        <v>23</v>
      </c>
      <c r="AQ143" s="71">
        <f t="shared" si="7"/>
        <v>27.953623188405803</v>
      </c>
      <c r="AR143" s="71">
        <f>IFERROR(VLOOKUP(A143,Climatologia_TMED!A:U,9+$E$2,FALSE),"")</f>
        <v>25.992543202764971</v>
      </c>
      <c r="AS143" s="71">
        <f t="shared" si="8"/>
        <v>1.9610799856408327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>
        <v>17.2</v>
      </c>
      <c r="AF144" s="56">
        <v>17.06666666666667</v>
      </c>
      <c r="AG144" s="56">
        <v>16.533333333333331</v>
      </c>
      <c r="AH144" s="56">
        <v>16.866666666666671</v>
      </c>
      <c r="AI144" s="56"/>
      <c r="AJ144" s="56"/>
      <c r="AK144" s="56"/>
      <c r="AL144" s="56"/>
      <c r="AM144" s="56"/>
      <c r="AN144" s="56"/>
      <c r="AO144" s="56"/>
      <c r="AP144" s="58">
        <f t="shared" si="6"/>
        <v>24</v>
      </c>
      <c r="AQ144" s="71">
        <f t="shared" si="7"/>
        <v>16.49722222222222</v>
      </c>
      <c r="AR144" s="71">
        <f>IFERROR(VLOOKUP(A144,Climatologia_TMED!A:U,9+$E$2,FALSE),"")</f>
        <v>15.9826099414474</v>
      </c>
      <c r="AS144" s="71">
        <f t="shared" si="8"/>
        <v>0.51461228077481991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>
        <v>21.2</v>
      </c>
      <c r="AF145" s="56">
        <v>19.733333333333331</v>
      </c>
      <c r="AG145" s="56">
        <v>18.2</v>
      </c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23</v>
      </c>
      <c r="AQ145" s="71">
        <f t="shared" si="7"/>
        <v>20.384057971014496</v>
      </c>
      <c r="AR145" s="71">
        <f>IFERROR(VLOOKUP(A145,Climatologia_TMED!A:U,9+$E$2,FALSE),"")</f>
        <v>19.40683329936412</v>
      </c>
      <c r="AS145" s="71">
        <f t="shared" si="8"/>
        <v>0.97722467165037585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>
        <v>31.4</v>
      </c>
      <c r="AF146" s="56">
        <v>31.4</v>
      </c>
      <c r="AG146" s="56">
        <v>27.86666666666666</v>
      </c>
      <c r="AH146" s="56">
        <v>32.200000000000003</v>
      </c>
      <c r="AI146" s="56"/>
      <c r="AJ146" s="56"/>
      <c r="AK146" s="56"/>
      <c r="AL146" s="56"/>
      <c r="AM146" s="56"/>
      <c r="AN146" s="56"/>
      <c r="AO146" s="56"/>
      <c r="AP146" s="58">
        <f t="shared" si="6"/>
        <v>24</v>
      </c>
      <c r="AQ146" s="71">
        <f t="shared" si="7"/>
        <v>31.069444444444443</v>
      </c>
      <c r="AR146" s="71">
        <f>IFERROR(VLOOKUP(A146,Climatologia_TMED!A:U,9+$E$2,FALSE),"")</f>
        <v>29.306317625921391</v>
      </c>
      <c r="AS146" s="71">
        <f t="shared" si="8"/>
        <v>1.7631268185230518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>
        <v>27.533333333333331</v>
      </c>
      <c r="AF147" s="56">
        <v>26.13333333333334</v>
      </c>
      <c r="AG147" s="56">
        <v>24.466666666666669</v>
      </c>
      <c r="AH147" s="56">
        <v>26.466666666666669</v>
      </c>
      <c r="AI147" s="56"/>
      <c r="AJ147" s="56"/>
      <c r="AK147" s="56"/>
      <c r="AL147" s="56"/>
      <c r="AM147" s="56"/>
      <c r="AN147" s="56"/>
      <c r="AO147" s="56"/>
      <c r="AP147" s="58">
        <f t="shared" si="6"/>
        <v>24</v>
      </c>
      <c r="AQ147" s="71">
        <f t="shared" si="7"/>
        <v>26.397222222222226</v>
      </c>
      <c r="AR147" s="71">
        <f>IFERROR(VLOOKUP(A147,Climatologia_TMED!A:U,9+$E$2,FALSE),"")</f>
        <v>24.061574212155389</v>
      </c>
      <c r="AS147" s="71">
        <f t="shared" si="8"/>
        <v>2.3356480100668371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>
        <v>30.4</v>
      </c>
      <c r="AF148" s="56">
        <v>30.066666666666659</v>
      </c>
      <c r="AG148" s="56">
        <v>29.466666666666669</v>
      </c>
      <c r="AH148" s="56">
        <v>29.2</v>
      </c>
      <c r="AI148" s="56"/>
      <c r="AJ148" s="56"/>
      <c r="AK148" s="56"/>
      <c r="AL148" s="56"/>
      <c r="AM148" s="56"/>
      <c r="AN148" s="56"/>
      <c r="AO148" s="56"/>
      <c r="AP148" s="58">
        <f t="shared" si="6"/>
        <v>22</v>
      </c>
      <c r="AQ148" s="71">
        <f t="shared" si="7"/>
        <v>30.715151515151515</v>
      </c>
      <c r="AR148" s="71">
        <f>IFERROR(VLOOKUP(A148,Climatologia_TMED!A:U,9+$E$2,FALSE),"")</f>
        <v>29.17936497960693</v>
      </c>
      <c r="AS148" s="71">
        <f t="shared" si="8"/>
        <v>1.5357865355445846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>
        <v>24.4</v>
      </c>
      <c r="AF149" s="56">
        <v>24.06666666666667</v>
      </c>
      <c r="AG149" s="56">
        <v>22.2</v>
      </c>
      <c r="AH149" s="56">
        <v>23.4</v>
      </c>
      <c r="AI149" s="56"/>
      <c r="AJ149" s="56"/>
      <c r="AK149" s="56"/>
      <c r="AL149" s="56"/>
      <c r="AM149" s="56"/>
      <c r="AN149" s="56"/>
      <c r="AO149" s="56"/>
      <c r="AP149" s="58">
        <f t="shared" si="6"/>
        <v>24</v>
      </c>
      <c r="AQ149" s="71">
        <f t="shared" si="7"/>
        <v>24.161111111111115</v>
      </c>
      <c r="AR149" s="71">
        <f>IFERROR(VLOOKUP(A149,Climatologia_TMED!A:U,9+$E$2,FALSE),"")</f>
        <v>21.98128955804011</v>
      </c>
      <c r="AS149" s="71">
        <f t="shared" si="8"/>
        <v>2.1798215530710046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>
        <v>25.533333333333331</v>
      </c>
      <c r="AF151" s="56">
        <v>24.4</v>
      </c>
      <c r="AG151" s="56">
        <v>22.533333333333331</v>
      </c>
      <c r="AH151" s="56">
        <v>25.066666666666659</v>
      </c>
      <c r="AI151" s="56"/>
      <c r="AJ151" s="56"/>
      <c r="AK151" s="56"/>
      <c r="AL151" s="56"/>
      <c r="AM151" s="56"/>
      <c r="AN151" s="56"/>
      <c r="AO151" s="56"/>
      <c r="AP151" s="58">
        <f t="shared" si="6"/>
        <v>21</v>
      </c>
      <c r="AQ151" s="71">
        <f t="shared" si="7"/>
        <v>24.377777777777776</v>
      </c>
      <c r="AR151" s="71">
        <f>IFERROR(VLOOKUP(A151,Climatologia_TMED!A:U,9+$E$2,FALSE),"")</f>
        <v>21.718227316119769</v>
      </c>
      <c r="AS151" s="71">
        <f t="shared" si="8"/>
        <v>2.6595504616580072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>
        <v>21.5</v>
      </c>
      <c r="AF154" s="56">
        <v>21.45</v>
      </c>
      <c r="AG154" s="56">
        <v>20.05</v>
      </c>
      <c r="AH154" s="56">
        <v>20.2</v>
      </c>
      <c r="AI154" s="56"/>
      <c r="AJ154" s="56"/>
      <c r="AK154" s="56"/>
      <c r="AL154" s="56"/>
      <c r="AM154" s="56"/>
      <c r="AN154" s="56"/>
      <c r="AO154" s="56"/>
      <c r="AP154" s="58">
        <f t="shared" si="6"/>
        <v>24</v>
      </c>
      <c r="AQ154" s="71">
        <f t="shared" si="7"/>
        <v>21.081249999999997</v>
      </c>
      <c r="AR154" s="71">
        <f>IFERROR(VLOOKUP(A154,Climatologia_TMED!A:U,9+$E$2,FALSE),"")</f>
        <v>19.603370199692769</v>
      </c>
      <c r="AS154" s="71">
        <f t="shared" si="8"/>
        <v>1.4778798003072282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>
        <v>28</v>
      </c>
      <c r="AF155" s="56">
        <v>27.13333333333334</v>
      </c>
      <c r="AG155" s="56">
        <v>27.333333333333329</v>
      </c>
      <c r="AH155" s="56">
        <v>28.666666666666671</v>
      </c>
      <c r="AI155" s="56"/>
      <c r="AJ155" s="56"/>
      <c r="AK155" s="56"/>
      <c r="AL155" s="56"/>
      <c r="AM155" s="56"/>
      <c r="AN155" s="56"/>
      <c r="AO155" s="56"/>
      <c r="AP155" s="58">
        <f t="shared" si="6"/>
        <v>23</v>
      </c>
      <c r="AQ155" s="71">
        <f t="shared" si="7"/>
        <v>28.857971014492755</v>
      </c>
      <c r="AR155" s="71">
        <f>IFERROR(VLOOKUP(A155,Climatologia_TMED!A:U,9+$E$2,FALSE),"")</f>
        <v>27.798082822950249</v>
      </c>
      <c r="AS155" s="71">
        <f t="shared" si="8"/>
        <v>1.0598881915425054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>
        <v>29.666666666666671</v>
      </c>
      <c r="AF157" s="56">
        <v>28.333333333333329</v>
      </c>
      <c r="AG157" s="56">
        <v>28.466666666666669</v>
      </c>
      <c r="AH157" s="56">
        <v>29.866666666666671</v>
      </c>
      <c r="AI157" s="56"/>
      <c r="AJ157" s="56"/>
      <c r="AK157" s="56"/>
      <c r="AL157" s="56"/>
      <c r="AM157" s="56"/>
      <c r="AN157" s="56"/>
      <c r="AO157" s="56"/>
      <c r="AP157" s="58">
        <f t="shared" si="6"/>
        <v>22</v>
      </c>
      <c r="AQ157" s="71">
        <f t="shared" si="7"/>
        <v>29.963636363636365</v>
      </c>
      <c r="AR157" s="71">
        <f>IFERROR(VLOOKUP(A157,Climatologia_TMED!A:U,9+$E$2,FALSE),"")</f>
        <v>27.586074724019738</v>
      </c>
      <c r="AS157" s="71">
        <f t="shared" si="8"/>
        <v>2.3775616396166264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>
        <v>30.86666666666666</v>
      </c>
      <c r="AF158" s="56"/>
      <c r="AG158" s="56"/>
      <c r="AH158" s="56">
        <v>31.06666666666667</v>
      </c>
      <c r="AI158" s="56"/>
      <c r="AJ158" s="56"/>
      <c r="AK158" s="56"/>
      <c r="AL158" s="56"/>
      <c r="AM158" s="56"/>
      <c r="AN158" s="56"/>
      <c r="AO158" s="56"/>
      <c r="AP158" s="58">
        <f t="shared" si="6"/>
        <v>21</v>
      </c>
      <c r="AQ158" s="71">
        <f t="shared" si="7"/>
        <v>30.74603174603175</v>
      </c>
      <c r="AR158" s="71">
        <f>IFERROR(VLOOKUP(A158,Climatologia_TMED!A:U,9+$E$2,FALSE),"")</f>
        <v>28.018688345149439</v>
      </c>
      <c r="AS158" s="71">
        <f t="shared" si="8"/>
        <v>2.7273434008823116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>
        <v>21.2</v>
      </c>
      <c r="AF159" s="56">
        <v>20.266666666666669</v>
      </c>
      <c r="AG159" s="56">
        <v>20</v>
      </c>
      <c r="AH159" s="56">
        <v>21.4</v>
      </c>
      <c r="AI159" s="56"/>
      <c r="AJ159" s="56"/>
      <c r="AK159" s="56"/>
      <c r="AL159" s="56"/>
      <c r="AM159" s="56"/>
      <c r="AN159" s="56"/>
      <c r="AO159" s="56"/>
      <c r="AP159" s="58">
        <f t="shared" si="6"/>
        <v>24</v>
      </c>
      <c r="AQ159" s="71">
        <f t="shared" si="7"/>
        <v>21.236111111111107</v>
      </c>
      <c r="AR159" s="71">
        <f>IFERROR(VLOOKUP(A159,Climatologia_TMED!A:U,9+$E$2,FALSE),"")</f>
        <v>19.083052786798319</v>
      </c>
      <c r="AS159" s="71">
        <f t="shared" si="8"/>
        <v>2.1530583243127879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>
        <v>26.533333333333331</v>
      </c>
      <c r="AF160" s="56">
        <v>27.933333333333341</v>
      </c>
      <c r="AG160" s="56">
        <v>27.6</v>
      </c>
      <c r="AH160" s="56">
        <v>28.666666666666671</v>
      </c>
      <c r="AI160" s="56"/>
      <c r="AJ160" s="56"/>
      <c r="AK160" s="56"/>
      <c r="AL160" s="56"/>
      <c r="AM160" s="56"/>
      <c r="AN160" s="56"/>
      <c r="AO160" s="56"/>
      <c r="AP160" s="58">
        <f t="shared" si="6"/>
        <v>22</v>
      </c>
      <c r="AQ160" s="71">
        <f t="shared" si="7"/>
        <v>27.74848484848485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>
        <v>20.13333333333334</v>
      </c>
      <c r="AF161" s="56">
        <v>19.399999999999999</v>
      </c>
      <c r="AG161" s="56">
        <v>19.733333333333331</v>
      </c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19</v>
      </c>
      <c r="AQ161" s="71">
        <f t="shared" si="7"/>
        <v>20.035087719298243</v>
      </c>
      <c r="AR161" s="71">
        <f>IFERROR(VLOOKUP(A161,Climatologia_TMED!A:U,9+$E$2,FALSE),"")</f>
        <v>17.518211901578969</v>
      </c>
      <c r="AS161" s="71">
        <f t="shared" si="8"/>
        <v>2.5168758177192743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>
        <v>29.4</v>
      </c>
      <c r="AF162" s="56">
        <v>27.733333333333331</v>
      </c>
      <c r="AG162" s="56">
        <v>27.93333333333333</v>
      </c>
      <c r="AH162" s="56">
        <v>29.266666666666669</v>
      </c>
      <c r="AI162" s="56"/>
      <c r="AJ162" s="56"/>
      <c r="AK162" s="56"/>
      <c r="AL162" s="56"/>
      <c r="AM162" s="56"/>
      <c r="AN162" s="56"/>
      <c r="AO162" s="56"/>
      <c r="AP162" s="58">
        <f t="shared" si="6"/>
        <v>24</v>
      </c>
      <c r="AQ162" s="71">
        <f t="shared" si="7"/>
        <v>28.887499999999999</v>
      </c>
      <c r="AR162" s="71">
        <f>IFERROR(VLOOKUP(A162,Climatologia_TMED!A:U,9+$E$2,FALSE),"")</f>
        <v>28.49681537062899</v>
      </c>
      <c r="AS162" s="71">
        <f t="shared" si="8"/>
        <v>0.3906846293710089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>
        <v>22</v>
      </c>
      <c r="AF163" s="56">
        <v>21.333333333333329</v>
      </c>
      <c r="AG163" s="56">
        <v>21.06666666666667</v>
      </c>
      <c r="AH163" s="56">
        <v>22.8</v>
      </c>
      <c r="AI163" s="56"/>
      <c r="AJ163" s="56"/>
      <c r="AK163" s="56"/>
      <c r="AL163" s="56"/>
      <c r="AM163" s="56"/>
      <c r="AN163" s="56"/>
      <c r="AO163" s="56"/>
      <c r="AP163" s="58">
        <f t="shared" si="6"/>
        <v>24</v>
      </c>
      <c r="AQ163" s="71">
        <f t="shared" si="7"/>
        <v>21.849999999999998</v>
      </c>
      <c r="AR163" s="71">
        <f>IFERROR(VLOOKUP(A163,Climatologia_TMED!A:U,9+$E$2,FALSE),"")</f>
        <v>21.304846458288491</v>
      </c>
      <c r="AS163" s="71">
        <f t="shared" si="8"/>
        <v>0.54515354171150676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>
        <v>26.2</v>
      </c>
      <c r="AF164" s="56">
        <v>25.3</v>
      </c>
      <c r="AG164" s="56">
        <v>25.3</v>
      </c>
      <c r="AH164" s="56">
        <v>26.55</v>
      </c>
      <c r="AI164" s="56"/>
      <c r="AJ164" s="56"/>
      <c r="AK164" s="56"/>
      <c r="AL164" s="56"/>
      <c r="AM164" s="56"/>
      <c r="AN164" s="56"/>
      <c r="AO164" s="56"/>
      <c r="AP164" s="58">
        <f t="shared" si="6"/>
        <v>24</v>
      </c>
      <c r="AQ164" s="71">
        <f t="shared" si="7"/>
        <v>25.841666666666665</v>
      </c>
      <c r="AR164" s="71">
        <f>IFERROR(VLOOKUP(A164,Climatologia_TMED!A:U,9+$E$2,FALSE),"")</f>
        <v>23.886011584659681</v>
      </c>
      <c r="AS164" s="71">
        <f t="shared" si="8"/>
        <v>1.9556550820069845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>
        <v>15.06666666666667</v>
      </c>
      <c r="AF166" s="56">
        <v>14.46666666666667</v>
      </c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22</v>
      </c>
      <c r="AQ166" s="71">
        <f t="shared" si="7"/>
        <v>14.981818181818182</v>
      </c>
      <c r="AR166" s="71">
        <f>IFERROR(VLOOKUP(A166,Climatologia_TMED!A:U,9+$E$2,FALSE),"")</f>
        <v>13.59731182795695</v>
      </c>
      <c r="AS166" s="71">
        <f t="shared" si="8"/>
        <v>1.3845063538612319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>
        <v>21.2</v>
      </c>
      <c r="AF167" s="56">
        <v>20.533333333333331</v>
      </c>
      <c r="AG167" s="56">
        <v>21.2</v>
      </c>
      <c r="AH167" s="56">
        <v>21.533333333333331</v>
      </c>
      <c r="AI167" s="56"/>
      <c r="AJ167" s="56"/>
      <c r="AK167" s="56"/>
      <c r="AL167" s="56"/>
      <c r="AM167" s="56"/>
      <c r="AN167" s="56"/>
      <c r="AO167" s="56"/>
      <c r="AP167" s="58">
        <f t="shared" si="6"/>
        <v>24</v>
      </c>
      <c r="AQ167" s="71">
        <f t="shared" si="7"/>
        <v>21.136111111111109</v>
      </c>
      <c r="AR167" s="71">
        <f>IFERROR(VLOOKUP(A167,Climatologia_TMED!A:U,9+$E$2,FALSE),"")</f>
        <v>19.132762427527378</v>
      </c>
      <c r="AS167" s="71">
        <f t="shared" si="8"/>
        <v>2.0033486835837309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>
        <v>29.45</v>
      </c>
      <c r="AF168" s="56">
        <v>27.35</v>
      </c>
      <c r="AG168" s="56">
        <v>28.15</v>
      </c>
      <c r="AH168" s="56">
        <v>29.55</v>
      </c>
      <c r="AI168" s="56"/>
      <c r="AJ168" s="56"/>
      <c r="AK168" s="56"/>
      <c r="AL168" s="56"/>
      <c r="AM168" s="56"/>
      <c r="AN168" s="56"/>
      <c r="AO168" s="56"/>
      <c r="AP168" s="58">
        <f t="shared" si="6"/>
        <v>24</v>
      </c>
      <c r="AQ168" s="71">
        <f t="shared" si="7"/>
        <v>28.593750000000004</v>
      </c>
      <c r="AR168" s="71">
        <f>IFERROR(VLOOKUP(A168,Climatologia_TMED!A:U,9+$E$2,FALSE),"")</f>
        <v>26.11906044753972</v>
      </c>
      <c r="AS168" s="71">
        <f t="shared" si="8"/>
        <v>2.4746895524602834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>
        <v>9.6000000000000014</v>
      </c>
      <c r="AF169" s="56">
        <v>10</v>
      </c>
      <c r="AG169" s="56">
        <v>8.8000000000000007</v>
      </c>
      <c r="AH169" s="56">
        <v>9.5500000000000007</v>
      </c>
      <c r="AI169" s="56"/>
      <c r="AJ169" s="56"/>
      <c r="AK169" s="56"/>
      <c r="AL169" s="56"/>
      <c r="AM169" s="56"/>
      <c r="AN169" s="56"/>
      <c r="AO169" s="56"/>
      <c r="AP169" s="58">
        <f t="shared" si="6"/>
        <v>24</v>
      </c>
      <c r="AQ169" s="71">
        <f t="shared" si="7"/>
        <v>9.4791666666666661</v>
      </c>
      <c r="AR169" s="71">
        <f>IFERROR(VLOOKUP(A169,Climatologia_TMED!A:U,9+$E$2,FALSE),"")</f>
        <v>8.9418110731500597</v>
      </c>
      <c r="AS169" s="71">
        <f t="shared" si="8"/>
        <v>0.53735559351660633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>
        <v>24.4</v>
      </c>
      <c r="AF170" s="56">
        <v>24.533333333333331</v>
      </c>
      <c r="AG170" s="56">
        <v>24.4</v>
      </c>
      <c r="AH170" s="56">
        <v>26.93333333333333</v>
      </c>
      <c r="AI170" s="56"/>
      <c r="AJ170" s="56"/>
      <c r="AK170" s="56"/>
      <c r="AL170" s="56"/>
      <c r="AM170" s="56"/>
      <c r="AN170" s="56"/>
      <c r="AO170" s="56"/>
      <c r="AP170" s="58">
        <f t="shared" si="6"/>
        <v>24</v>
      </c>
      <c r="AQ170" s="71">
        <f t="shared" si="7"/>
        <v>25.74722222222222</v>
      </c>
      <c r="AR170" s="71">
        <f>IFERROR(VLOOKUP(A170,Climatologia_TMED!A:U,9+$E$2,FALSE),"")</f>
        <v>24.395609944791921</v>
      </c>
      <c r="AS170" s="71">
        <f t="shared" si="8"/>
        <v>1.3516122774302985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>
        <v>22.8</v>
      </c>
      <c r="AF171" s="56">
        <v>22.2</v>
      </c>
      <c r="AG171" s="56"/>
      <c r="AH171" s="56">
        <v>21.666666666666671</v>
      </c>
      <c r="AI171" s="56"/>
      <c r="AJ171" s="56"/>
      <c r="AK171" s="56"/>
      <c r="AL171" s="56"/>
      <c r="AM171" s="56"/>
      <c r="AN171" s="56"/>
      <c r="AO171" s="56"/>
      <c r="AP171" s="58">
        <f t="shared" si="6"/>
        <v>21</v>
      </c>
      <c r="AQ171" s="71">
        <f t="shared" si="7"/>
        <v>21.86984126984127</v>
      </c>
      <c r="AR171" s="71">
        <f>IFERROR(VLOOKUP(A171,Climatologia_TMED!A:U,9+$E$2,FALSE),"")</f>
        <v>19.277535015015289</v>
      </c>
      <c r="AS171" s="71">
        <f t="shared" si="8"/>
        <v>2.5923062548259814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>
        <v>26.75</v>
      </c>
      <c r="AF172" s="56">
        <v>25.8</v>
      </c>
      <c r="AG172" s="56">
        <v>26.75</v>
      </c>
      <c r="AH172" s="56">
        <v>27.65</v>
      </c>
      <c r="AI172" s="56"/>
      <c r="AJ172" s="56"/>
      <c r="AK172" s="56"/>
      <c r="AL172" s="56"/>
      <c r="AM172" s="56"/>
      <c r="AN172" s="56"/>
      <c r="AO172" s="56"/>
      <c r="AP172" s="58">
        <f t="shared" si="6"/>
        <v>22</v>
      </c>
      <c r="AQ172" s="71">
        <f t="shared" si="7"/>
        <v>26.053409090909089</v>
      </c>
      <c r="AR172" s="71">
        <f>IFERROR(VLOOKUP(A172,Climatologia_TMED!A:U,9+$E$2,FALSE),"")</f>
        <v>24.578876627051489</v>
      </c>
      <c r="AS172" s="71">
        <f t="shared" si="8"/>
        <v>1.4745324638575994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>
        <v>26.3</v>
      </c>
      <c r="AF173" s="56">
        <v>25.75</v>
      </c>
      <c r="AG173" s="56">
        <v>26.9</v>
      </c>
      <c r="AH173" s="56">
        <v>26.85</v>
      </c>
      <c r="AI173" s="56"/>
      <c r="AJ173" s="56"/>
      <c r="AK173" s="56"/>
      <c r="AL173" s="56"/>
      <c r="AM173" s="56"/>
      <c r="AN173" s="56"/>
      <c r="AO173" s="56"/>
      <c r="AP173" s="58">
        <f t="shared" si="6"/>
        <v>24</v>
      </c>
      <c r="AQ173" s="71">
        <f t="shared" si="7"/>
        <v>25.365624999999998</v>
      </c>
      <c r="AR173" s="71">
        <f>IFERROR(VLOOKUP(A173,Climatologia_TMED!A:U,9+$E$2,FALSE),"")</f>
        <v>24.24334341397849</v>
      </c>
      <c r="AS173" s="71">
        <f t="shared" si="8"/>
        <v>1.1222815860215078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>
        <v>15</v>
      </c>
      <c r="AF174" s="56">
        <v>12.66666666666667</v>
      </c>
      <c r="AG174" s="56">
        <v>12.33333333333333</v>
      </c>
      <c r="AH174" s="56">
        <v>13.93333333333333</v>
      </c>
      <c r="AI174" s="56"/>
      <c r="AJ174" s="56"/>
      <c r="AK174" s="56"/>
      <c r="AL174" s="56"/>
      <c r="AM174" s="56"/>
      <c r="AN174" s="56"/>
      <c r="AO174" s="56"/>
      <c r="AP174" s="58">
        <f t="shared" si="6"/>
        <v>24</v>
      </c>
      <c r="AQ174" s="71">
        <f t="shared" si="7"/>
        <v>13.336111111111114</v>
      </c>
      <c r="AR174" s="71">
        <f>IFERROR(VLOOKUP(A174,Climatologia_TMED!A:U,9+$E$2,FALSE),"")</f>
        <v>12.130348155415341</v>
      </c>
      <c r="AS174" s="71">
        <f t="shared" si="8"/>
        <v>1.2057629556957732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>
        <v>24.93333333333333</v>
      </c>
      <c r="N175" s="56">
        <v>24.2</v>
      </c>
      <c r="O175" s="56">
        <v>22.533333333333331</v>
      </c>
      <c r="P175" s="56">
        <v>25.86666666666666</v>
      </c>
      <c r="Q175" s="56">
        <v>25.4</v>
      </c>
      <c r="R175" s="56">
        <v>23.666666666666671</v>
      </c>
      <c r="S175" s="56">
        <v>24.733333333333331</v>
      </c>
      <c r="T175" s="56">
        <v>24.666666666666671</v>
      </c>
      <c r="U175" s="56">
        <v>26</v>
      </c>
      <c r="V175" s="56">
        <v>24</v>
      </c>
      <c r="W175" s="56">
        <v>24.6</v>
      </c>
      <c r="X175" s="56">
        <v>25.2</v>
      </c>
      <c r="Y175" s="56">
        <v>23.666666666666671</v>
      </c>
      <c r="Z175" s="56">
        <v>22.8</v>
      </c>
      <c r="AA175" s="56">
        <v>22.733333333333331</v>
      </c>
      <c r="AB175" s="56">
        <v>24.8</v>
      </c>
      <c r="AC175" s="56">
        <v>23.86666666666666</v>
      </c>
      <c r="AD175" s="56">
        <v>25.333333333333329</v>
      </c>
      <c r="AE175" s="56">
        <v>27</v>
      </c>
      <c r="AF175" s="56">
        <v>25.86666666666666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22</v>
      </c>
      <c r="AQ175" s="71">
        <f t="shared" si="7"/>
        <v>24.74848484848485</v>
      </c>
      <c r="AR175" s="71">
        <f>IFERROR(VLOOKUP(A175,Climatologia_TMED!A:U,9+$E$2,FALSE),"")</f>
        <v>23.810002936419639</v>
      </c>
      <c r="AS175" s="71">
        <f t="shared" si="8"/>
        <v>0.93848191206521037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>
        <v>26.733333333333331</v>
      </c>
      <c r="AF178" s="56">
        <v>25.2</v>
      </c>
      <c r="AG178" s="56">
        <v>26.266666666666669</v>
      </c>
      <c r="AH178" s="56">
        <v>24.6</v>
      </c>
      <c r="AI178" s="56"/>
      <c r="AJ178" s="56"/>
      <c r="AK178" s="56"/>
      <c r="AL178" s="56"/>
      <c r="AM178" s="56"/>
      <c r="AN178" s="56"/>
      <c r="AO178" s="56"/>
      <c r="AP178" s="58">
        <f t="shared" si="6"/>
        <v>24</v>
      </c>
      <c r="AQ178" s="71">
        <f t="shared" si="7"/>
        <v>25.611111111111111</v>
      </c>
      <c r="AR178" s="71">
        <f>IFERROR(VLOOKUP(A178,Climatologia_TMED!A:U,9+$E$2,FALSE),"")</f>
        <v>24.764281496732401</v>
      </c>
      <c r="AS178" s="71">
        <f t="shared" si="8"/>
        <v>0.84682961437870929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>
        <v>19.899999999999999</v>
      </c>
      <c r="AF179" s="56">
        <v>18.75</v>
      </c>
      <c r="AG179" s="56">
        <v>19.55</v>
      </c>
      <c r="AH179" s="56">
        <v>18.75</v>
      </c>
      <c r="AI179" s="56"/>
      <c r="AJ179" s="56"/>
      <c r="AK179" s="56"/>
      <c r="AL179" s="56"/>
      <c r="AM179" s="56"/>
      <c r="AN179" s="56"/>
      <c r="AO179" s="56"/>
      <c r="AP179" s="58">
        <f t="shared" si="6"/>
        <v>23</v>
      </c>
      <c r="AQ179" s="71">
        <f t="shared" si="7"/>
        <v>19.034782608695654</v>
      </c>
      <c r="AR179" s="71">
        <f>IFERROR(VLOOKUP(A179,Climatologia_TMED!A:U,9+$E$2,FALSE),"")</f>
        <v>17.52263018923631</v>
      </c>
      <c r="AS179" s="71">
        <f t="shared" si="8"/>
        <v>1.5121524194593441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>
        <v>33</v>
      </c>
      <c r="AF181" s="56">
        <v>32.4</v>
      </c>
      <c r="AG181" s="56">
        <v>31.86666666666666</v>
      </c>
      <c r="AH181" s="56">
        <v>33.266666666666673</v>
      </c>
      <c r="AI181" s="56"/>
      <c r="AJ181" s="56"/>
      <c r="AK181" s="56"/>
      <c r="AL181" s="56"/>
      <c r="AM181" s="56"/>
      <c r="AN181" s="56"/>
      <c r="AO181" s="56"/>
      <c r="AP181" s="58">
        <f t="shared" si="6"/>
        <v>24</v>
      </c>
      <c r="AQ181" s="71">
        <f t="shared" si="7"/>
        <v>32.161111111111111</v>
      </c>
      <c r="AR181" s="71">
        <f>IFERROR(VLOOKUP(A181,Climatologia_TMED!A:U,9+$E$2,FALSE),"")</f>
        <v>29.494520657328639</v>
      </c>
      <c r="AS181" s="71">
        <f t="shared" si="8"/>
        <v>2.6665904537824723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>
        <v>31.066666666666659</v>
      </c>
      <c r="AF184" s="56">
        <v>29.066666666666659</v>
      </c>
      <c r="AG184" s="56">
        <v>30.666666666666671</v>
      </c>
      <c r="AH184" s="56">
        <v>30.86666666666666</v>
      </c>
      <c r="AI184" s="56"/>
      <c r="AJ184" s="56"/>
      <c r="AK184" s="56"/>
      <c r="AL184" s="56"/>
      <c r="AM184" s="56"/>
      <c r="AN184" s="56"/>
      <c r="AO184" s="56"/>
      <c r="AP184" s="58">
        <f t="shared" si="6"/>
        <v>15</v>
      </c>
      <c r="AQ184" s="71">
        <f t="shared" si="7"/>
        <v>29.226666666666667</v>
      </c>
      <c r="AR184" s="71">
        <f>IFERROR(VLOOKUP(A184,Climatologia_TMED!A:U,9+$E$2,FALSE),"")</f>
        <v>27.6252438841511</v>
      </c>
      <c r="AS184" s="71">
        <f t="shared" si="8"/>
        <v>1.6014227825155665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>
        <v>32.200000000000003</v>
      </c>
      <c r="AF185" s="56">
        <v>31.666666666666671</v>
      </c>
      <c r="AG185" s="56">
        <v>31.4</v>
      </c>
      <c r="AH185" s="56">
        <v>32.466666666666669</v>
      </c>
      <c r="AI185" s="56"/>
      <c r="AJ185" s="56"/>
      <c r="AK185" s="56"/>
      <c r="AL185" s="56"/>
      <c r="AM185" s="56"/>
      <c r="AN185" s="56"/>
      <c r="AO185" s="56"/>
      <c r="AP185" s="58">
        <f t="shared" si="6"/>
        <v>19</v>
      </c>
      <c r="AQ185" s="71">
        <f t="shared" si="7"/>
        <v>30.617543859649125</v>
      </c>
      <c r="AR185" s="71">
        <f>IFERROR(VLOOKUP(A185,Climatologia_TMED!A:U,9+$E$2,FALSE),"")</f>
        <v>28.426879526214119</v>
      </c>
      <c r="AS185" s="71">
        <f t="shared" si="8"/>
        <v>2.1906643334350058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>
        <v>18.133333333333329</v>
      </c>
      <c r="AF188" s="56"/>
      <c r="AG188" s="56"/>
      <c r="AH188" s="56">
        <v>18.733333333333331</v>
      </c>
      <c r="AI188" s="56"/>
      <c r="AJ188" s="56"/>
      <c r="AK188" s="56"/>
      <c r="AL188" s="56"/>
      <c r="AM188" s="56"/>
      <c r="AN188" s="56"/>
      <c r="AO188" s="56"/>
      <c r="AP188" s="58">
        <f t="shared" si="6"/>
        <v>20</v>
      </c>
      <c r="AQ188" s="71">
        <f t="shared" si="7"/>
        <v>17.893333333333334</v>
      </c>
      <c r="AR188" s="71">
        <f>IFERROR(VLOOKUP(A188,Climatologia_TMED!A:U,9+$E$2,FALSE),"")</f>
        <v>16.219992677735171</v>
      </c>
      <c r="AS188" s="71">
        <f t="shared" si="8"/>
        <v>1.6733406555981638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>
        <v>33.866666666666667</v>
      </c>
      <c r="AF189" s="56"/>
      <c r="AG189" s="56">
        <v>33.066666666666663</v>
      </c>
      <c r="AH189" s="56">
        <v>34.266666666666673</v>
      </c>
      <c r="AI189" s="56"/>
      <c r="AJ189" s="56"/>
      <c r="AK189" s="56"/>
      <c r="AL189" s="56"/>
      <c r="AM189" s="56"/>
      <c r="AN189" s="56"/>
      <c r="AO189" s="56"/>
      <c r="AP189" s="58">
        <f t="shared" si="6"/>
        <v>17</v>
      </c>
      <c r="AQ189" s="71">
        <f t="shared" si="7"/>
        <v>33.454901960784312</v>
      </c>
      <c r="AR189" s="71">
        <f>IFERROR(VLOOKUP(A189,Climatologia_TMED!A:U,9+$E$2,FALSE),"")</f>
        <v>30.520337316954809</v>
      </c>
      <c r="AS189" s="71">
        <f t="shared" si="8"/>
        <v>2.9345646438295034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>
        <v>32.133333333333333</v>
      </c>
      <c r="AF190" s="56">
        <v>32.866666666666667</v>
      </c>
      <c r="AG190" s="56">
        <v>31.933333333333341</v>
      </c>
      <c r="AH190" s="56">
        <v>32.93333333333333</v>
      </c>
      <c r="AI190" s="56"/>
      <c r="AJ190" s="56"/>
      <c r="AK190" s="56"/>
      <c r="AL190" s="56"/>
      <c r="AM190" s="56"/>
      <c r="AN190" s="56"/>
      <c r="AO190" s="56"/>
      <c r="AP190" s="58">
        <f t="shared" si="6"/>
        <v>22</v>
      </c>
      <c r="AQ190" s="71">
        <f t="shared" si="7"/>
        <v>31.454545454545453</v>
      </c>
      <c r="AR190" s="71">
        <f>IFERROR(VLOOKUP(A190,Climatologia_TMED!A:U,9+$E$2,FALSE),"")</f>
        <v>29.552042558032198</v>
      </c>
      <c r="AS190" s="71">
        <f t="shared" si="8"/>
        <v>1.9025028965132549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>
        <v>19.7</v>
      </c>
      <c r="AF191" s="56">
        <v>17.399999999999999</v>
      </c>
      <c r="AG191" s="56">
        <v>18.899999999999999</v>
      </c>
      <c r="AH191" s="56">
        <v>19.75</v>
      </c>
      <c r="AI191" s="56"/>
      <c r="AJ191" s="56"/>
      <c r="AK191" s="56"/>
      <c r="AL191" s="56"/>
      <c r="AM191" s="56"/>
      <c r="AN191" s="56"/>
      <c r="AO191" s="56"/>
      <c r="AP191" s="58">
        <f t="shared" si="6"/>
        <v>24</v>
      </c>
      <c r="AQ191" s="71">
        <f t="shared" si="7"/>
        <v>19.239583333333332</v>
      </c>
      <c r="AR191" s="71">
        <f>IFERROR(VLOOKUP(A191,Climatologia_TMED!A:U,9+$E$2,FALSE),"")</f>
        <v>17.464112079265011</v>
      </c>
      <c r="AS191" s="71">
        <f t="shared" si="8"/>
        <v>1.7754712540683215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>
        <v>28.86666666666666</v>
      </c>
      <c r="AF192" s="56">
        <v>26.4</v>
      </c>
      <c r="AG192" s="56">
        <v>26</v>
      </c>
      <c r="AH192" s="56">
        <v>26.466666666666669</v>
      </c>
      <c r="AI192" s="56"/>
      <c r="AJ192" s="56"/>
      <c r="AK192" s="56"/>
      <c r="AL192" s="56"/>
      <c r="AM192" s="56"/>
      <c r="AN192" s="56"/>
      <c r="AO192" s="56"/>
      <c r="AP192" s="58">
        <f t="shared" si="6"/>
        <v>24</v>
      </c>
      <c r="AQ192" s="71">
        <f t="shared" si="7"/>
        <v>26.619444444444444</v>
      </c>
      <c r="AR192" s="71">
        <f>IFERROR(VLOOKUP(A192,Climatologia_TMED!A:U,9+$E$2,FALSE),"")</f>
        <v>25.598921067303831</v>
      </c>
      <c r="AS192" s="71">
        <f t="shared" si="8"/>
        <v>1.0205233771406128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>
        <v>30.55</v>
      </c>
      <c r="AF193" s="56">
        <v>28.5</v>
      </c>
      <c r="AG193" s="56">
        <v>28.75</v>
      </c>
      <c r="AH193" s="56">
        <v>29.75</v>
      </c>
      <c r="AI193" s="56"/>
      <c r="AJ193" s="56"/>
      <c r="AK193" s="56"/>
      <c r="AL193" s="56"/>
      <c r="AM193" s="56"/>
      <c r="AN193" s="56"/>
      <c r="AO193" s="56"/>
      <c r="AP193" s="58">
        <f t="shared" si="6"/>
        <v>24</v>
      </c>
      <c r="AQ193" s="71">
        <f t="shared" si="7"/>
        <v>28.912499999999998</v>
      </c>
      <c r="AR193" s="71">
        <f>IFERROR(VLOOKUP(A193,Climatologia_TMED!A:U,9+$E$2,FALSE),"")</f>
        <v>26.876419518290088</v>
      </c>
      <c r="AS193" s="71">
        <f t="shared" si="8"/>
        <v>2.0360804817099094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>
        <v>23.4</v>
      </c>
      <c r="AF194" s="56">
        <v>21.333333333333329</v>
      </c>
      <c r="AG194" s="56">
        <v>21.4</v>
      </c>
      <c r="AH194" s="56">
        <v>23</v>
      </c>
      <c r="AI194" s="56"/>
      <c r="AJ194" s="56"/>
      <c r="AK194" s="56"/>
      <c r="AL194" s="56"/>
      <c r="AM194" s="56"/>
      <c r="AN194" s="56"/>
      <c r="AO194" s="56"/>
      <c r="AP194" s="58">
        <f t="shared" si="6"/>
        <v>23</v>
      </c>
      <c r="AQ194" s="71">
        <f t="shared" si="7"/>
        <v>21.953623188405796</v>
      </c>
      <c r="AR194" s="71">
        <f>IFERROR(VLOOKUP(A194,Climatologia_TMED!A:U,9+$E$2,FALSE),"")</f>
        <v>21.92453935902186</v>
      </c>
      <c r="AS194" s="71">
        <f t="shared" si="8"/>
        <v>2.9083829383935722E-2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>
        <v>30.13333333333334</v>
      </c>
      <c r="AF195" s="56">
        <v>27.4</v>
      </c>
      <c r="AG195" s="56">
        <v>28.8</v>
      </c>
      <c r="AH195" s="56">
        <v>30.13333333333334</v>
      </c>
      <c r="AI195" s="56"/>
      <c r="AJ195" s="56"/>
      <c r="AK195" s="56"/>
      <c r="AL195" s="56"/>
      <c r="AM195" s="56"/>
      <c r="AN195" s="56"/>
      <c r="AO195" s="56"/>
      <c r="AP195" s="58">
        <f t="shared" si="6"/>
        <v>20</v>
      </c>
      <c r="AQ195" s="71">
        <f t="shared" si="7"/>
        <v>28.923333333333328</v>
      </c>
      <c r="AR195" s="71">
        <f>IFERROR(VLOOKUP(A195,Climatologia_TMED!A:U,9+$E$2,FALSE),"")</f>
        <v>25.93887423035611</v>
      </c>
      <c r="AS195" s="71">
        <f t="shared" si="8"/>
        <v>2.9844591029772189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>
        <v>24</v>
      </c>
      <c r="AF196" s="56">
        <v>21.2</v>
      </c>
      <c r="AG196" s="56">
        <v>23.066666666666659</v>
      </c>
      <c r="AH196" s="56">
        <v>23.6</v>
      </c>
      <c r="AI196" s="56"/>
      <c r="AJ196" s="56"/>
      <c r="AK196" s="56"/>
      <c r="AL196" s="56"/>
      <c r="AM196" s="56"/>
      <c r="AN196" s="56"/>
      <c r="AO196" s="56"/>
      <c r="AP196" s="58">
        <f t="shared" si="6"/>
        <v>24</v>
      </c>
      <c r="AQ196" s="71">
        <f t="shared" si="7"/>
        <v>22.902777777777775</v>
      </c>
      <c r="AR196" s="71">
        <f>IFERROR(VLOOKUP(A196,Climatologia_TMED!A:U,9+$E$2,FALSE),"")</f>
        <v>20.501275507765811</v>
      </c>
      <c r="AS196" s="71">
        <f t="shared" si="8"/>
        <v>2.4015022700119637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>
        <v>27.666666666666671</v>
      </c>
      <c r="AF197" s="56">
        <v>24.466666666666669</v>
      </c>
      <c r="AG197" s="56">
        <v>26.533333333333331</v>
      </c>
      <c r="AH197" s="56">
        <v>28.13333333333334</v>
      </c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24</v>
      </c>
      <c r="AQ197" s="71">
        <f t="shared" ref="AQ197:AQ260" si="10">IF(AP197&gt;14,AVERAGE(K197:AO197),"")</f>
        <v>27.30972222222222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2.6401020637400592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>
        <v>23</v>
      </c>
      <c r="AF198" s="56">
        <v>20.65</v>
      </c>
      <c r="AG198" s="56">
        <v>22.3</v>
      </c>
      <c r="AH198" s="56">
        <v>21.95</v>
      </c>
      <c r="AI198" s="56"/>
      <c r="AJ198" s="56"/>
      <c r="AK198" s="56"/>
      <c r="AL198" s="56"/>
      <c r="AM198" s="56"/>
      <c r="AN198" s="56"/>
      <c r="AO198" s="56"/>
      <c r="AP198" s="58">
        <f t="shared" si="9"/>
        <v>24</v>
      </c>
      <c r="AQ198" s="71">
        <f t="shared" si="10"/>
        <v>22.152083333333337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>
        <v>16.533333333333331</v>
      </c>
      <c r="AF199" s="56">
        <v>15.933333333333341</v>
      </c>
      <c r="AG199" s="56">
        <v>16.733333333333331</v>
      </c>
      <c r="AH199" s="56">
        <v>16.333333333333329</v>
      </c>
      <c r="AI199" s="56"/>
      <c r="AJ199" s="56"/>
      <c r="AK199" s="56"/>
      <c r="AL199" s="56"/>
      <c r="AM199" s="56"/>
      <c r="AN199" s="56"/>
      <c r="AO199" s="56"/>
      <c r="AP199" s="58">
        <f t="shared" si="9"/>
        <v>22</v>
      </c>
      <c r="AQ199" s="71">
        <f t="shared" si="10"/>
        <v>16.7</v>
      </c>
      <c r="AR199" s="71">
        <f>IFERROR(VLOOKUP(A199,Climatologia_TMED!A:U,9+$E$2,FALSE),"")</f>
        <v>15.9056050475294</v>
      </c>
      <c r="AS199" s="71">
        <f t="shared" si="11"/>
        <v>0.79439495247059888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>
        <v>15.9</v>
      </c>
      <c r="AF200" s="56">
        <v>14.35</v>
      </c>
      <c r="AG200" s="56">
        <v>14.35</v>
      </c>
      <c r="AH200" s="56">
        <v>15.55</v>
      </c>
      <c r="AI200" s="56"/>
      <c r="AJ200" s="56"/>
      <c r="AK200" s="56"/>
      <c r="AL200" s="56"/>
      <c r="AM200" s="56"/>
      <c r="AN200" s="56"/>
      <c r="AO200" s="56"/>
      <c r="AP200" s="58">
        <f t="shared" si="9"/>
        <v>23</v>
      </c>
      <c r="AQ200" s="71">
        <f t="shared" si="10"/>
        <v>14.486956521739133</v>
      </c>
      <c r="AR200" s="71">
        <f>IFERROR(VLOOKUP(A200,Climatologia_TMED!A:U,9+$E$2,FALSE),"")</f>
        <v>13.344977882388941</v>
      </c>
      <c r="AS200" s="71">
        <f t="shared" si="11"/>
        <v>1.1419786393501923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>
        <v>29.4</v>
      </c>
      <c r="AF201" s="56">
        <v>27.65</v>
      </c>
      <c r="AG201" s="56">
        <v>28.4</v>
      </c>
      <c r="AH201" s="56">
        <v>29.05</v>
      </c>
      <c r="AI201" s="56"/>
      <c r="AJ201" s="56"/>
      <c r="AK201" s="56"/>
      <c r="AL201" s="56"/>
      <c r="AM201" s="56"/>
      <c r="AN201" s="56"/>
      <c r="AO201" s="56"/>
      <c r="AP201" s="58">
        <f t="shared" si="9"/>
        <v>24</v>
      </c>
      <c r="AQ201" s="71">
        <f t="shared" si="10"/>
        <v>28.495833333333326</v>
      </c>
      <c r="AR201" s="71">
        <f>IFERROR(VLOOKUP(A201,Climatologia_TMED!A:U,9+$E$2,FALSE),"")</f>
        <v>26.42009640850436</v>
      </c>
      <c r="AS201" s="71">
        <f t="shared" si="11"/>
        <v>2.0757369248289663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>
        <v>14.25</v>
      </c>
      <c r="AF202" s="56">
        <v>13.1</v>
      </c>
      <c r="AG202" s="56">
        <v>14.1</v>
      </c>
      <c r="AH202" s="56">
        <v>13.65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24</v>
      </c>
      <c r="AQ202" s="71">
        <f t="shared" si="10"/>
        <v>13.110416666666666</v>
      </c>
      <c r="AR202" s="71">
        <f>IFERROR(VLOOKUP(A202,Climatologia_TMED!A:U,9+$E$2,FALSE),"")</f>
        <v>12.92387825817962</v>
      </c>
      <c r="AS202" s="71">
        <f t="shared" si="11"/>
        <v>0.18653840848704561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>
        <v>13.866666666666671</v>
      </c>
      <c r="AF203" s="56">
        <v>14</v>
      </c>
      <c r="AG203" s="56">
        <v>14</v>
      </c>
      <c r="AH203" s="56">
        <v>13.93333333333333</v>
      </c>
      <c r="AI203" s="56"/>
      <c r="AJ203" s="56"/>
      <c r="AK203" s="56"/>
      <c r="AL203" s="56"/>
      <c r="AM203" s="56"/>
      <c r="AN203" s="56"/>
      <c r="AO203" s="56"/>
      <c r="AP203" s="58">
        <f t="shared" si="9"/>
        <v>21</v>
      </c>
      <c r="AQ203" s="71">
        <f t="shared" si="10"/>
        <v>14.133333333333335</v>
      </c>
      <c r="AR203" s="71">
        <f>IFERROR(VLOOKUP(A203,Climatologia_TMED!A:U,9+$E$2,FALSE),"")</f>
        <v>12.086069715466531</v>
      </c>
      <c r="AS203" s="71">
        <f t="shared" si="11"/>
        <v>2.047263617866804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>
        <v>13.75</v>
      </c>
      <c r="AE206" s="56">
        <v>12.4</v>
      </c>
      <c r="AF206" s="56">
        <v>11.35</v>
      </c>
      <c r="AG206" s="56">
        <v>13.75</v>
      </c>
      <c r="AH206" s="56">
        <v>13.95</v>
      </c>
      <c r="AI206" s="56"/>
      <c r="AJ206" s="56"/>
      <c r="AK206" s="56"/>
      <c r="AL206" s="56"/>
      <c r="AM206" s="56"/>
      <c r="AN206" s="56"/>
      <c r="AO206" s="56"/>
      <c r="AP206" s="58">
        <f t="shared" si="9"/>
        <v>24</v>
      </c>
      <c r="AQ206" s="71">
        <f t="shared" si="10"/>
        <v>13.381249999999996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>
        <v>13.93333333333333</v>
      </c>
      <c r="AF207" s="56"/>
      <c r="AG207" s="56"/>
      <c r="AH207" s="56">
        <v>14.46666666666667</v>
      </c>
      <c r="AI207" s="56"/>
      <c r="AJ207" s="56"/>
      <c r="AK207" s="56"/>
      <c r="AL207" s="56"/>
      <c r="AM207" s="56"/>
      <c r="AN207" s="56"/>
      <c r="AO207" s="56"/>
      <c r="AP207" s="58">
        <f t="shared" si="9"/>
        <v>12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>
        <v>11.55</v>
      </c>
      <c r="AF208" s="56">
        <v>13.9</v>
      </c>
      <c r="AG208" s="56">
        <v>14.9</v>
      </c>
      <c r="AH208" s="56">
        <v>14.55</v>
      </c>
      <c r="AI208" s="56"/>
      <c r="AJ208" s="56"/>
      <c r="AK208" s="56"/>
      <c r="AL208" s="56"/>
      <c r="AM208" s="56"/>
      <c r="AN208" s="56"/>
      <c r="AO208" s="56"/>
      <c r="AP208" s="58">
        <f t="shared" si="9"/>
        <v>24</v>
      </c>
      <c r="AQ208" s="71">
        <f t="shared" si="10"/>
        <v>13.837499999999999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>
        <v>11.55</v>
      </c>
      <c r="AE209" s="56">
        <v>11.4</v>
      </c>
      <c r="AF209" s="56">
        <v>10.65</v>
      </c>
      <c r="AG209" s="56">
        <v>11</v>
      </c>
      <c r="AH209" s="56">
        <v>10.85</v>
      </c>
      <c r="AI209" s="56"/>
      <c r="AJ209" s="56"/>
      <c r="AK209" s="56"/>
      <c r="AL209" s="56"/>
      <c r="AM209" s="56"/>
      <c r="AN209" s="56"/>
      <c r="AO209" s="56"/>
      <c r="AP209" s="58">
        <f t="shared" si="9"/>
        <v>24</v>
      </c>
      <c r="AQ209" s="71">
        <f t="shared" si="10"/>
        <v>11.089583333333335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>
        <v>16.600000000000001</v>
      </c>
      <c r="AF210" s="56">
        <v>16</v>
      </c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22</v>
      </c>
      <c r="AQ210" s="71">
        <f t="shared" si="10"/>
        <v>15.811363636363636</v>
      </c>
      <c r="AR210" s="71">
        <f>IFERROR(VLOOKUP(A210,Climatologia_TMED!A:U,9+$E$2,FALSE),"")</f>
        <v>14.343130840767889</v>
      </c>
      <c r="AS210" s="71">
        <f t="shared" si="11"/>
        <v>1.4682327955957462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>
        <v>8.6499999999999986</v>
      </c>
      <c r="AG211" s="56">
        <v>8.3000000000000007</v>
      </c>
      <c r="AH211" s="56">
        <v>8.9499999999999993</v>
      </c>
      <c r="AI211" s="56"/>
      <c r="AJ211" s="56"/>
      <c r="AK211" s="56"/>
      <c r="AL211" s="56"/>
      <c r="AM211" s="56"/>
      <c r="AN211" s="56"/>
      <c r="AO211" s="56"/>
      <c r="AP211" s="58">
        <f t="shared" si="9"/>
        <v>22</v>
      </c>
      <c r="AQ211" s="71">
        <f t="shared" si="10"/>
        <v>8.4477272727272723</v>
      </c>
      <c r="AR211" s="71">
        <f>IFERROR(VLOOKUP(A211,Climatologia_TMED!A:U,9+$E$2,FALSE),"")</f>
        <v>8.1491623782224423</v>
      </c>
      <c r="AS211" s="71">
        <f t="shared" si="11"/>
        <v>0.29856489450483004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>
        <v>26.9</v>
      </c>
      <c r="AF212" s="56">
        <v>27</v>
      </c>
      <c r="AG212" s="56">
        <v>26.55</v>
      </c>
      <c r="AH212" s="56">
        <v>26.3</v>
      </c>
      <c r="AI212" s="56"/>
      <c r="AJ212" s="56"/>
      <c r="AK212" s="56"/>
      <c r="AL212" s="56"/>
      <c r="AM212" s="56"/>
      <c r="AN212" s="56"/>
      <c r="AO212" s="56"/>
      <c r="AP212" s="58">
        <f t="shared" si="9"/>
        <v>22</v>
      </c>
      <c r="AQ212" s="71">
        <f t="shared" si="10"/>
        <v>27.48863636363636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2026-08-25T15:16:05Z</dcterms:modified>
</cp:coreProperties>
</file>