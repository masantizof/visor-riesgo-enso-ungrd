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3255FDD-54DC-487A-A526-1793A5D5FA0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Q209" i="1"/>
  <c r="AS209" i="1" s="1"/>
  <c r="AP209" i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Q197" i="1"/>
  <c r="AS197" i="1" s="1"/>
  <c r="AP197" i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Q177" i="1"/>
  <c r="AS177" i="1" s="1"/>
  <c r="AP177" i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Q165" i="1"/>
  <c r="AS165" i="1" s="1"/>
  <c r="AP165" i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Q129" i="1"/>
  <c r="AS129" i="1" s="1"/>
  <c r="AP129" i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Q117" i="1"/>
  <c r="AS117" i="1" s="1"/>
  <c r="AP117" i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Q113" i="1"/>
  <c r="AS113" i="1" s="1"/>
  <c r="AP113" i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Q85" i="1"/>
  <c r="AS85" i="1" s="1"/>
  <c r="AP85" i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Q37" i="1"/>
  <c r="AS37" i="1" s="1"/>
  <c r="AP37" i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Q5" i="1"/>
  <c r="AS5" i="1" s="1"/>
  <c r="AP5" i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<sst xmlns="http://schemas.openxmlformats.org/spreadsheetml/2006/main" count="3690" uniqueCount="1514">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</sst>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H1" zoomScale="85" zoomScaleNormal="85" workbookViewId="0">
      <selection activeCell="Y66" sqref="Y6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68" width="32.42578125" style="50" customWidth="1"/>
    <col min="169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>
        <v>30.3</v>
      </c>
      <c r="O5" s="56">
        <v>29.9</v>
      </c>
      <c r="P5" s="56">
        <v>30</v>
      </c>
      <c r="Q5" s="56">
        <v>29</v>
      </c>
      <c r="R5" s="56">
        <v>30.3</v>
      </c>
      <c r="S5" s="56">
        <v>30.2</v>
      </c>
      <c r="T5" s="56">
        <v>30</v>
      </c>
      <c r="U5" s="56">
        <v>30.4</v>
      </c>
      <c r="V5" s="56">
        <v>29.9</v>
      </c>
      <c r="W5" s="56">
        <v>30.4</v>
      </c>
      <c r="X5" s="56">
        <v>29.7</v>
      </c>
      <c r="Y5" s="56">
        <v>28.3</v>
      </c>
      <c r="Z5" s="56">
        <v>29</v>
      </c>
      <c r="AA5" s="56">
        <v>28.9</v>
      </c>
      <c r="AB5" s="56">
        <v>30</v>
      </c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18</v>
      </c>
      <c r="AQ5" s="71">
        <f t="shared" ref="AQ5:AQ68" si="1">IF(AP5&gt;14,AVERAGE(K5:AO5),"")</f>
        <v>29.722222222222221</v>
      </c>
      <c r="AR5" s="71">
        <f>IFERROR(VLOOKUP(A5,Climatologia_TMED!A:U,9+$E$2,FALSE),"")</f>
        <v>28.19559771167529</v>
      </c>
      <c r="AS5" s="71">
        <f t="shared" ref="AS5:AS68" si="2">IF(OR(AQ5="",AR5=""),"",IFERROR(AQ5-AR5,""))</f>
        <v>1.5266245105469309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>
        <v>29.7</v>
      </c>
      <c r="O6" s="56">
        <v>29.9</v>
      </c>
      <c r="P6" s="56">
        <v>30.1</v>
      </c>
      <c r="Q6" s="56">
        <v>30.2</v>
      </c>
      <c r="R6" s="56">
        <v>30.6</v>
      </c>
      <c r="S6" s="56">
        <v>30.5</v>
      </c>
      <c r="T6" s="56">
        <v>30.1</v>
      </c>
      <c r="U6" s="56">
        <v>29.6</v>
      </c>
      <c r="V6" s="56">
        <v>30.1</v>
      </c>
      <c r="W6" s="56">
        <v>29.6</v>
      </c>
      <c r="X6" s="56">
        <v>30.1</v>
      </c>
      <c r="Y6" s="56">
        <v>29.7</v>
      </c>
      <c r="Z6" s="56">
        <v>29.9</v>
      </c>
      <c r="AA6" s="56">
        <v>29.2</v>
      </c>
      <c r="AB6" s="56">
        <v>30</v>
      </c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18</v>
      </c>
      <c r="AQ6" s="71">
        <f t="shared" si="1"/>
        <v>29.833333333333332</v>
      </c>
      <c r="AR6" s="71">
        <f>IFERROR(VLOOKUP(A6,Climatologia_TMED!A:U,9+$E$2,FALSE),"")</f>
        <v>28.25163478260869</v>
      </c>
      <c r="AS6" s="71">
        <f t="shared" si="2"/>
        <v>1.5816985507246422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>
        <v>31.4</v>
      </c>
      <c r="O7" s="56">
        <v>32.5</v>
      </c>
      <c r="P7" s="56">
        <v>31.2</v>
      </c>
      <c r="Q7" s="56">
        <v>30.7</v>
      </c>
      <c r="R7" s="56">
        <v>30.6</v>
      </c>
      <c r="S7" s="56">
        <v>32.799999999999997</v>
      </c>
      <c r="T7" s="56">
        <v>30.7</v>
      </c>
      <c r="U7" s="56">
        <v>31.5</v>
      </c>
      <c r="V7" s="56">
        <v>30.2</v>
      </c>
      <c r="W7" s="56">
        <v>31.5</v>
      </c>
      <c r="X7" s="56">
        <v>30.9</v>
      </c>
      <c r="Y7" s="56">
        <v>31.3</v>
      </c>
      <c r="Z7" s="56">
        <v>29.9</v>
      </c>
      <c r="AA7" s="56">
        <v>32.6</v>
      </c>
      <c r="AB7" s="56">
        <v>32.5</v>
      </c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18</v>
      </c>
      <c r="AQ7" s="71">
        <f t="shared" si="1"/>
        <v>31.205555555555552</v>
      </c>
      <c r="AR7" s="71">
        <f>IFERROR(VLOOKUP(A7,Climatologia_TMED!A:U,9+$E$2,FALSE),"")</f>
        <v>28.589798932951091</v>
      </c>
      <c r="AS7" s="71">
        <f t="shared" si="2"/>
        <v>2.6157566226044615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>
        <v>30.6</v>
      </c>
      <c r="O8" s="56">
        <v>31.7</v>
      </c>
      <c r="P8" s="56">
        <v>31.5</v>
      </c>
      <c r="Q8" s="56">
        <v>30.2</v>
      </c>
      <c r="R8" s="56">
        <v>31.1</v>
      </c>
      <c r="S8" s="56">
        <v>31.3</v>
      </c>
      <c r="T8" s="56">
        <v>31.2</v>
      </c>
      <c r="U8" s="56">
        <v>30.3</v>
      </c>
      <c r="V8" s="56">
        <v>30.6</v>
      </c>
      <c r="W8" s="56">
        <v>30.3</v>
      </c>
      <c r="X8" s="56">
        <v>29.8</v>
      </c>
      <c r="Y8" s="56">
        <v>29.5</v>
      </c>
      <c r="Z8" s="56">
        <v>29.7</v>
      </c>
      <c r="AA8" s="56">
        <v>30.2</v>
      </c>
      <c r="AB8" s="56">
        <v>31</v>
      </c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18</v>
      </c>
      <c r="AQ8" s="71">
        <f t="shared" si="1"/>
        <v>30.544444444444448</v>
      </c>
      <c r="AR8" s="71">
        <f>IFERROR(VLOOKUP(A8,Climatologia_TMED!A:U,9+$E$2,FALSE),"")</f>
        <v>28.588634585621801</v>
      </c>
      <c r="AS8" s="71">
        <f t="shared" si="2"/>
        <v>1.9558098588226471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>
        <v>31</v>
      </c>
      <c r="O9" s="56">
        <v>29.6</v>
      </c>
      <c r="P9" s="56">
        <v>31.6</v>
      </c>
      <c r="Q9" s="56">
        <v>30.1</v>
      </c>
      <c r="R9" s="56">
        <v>30.7</v>
      </c>
      <c r="S9" s="56">
        <v>31</v>
      </c>
      <c r="T9" s="56">
        <v>30.8</v>
      </c>
      <c r="U9" s="56">
        <v>30.1</v>
      </c>
      <c r="V9" s="56">
        <v>30.1</v>
      </c>
      <c r="W9" s="56">
        <v>30.1</v>
      </c>
      <c r="X9" s="56">
        <v>29.8</v>
      </c>
      <c r="Y9" s="56">
        <v>30</v>
      </c>
      <c r="Z9" s="56">
        <v>29.2</v>
      </c>
      <c r="AA9" s="56">
        <v>29.4</v>
      </c>
      <c r="AB9" s="56">
        <v>32.5</v>
      </c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18</v>
      </c>
      <c r="AQ9" s="71">
        <f t="shared" si="1"/>
        <v>30.366666666666667</v>
      </c>
      <c r="AR9" s="71">
        <f>IFERROR(VLOOKUP(A9,Climatologia_TMED!A:U,9+$E$2,FALSE),"")</f>
        <v>29.696260683760649</v>
      </c>
      <c r="AS9" s="71">
        <f t="shared" si="2"/>
        <v>0.67040598290601849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>
        <v>31.3</v>
      </c>
      <c r="O10" s="56">
        <v>32.5</v>
      </c>
      <c r="P10" s="56">
        <v>33.299999999999997</v>
      </c>
      <c r="Q10" s="56">
        <v>32.4</v>
      </c>
      <c r="R10" s="56">
        <v>33.9</v>
      </c>
      <c r="S10" s="56">
        <v>32.299999999999997</v>
      </c>
      <c r="T10" s="56">
        <v>32.5</v>
      </c>
      <c r="U10" s="56">
        <v>33.200000000000003</v>
      </c>
      <c r="V10" s="56">
        <v>32.9</v>
      </c>
      <c r="W10" s="56">
        <v>33.200000000000003</v>
      </c>
      <c r="X10" s="56">
        <v>31.4</v>
      </c>
      <c r="Y10" s="56">
        <v>30.3</v>
      </c>
      <c r="Z10" s="56">
        <v>32.5</v>
      </c>
      <c r="AA10" s="56">
        <v>30.4</v>
      </c>
      <c r="AB10" s="56">
        <v>33.1</v>
      </c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18</v>
      </c>
      <c r="AQ10" s="71">
        <f t="shared" si="1"/>
        <v>32.150000000000006</v>
      </c>
      <c r="AR10" s="71">
        <f>IFERROR(VLOOKUP(A10,Climatologia_TMED!A:U,9+$E$2,FALSE),"")</f>
        <v>28.721385845783921</v>
      </c>
      <c r="AS10" s="71">
        <f t="shared" si="2"/>
        <v>3.4286141542160848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>
        <v>33.5</v>
      </c>
      <c r="O11" s="56">
        <v>32.6</v>
      </c>
      <c r="P11" s="56">
        <v>31.5</v>
      </c>
      <c r="Q11" s="56">
        <v>30.9</v>
      </c>
      <c r="R11" s="56">
        <v>34.799999999999997</v>
      </c>
      <c r="S11" s="56">
        <v>34.5</v>
      </c>
      <c r="T11" s="56">
        <v>33.200000000000003</v>
      </c>
      <c r="U11" s="56">
        <v>32.9</v>
      </c>
      <c r="V11" s="56">
        <v>32.9</v>
      </c>
      <c r="W11" s="56">
        <v>32.9</v>
      </c>
      <c r="X11" s="56">
        <v>31.7</v>
      </c>
      <c r="Y11" s="56">
        <v>31.3</v>
      </c>
      <c r="Z11" s="56">
        <v>30.9</v>
      </c>
      <c r="AA11" s="56">
        <v>34.4</v>
      </c>
      <c r="AB11" s="56">
        <v>33.700000000000003</v>
      </c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18</v>
      </c>
      <c r="AQ11" s="71">
        <f t="shared" si="1"/>
        <v>32.477777777777774</v>
      </c>
      <c r="AR11" s="71">
        <f>IFERROR(VLOOKUP(A11,Climatologia_TMED!A:U,9+$E$2,FALSE),"")</f>
        <v>28.21428787063774</v>
      </c>
      <c r="AS11" s="71">
        <f t="shared" si="2"/>
        <v>4.2634899071400341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>
        <v>30.3</v>
      </c>
      <c r="O12" s="56">
        <v>29.5</v>
      </c>
      <c r="P12" s="56">
        <v>28.2</v>
      </c>
      <c r="Q12" s="56">
        <v>29.4</v>
      </c>
      <c r="R12" s="56">
        <v>31.4</v>
      </c>
      <c r="S12" s="56">
        <v>30.3</v>
      </c>
      <c r="T12" s="56">
        <v>28.3</v>
      </c>
      <c r="U12" s="56">
        <v>28.1</v>
      </c>
      <c r="V12" s="56">
        <v>30.2</v>
      </c>
      <c r="W12" s="56">
        <v>28.1</v>
      </c>
      <c r="X12" s="56">
        <v>29.4</v>
      </c>
      <c r="Y12" s="56">
        <v>28.2</v>
      </c>
      <c r="Z12" s="56">
        <v>28.9</v>
      </c>
      <c r="AA12" s="56">
        <v>31.9</v>
      </c>
      <c r="AB12" s="56">
        <v>31.3</v>
      </c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18</v>
      </c>
      <c r="AQ12" s="71">
        <f t="shared" si="1"/>
        <v>29.644444444444439</v>
      </c>
      <c r="AR12" s="71">
        <f>IFERROR(VLOOKUP(A12,Climatologia_TMED!A:U,9+$E$2,FALSE),"")</f>
        <v>27.70823838484932</v>
      </c>
      <c r="AS12" s="71">
        <f t="shared" si="2"/>
        <v>1.9362060595951185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>
        <v>31.1</v>
      </c>
      <c r="O13" s="56">
        <v>31.6</v>
      </c>
      <c r="P13" s="56">
        <v>29.5</v>
      </c>
      <c r="Q13" s="56">
        <v>30.7</v>
      </c>
      <c r="R13" s="56">
        <v>31</v>
      </c>
      <c r="S13" s="56">
        <v>32.9</v>
      </c>
      <c r="T13" s="56">
        <v>31.3</v>
      </c>
      <c r="U13" s="56">
        <v>28.5</v>
      </c>
      <c r="V13" s="56">
        <v>31.9</v>
      </c>
      <c r="W13" s="56">
        <v>28.5</v>
      </c>
      <c r="X13" s="56">
        <v>32.1</v>
      </c>
      <c r="Y13" s="56">
        <v>31</v>
      </c>
      <c r="Z13" s="56">
        <v>27.8</v>
      </c>
      <c r="AA13" s="56">
        <v>31.8</v>
      </c>
      <c r="AB13" s="56">
        <v>32.4</v>
      </c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18</v>
      </c>
      <c r="AQ13" s="71">
        <f t="shared" si="1"/>
        <v>30.661111111111111</v>
      </c>
      <c r="AR13" s="71">
        <f>IFERROR(VLOOKUP(A13,Climatologia_TMED!A:U,9+$E$2,FALSE),"")</f>
        <v>27.821442821282261</v>
      </c>
      <c r="AS13" s="71">
        <f t="shared" si="2"/>
        <v>2.8396682898288503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>
        <v>24.3</v>
      </c>
      <c r="O14" s="56">
        <v>24.8</v>
      </c>
      <c r="P14" s="56">
        <v>23.5</v>
      </c>
      <c r="Q14" s="56">
        <v>22.7</v>
      </c>
      <c r="R14" s="56">
        <v>24.4</v>
      </c>
      <c r="S14" s="56">
        <v>24.8</v>
      </c>
      <c r="T14" s="56">
        <v>24.3</v>
      </c>
      <c r="U14" s="56">
        <v>23.6</v>
      </c>
      <c r="V14" s="56">
        <v>24.6</v>
      </c>
      <c r="W14" s="56">
        <v>23.6</v>
      </c>
      <c r="X14" s="56">
        <v>23.6</v>
      </c>
      <c r="Y14" s="56">
        <v>24.7</v>
      </c>
      <c r="Z14" s="56">
        <v>23.3</v>
      </c>
      <c r="AA14" s="56">
        <v>25.5</v>
      </c>
      <c r="AB14" s="56">
        <v>24.1</v>
      </c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18</v>
      </c>
      <c r="AQ14" s="71">
        <f t="shared" si="1"/>
        <v>23.916666666666671</v>
      </c>
      <c r="AR14" s="71">
        <f>IFERROR(VLOOKUP(A14,Climatologia_TMED!A:U,9+$E$2,FALSE),"")</f>
        <v>21.645192307692302</v>
      </c>
      <c r="AS14" s="71">
        <f t="shared" si="2"/>
        <v>2.2714743589743698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>
        <v>31</v>
      </c>
      <c r="O15" s="56">
        <v>31.6</v>
      </c>
      <c r="P15" s="56">
        <v>29.8</v>
      </c>
      <c r="Q15" s="56">
        <v>31.3</v>
      </c>
      <c r="R15" s="56">
        <v>29.9</v>
      </c>
      <c r="S15" s="56">
        <v>31.9</v>
      </c>
      <c r="T15" s="56">
        <v>30</v>
      </c>
      <c r="U15" s="56">
        <v>30.5</v>
      </c>
      <c r="V15" s="56">
        <v>31.8</v>
      </c>
      <c r="W15" s="56">
        <v>30.5</v>
      </c>
      <c r="X15" s="56">
        <v>31.9</v>
      </c>
      <c r="Y15" s="56">
        <v>32</v>
      </c>
      <c r="Z15" s="56">
        <v>31.5</v>
      </c>
      <c r="AA15" s="56">
        <v>31.3</v>
      </c>
      <c r="AB15" s="56">
        <v>32.4</v>
      </c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18</v>
      </c>
      <c r="AQ15" s="71">
        <f t="shared" si="1"/>
        <v>31.038888888888884</v>
      </c>
      <c r="AR15" s="71">
        <f>IFERROR(VLOOKUP(A15,Climatologia_TMED!A:U,9+$E$2,FALSE),"")</f>
        <v>28.721184147509561</v>
      </c>
      <c r="AS15" s="71">
        <f t="shared" si="2"/>
        <v>2.3177047413793233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>
        <v>29.3</v>
      </c>
      <c r="O16" s="56">
        <v>28.4</v>
      </c>
      <c r="P16" s="56">
        <v>28.1</v>
      </c>
      <c r="Q16" s="56">
        <v>28.7</v>
      </c>
      <c r="R16" s="56">
        <v>29.3</v>
      </c>
      <c r="S16" s="56">
        <v>29.6</v>
      </c>
      <c r="T16" s="56">
        <v>28.3</v>
      </c>
      <c r="U16" s="56">
        <v>26.8</v>
      </c>
      <c r="V16" s="56">
        <v>28.5</v>
      </c>
      <c r="W16" s="56">
        <v>26.8</v>
      </c>
      <c r="X16" s="56">
        <v>28.8</v>
      </c>
      <c r="Y16" s="56">
        <v>28.3</v>
      </c>
      <c r="Z16" s="56">
        <v>29.6</v>
      </c>
      <c r="AA16" s="56">
        <v>30.7</v>
      </c>
      <c r="AB16" s="56">
        <v>29</v>
      </c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18</v>
      </c>
      <c r="AQ16" s="71">
        <f t="shared" si="1"/>
        <v>28.688888888888894</v>
      </c>
      <c r="AR16" s="71">
        <f>IFERROR(VLOOKUP(A16,Climatologia_TMED!A:U,9+$E$2,FALSE),"")</f>
        <v>27.412401021711371</v>
      </c>
      <c r="AS16" s="71">
        <f t="shared" si="2"/>
        <v>1.2764878671775222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>
        <v>26.3</v>
      </c>
      <c r="O17" s="56">
        <v>26</v>
      </c>
      <c r="P17" s="56">
        <v>25.1</v>
      </c>
      <c r="Q17" s="56">
        <v>24.8</v>
      </c>
      <c r="R17" s="56">
        <v>26</v>
      </c>
      <c r="S17" s="56">
        <v>27.1</v>
      </c>
      <c r="T17" s="56">
        <v>26</v>
      </c>
      <c r="U17" s="56">
        <v>23.8</v>
      </c>
      <c r="V17" s="56">
        <v>26.6</v>
      </c>
      <c r="W17" s="56">
        <v>23.8</v>
      </c>
      <c r="X17" s="56">
        <v>26.2</v>
      </c>
      <c r="Y17" s="56">
        <v>25.8</v>
      </c>
      <c r="Z17" s="56">
        <v>25.3</v>
      </c>
      <c r="AA17" s="56">
        <v>26.1</v>
      </c>
      <c r="AB17" s="56">
        <v>26.9</v>
      </c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18</v>
      </c>
      <c r="AQ17" s="71">
        <f t="shared" si="1"/>
        <v>25.633333333333336</v>
      </c>
      <c r="AR17" s="71">
        <f>IFERROR(VLOOKUP(A17,Climatologia_TMED!A:U,9+$E$2,FALSE),"")</f>
        <v>23.202496921182259</v>
      </c>
      <c r="AS17" s="71">
        <f t="shared" si="2"/>
        <v>2.430836412151077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>
        <v>19.8</v>
      </c>
      <c r="O18" s="56">
        <v>18.7</v>
      </c>
      <c r="P18" s="56">
        <v>19.600000000000001</v>
      </c>
      <c r="Q18" s="56">
        <v>17.899999999999999</v>
      </c>
      <c r="R18" s="56">
        <v>19.899999999999999</v>
      </c>
      <c r="S18" s="56">
        <v>19.8</v>
      </c>
      <c r="T18" s="56">
        <v>19.8</v>
      </c>
      <c r="U18" s="56">
        <v>20</v>
      </c>
      <c r="V18" s="56">
        <v>19.8</v>
      </c>
      <c r="W18" s="56">
        <v>20</v>
      </c>
      <c r="X18" s="56">
        <v>19.5</v>
      </c>
      <c r="Y18" s="56">
        <v>19.8</v>
      </c>
      <c r="Z18" s="56">
        <v>19.899999999999999</v>
      </c>
      <c r="AA18" s="56">
        <v>19.3</v>
      </c>
      <c r="AB18" s="56">
        <v>19.8</v>
      </c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18</v>
      </c>
      <c r="AQ18" s="71">
        <f t="shared" si="1"/>
        <v>19.466666666666669</v>
      </c>
      <c r="AR18" s="71">
        <f>IFERROR(VLOOKUP(A18,Climatologia_TMED!A:U,9+$E$2,FALSE),"")</f>
        <v>17.218397988505739</v>
      </c>
      <c r="AS18" s="71">
        <f t="shared" si="2"/>
        <v>2.2482686781609296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>
        <v>24.2</v>
      </c>
      <c r="O19" s="56">
        <v>25.3</v>
      </c>
      <c r="P19" s="56">
        <v>23.8</v>
      </c>
      <c r="Q19" s="56">
        <v>23.1</v>
      </c>
      <c r="R19" s="56">
        <v>27.2</v>
      </c>
      <c r="S19" s="56">
        <v>25.4</v>
      </c>
      <c r="T19" s="56">
        <v>25.9</v>
      </c>
      <c r="U19" s="56">
        <v>23.2</v>
      </c>
      <c r="V19" s="56">
        <v>24.2</v>
      </c>
      <c r="W19" s="56">
        <v>23.2</v>
      </c>
      <c r="X19" s="56">
        <v>24.8</v>
      </c>
      <c r="Y19" s="56">
        <v>25.8</v>
      </c>
      <c r="Z19" s="56">
        <v>25.6</v>
      </c>
      <c r="AA19" s="56">
        <v>27.8</v>
      </c>
      <c r="AB19" s="56">
        <v>26.3</v>
      </c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18</v>
      </c>
      <c r="AQ19" s="71">
        <f t="shared" si="1"/>
        <v>24.927777777777781</v>
      </c>
      <c r="AR19" s="71">
        <f>IFERROR(VLOOKUP(A19,Climatologia_TMED!A:U,9+$E$2,FALSE),"")</f>
        <v>21.945897435897429</v>
      </c>
      <c r="AS19" s="71">
        <f t="shared" si="2"/>
        <v>2.9818803418803519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>
        <v>25.3</v>
      </c>
      <c r="O20" s="56">
        <v>25.1</v>
      </c>
      <c r="P20" s="56">
        <v>26.3</v>
      </c>
      <c r="Q20" s="56">
        <v>23</v>
      </c>
      <c r="R20" s="56">
        <v>26.4</v>
      </c>
      <c r="S20" s="56">
        <v>24.7</v>
      </c>
      <c r="T20" s="56">
        <v>25.3</v>
      </c>
      <c r="U20" s="56">
        <v>24</v>
      </c>
      <c r="V20" s="56">
        <v>25.3</v>
      </c>
      <c r="W20" s="56">
        <v>24</v>
      </c>
      <c r="X20" s="56">
        <v>25.1</v>
      </c>
      <c r="Y20" s="56">
        <v>25</v>
      </c>
      <c r="Z20" s="56">
        <v>26.1</v>
      </c>
      <c r="AA20" s="56">
        <v>27.1</v>
      </c>
      <c r="AB20" s="56">
        <v>26.3</v>
      </c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18</v>
      </c>
      <c r="AQ20" s="71">
        <f t="shared" si="1"/>
        <v>25.261111111111116</v>
      </c>
      <c r="AR20" s="71">
        <f>IFERROR(VLOOKUP(A20,Climatologia_TMED!A:U,9+$E$2,FALSE),"")</f>
        <v>22.11881789187823</v>
      </c>
      <c r="AS20" s="71">
        <f t="shared" si="2"/>
        <v>3.1422932192328865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>
        <v>28</v>
      </c>
      <c r="O21" s="56">
        <v>28.9</v>
      </c>
      <c r="P21" s="56">
        <v>28.4</v>
      </c>
      <c r="Q21" s="56">
        <v>27.6</v>
      </c>
      <c r="R21" s="56">
        <v>29.6</v>
      </c>
      <c r="S21" s="56">
        <v>29.1</v>
      </c>
      <c r="T21" s="56">
        <v>29.7</v>
      </c>
      <c r="U21" s="56">
        <v>27.8</v>
      </c>
      <c r="V21" s="56">
        <v>29.1</v>
      </c>
      <c r="W21" s="56">
        <v>27.8</v>
      </c>
      <c r="X21" s="56">
        <v>28.3</v>
      </c>
      <c r="Y21" s="56">
        <v>29.7</v>
      </c>
      <c r="Z21" s="56">
        <v>28.8</v>
      </c>
      <c r="AA21" s="56">
        <v>29.2</v>
      </c>
      <c r="AB21" s="56">
        <v>30</v>
      </c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18</v>
      </c>
      <c r="AQ21" s="71">
        <f t="shared" si="1"/>
        <v>28.622222222222224</v>
      </c>
      <c r="AR21" s="71">
        <f>IFERROR(VLOOKUP(A21,Climatologia_TMED!A:U,9+$E$2,FALSE),"")</f>
        <v>24.941045052186539</v>
      </c>
      <c r="AS21" s="71">
        <f t="shared" si="2"/>
        <v>3.681177170035685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>
        <v>15.6</v>
      </c>
      <c r="O22" s="56">
        <v>15.7</v>
      </c>
      <c r="P22" s="56">
        <v>16.100000000000001</v>
      </c>
      <c r="Q22" s="56">
        <v>13.5</v>
      </c>
      <c r="R22" s="56">
        <v>15.6</v>
      </c>
      <c r="S22" s="56">
        <v>16.600000000000001</v>
      </c>
      <c r="T22" s="56">
        <v>15.1</v>
      </c>
      <c r="U22" s="56">
        <v>16</v>
      </c>
      <c r="V22" s="56">
        <v>16.2</v>
      </c>
      <c r="W22" s="56">
        <v>16</v>
      </c>
      <c r="X22" s="56">
        <v>16.600000000000001</v>
      </c>
      <c r="Y22" s="56">
        <v>15</v>
      </c>
      <c r="Z22" s="56">
        <v>15.6</v>
      </c>
      <c r="AA22" s="56">
        <v>15.3</v>
      </c>
      <c r="AB22" s="56">
        <v>15.2</v>
      </c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18</v>
      </c>
      <c r="AQ22" s="71">
        <f t="shared" si="1"/>
        <v>15.661111111111106</v>
      </c>
      <c r="AR22" s="71">
        <f>IFERROR(VLOOKUP(A22,Climatologia_TMED!A:U,9+$E$2,FALSE),"")</f>
        <v>13.769711096374881</v>
      </c>
      <c r="AS22" s="71">
        <f t="shared" si="2"/>
        <v>1.8914000147362255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>
        <v>27.1</v>
      </c>
      <c r="O23" s="56">
        <v>26.3</v>
      </c>
      <c r="P23" s="56">
        <v>27</v>
      </c>
      <c r="Q23" s="56">
        <v>25.7</v>
      </c>
      <c r="R23" s="56">
        <v>26.7</v>
      </c>
      <c r="S23" s="56">
        <v>27.2</v>
      </c>
      <c r="T23" s="56">
        <v>27.2</v>
      </c>
      <c r="U23" s="56">
        <v>26.7</v>
      </c>
      <c r="V23" s="56">
        <v>26.9</v>
      </c>
      <c r="W23" s="56">
        <v>26.7</v>
      </c>
      <c r="X23" s="56">
        <v>27.4</v>
      </c>
      <c r="Y23" s="56">
        <v>27.9</v>
      </c>
      <c r="Z23" s="56">
        <v>27.1</v>
      </c>
      <c r="AA23" s="56">
        <v>27.4</v>
      </c>
      <c r="AB23" s="56">
        <v>27.2</v>
      </c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18</v>
      </c>
      <c r="AQ23" s="71">
        <f t="shared" si="1"/>
        <v>26.977777777777771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>
        <v>31.5</v>
      </c>
      <c r="O24" s="56">
        <v>30.9</v>
      </c>
      <c r="P24" s="56">
        <v>31.7</v>
      </c>
      <c r="Q24" s="56">
        <v>31.2</v>
      </c>
      <c r="R24" s="56">
        <v>31.2</v>
      </c>
      <c r="S24" s="56">
        <v>32</v>
      </c>
      <c r="T24" s="56">
        <v>31.5</v>
      </c>
      <c r="U24" s="56">
        <v>30.6</v>
      </c>
      <c r="V24" s="56">
        <v>30.8</v>
      </c>
      <c r="W24" s="56">
        <v>30.6</v>
      </c>
      <c r="X24" s="56">
        <v>32.4</v>
      </c>
      <c r="Y24" s="56">
        <v>33.1</v>
      </c>
      <c r="Z24" s="56">
        <v>29.5</v>
      </c>
      <c r="AA24" s="56">
        <v>31.6</v>
      </c>
      <c r="AB24" s="56">
        <v>32.4</v>
      </c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18</v>
      </c>
      <c r="AQ24" s="71">
        <f t="shared" si="1"/>
        <v>31.116666666666667</v>
      </c>
      <c r="AR24" s="71">
        <f>IFERROR(VLOOKUP(A24,Climatologia_TMED!A:U,9+$E$2,FALSE),"")</f>
        <v>29.322570561941241</v>
      </c>
      <c r="AS24" s="71">
        <f t="shared" si="2"/>
        <v>1.7940961047254262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>
        <v>23.9</v>
      </c>
      <c r="O25" s="56">
        <v>22.3</v>
      </c>
      <c r="P25" s="56">
        <v>22.8</v>
      </c>
      <c r="Q25" s="56">
        <v>22.1</v>
      </c>
      <c r="R25" s="56">
        <v>23.5</v>
      </c>
      <c r="S25" s="56">
        <v>23</v>
      </c>
      <c r="T25" s="56">
        <v>24.8</v>
      </c>
      <c r="U25" s="56">
        <v>22.9</v>
      </c>
      <c r="V25" s="56">
        <v>23.2</v>
      </c>
      <c r="W25" s="56">
        <v>22.9</v>
      </c>
      <c r="X25" s="56">
        <v>24.3</v>
      </c>
      <c r="Y25" s="56">
        <v>23.9</v>
      </c>
      <c r="Z25" s="56">
        <v>23.7</v>
      </c>
      <c r="AA25" s="56">
        <v>23.9</v>
      </c>
      <c r="AB25" s="56">
        <v>23.6</v>
      </c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18</v>
      </c>
      <c r="AQ25" s="71">
        <f t="shared" si="1"/>
        <v>23.211111111111109</v>
      </c>
      <c r="AR25" s="71">
        <f>IFERROR(VLOOKUP(A25,Climatologia_TMED!A:U,9+$E$2,FALSE),"")</f>
        <v>19.994578515905641</v>
      </c>
      <c r="AS25" s="71">
        <f t="shared" si="2"/>
        <v>3.216532595205468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>
        <v>10.9</v>
      </c>
      <c r="O26" s="56">
        <v>10.3</v>
      </c>
      <c r="P26" s="56">
        <v>10.7</v>
      </c>
      <c r="Q26" s="56">
        <v>10.5</v>
      </c>
      <c r="R26" s="56">
        <v>11.2</v>
      </c>
      <c r="S26" s="56">
        <v>12.5</v>
      </c>
      <c r="T26" s="56">
        <v>12.6</v>
      </c>
      <c r="U26" s="56">
        <v>12.1</v>
      </c>
      <c r="V26" s="56">
        <v>11</v>
      </c>
      <c r="W26" s="56">
        <v>12.1</v>
      </c>
      <c r="X26" s="56">
        <v>12.4</v>
      </c>
      <c r="Y26" s="56">
        <v>11.7</v>
      </c>
      <c r="Z26" s="56">
        <v>11</v>
      </c>
      <c r="AA26" s="56">
        <v>12</v>
      </c>
      <c r="AB26" s="56">
        <v>11.7</v>
      </c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18</v>
      </c>
      <c r="AQ26" s="71">
        <f t="shared" si="1"/>
        <v>11.472222222222221</v>
      </c>
      <c r="AR26" s="71">
        <f>IFERROR(VLOOKUP(A26,Climatologia_TMED!A:U,9+$E$2,FALSE),"")</f>
        <v>10.71746913580245</v>
      </c>
      <c r="AS26" s="71">
        <f t="shared" si="2"/>
        <v>0.75475308641977179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>
        <v>28.3</v>
      </c>
      <c r="O27" s="56">
        <v>28</v>
      </c>
      <c r="P27" s="56">
        <v>26.6</v>
      </c>
      <c r="Q27" s="56">
        <v>27.1</v>
      </c>
      <c r="R27" s="56">
        <v>29.3</v>
      </c>
      <c r="S27" s="56">
        <v>28.3</v>
      </c>
      <c r="T27" s="56">
        <v>27.1</v>
      </c>
      <c r="U27" s="56">
        <v>26.4</v>
      </c>
      <c r="V27" s="56">
        <v>29.9</v>
      </c>
      <c r="W27" s="56">
        <v>26.4</v>
      </c>
      <c r="X27" s="56">
        <v>28.3</v>
      </c>
      <c r="Y27" s="56">
        <v>27.3</v>
      </c>
      <c r="Z27" s="56">
        <v>27.1</v>
      </c>
      <c r="AA27" s="56">
        <v>29.9</v>
      </c>
      <c r="AB27" s="56">
        <v>28.1</v>
      </c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18</v>
      </c>
      <c r="AQ27" s="71">
        <f t="shared" si="1"/>
        <v>27.761111111111109</v>
      </c>
      <c r="AR27" s="71">
        <f>IFERROR(VLOOKUP(A27,Climatologia_TMED!A:U,9+$E$2,FALSE),"")</f>
        <v>26.709312260536379</v>
      </c>
      <c r="AS27" s="71">
        <f t="shared" si="2"/>
        <v>1.0517988505747304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99"/>
      <c r="M28" s="56">
        <v>29.2</v>
      </c>
      <c r="N28" s="56">
        <v>26.8</v>
      </c>
      <c r="O28" s="56">
        <v>28.8</v>
      </c>
      <c r="P28" s="56">
        <v>23.1</v>
      </c>
      <c r="Q28" s="56">
        <v>27.5</v>
      </c>
      <c r="R28" s="56">
        <v>27.3</v>
      </c>
      <c r="S28" s="56">
        <v>29.1</v>
      </c>
      <c r="T28" s="56">
        <v>24.1</v>
      </c>
      <c r="U28" s="56">
        <v>28.9</v>
      </c>
      <c r="V28" s="56">
        <v>28.3</v>
      </c>
      <c r="W28" s="56">
        <v>28.9</v>
      </c>
      <c r="X28" s="56">
        <v>29.3</v>
      </c>
      <c r="Y28" s="56">
        <v>28.3</v>
      </c>
      <c r="Z28" s="56">
        <v>27.3</v>
      </c>
      <c r="AA28" s="56">
        <v>27.1</v>
      </c>
      <c r="AB28" s="56">
        <v>29.4</v>
      </c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17</v>
      </c>
      <c r="AQ28" s="71">
        <f t="shared" si="1"/>
        <v>27.8</v>
      </c>
      <c r="AR28" s="71">
        <f>IFERROR(VLOOKUP(A28,Climatologia_TMED!A:U,9+$E$2,FALSE),"")</f>
        <v>26.623456522478399</v>
      </c>
      <c r="AS28" s="71">
        <f t="shared" si="2"/>
        <v>1.1765434775216015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>
        <v>29.9</v>
      </c>
      <c r="O29" s="56">
        <v>29.6</v>
      </c>
      <c r="P29" s="56">
        <v>27.4</v>
      </c>
      <c r="Q29" s="56">
        <v>28.1</v>
      </c>
      <c r="R29" s="56">
        <v>28.8</v>
      </c>
      <c r="S29" s="56">
        <v>30.2</v>
      </c>
      <c r="T29" s="56">
        <v>27.7</v>
      </c>
      <c r="U29" s="56">
        <v>30.1</v>
      </c>
      <c r="V29" s="56">
        <v>28.9</v>
      </c>
      <c r="W29" s="56">
        <v>30.1</v>
      </c>
      <c r="X29" s="56">
        <v>29.2</v>
      </c>
      <c r="Y29" s="56">
        <v>28.8</v>
      </c>
      <c r="Z29" s="56">
        <v>27.1</v>
      </c>
      <c r="AA29" s="56">
        <v>28.9</v>
      </c>
      <c r="AB29" s="56">
        <v>26.6</v>
      </c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18</v>
      </c>
      <c r="AQ29" s="71">
        <f t="shared" si="1"/>
        <v>28.727777777777778</v>
      </c>
      <c r="AR29" s="71">
        <f>IFERROR(VLOOKUP(A29,Climatologia_TMED!A:U,9+$E$2,FALSE),"")</f>
        <v>27.90706246579089</v>
      </c>
      <c r="AS29" s="71">
        <f t="shared" si="2"/>
        <v>0.82071531198688774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>
        <v>26.2</v>
      </c>
      <c r="O30" s="56">
        <v>25.3</v>
      </c>
      <c r="P30" s="56">
        <v>27.5</v>
      </c>
      <c r="Q30" s="56">
        <v>25.9</v>
      </c>
      <c r="R30" s="56">
        <v>24.1</v>
      </c>
      <c r="S30" s="56">
        <v>26.2</v>
      </c>
      <c r="T30" s="56">
        <v>24.9</v>
      </c>
      <c r="U30" s="56">
        <v>25.9</v>
      </c>
      <c r="V30" s="56">
        <v>26.6</v>
      </c>
      <c r="W30" s="56">
        <v>25.9</v>
      </c>
      <c r="X30" s="56">
        <v>26.5</v>
      </c>
      <c r="Y30" s="56">
        <v>26.2</v>
      </c>
      <c r="Z30" s="56">
        <v>26.1</v>
      </c>
      <c r="AA30" s="56">
        <v>26.4</v>
      </c>
      <c r="AB30" s="56">
        <v>24.7</v>
      </c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18</v>
      </c>
      <c r="AQ30" s="71">
        <f t="shared" si="1"/>
        <v>26.072222222222219</v>
      </c>
      <c r="AR30" s="71">
        <f>IFERROR(VLOOKUP(A30,Climatologia_TMED!A:U,9+$E$2,FALSE),"")</f>
        <v>25.8193588981371</v>
      </c>
      <c r="AS30" s="71">
        <f t="shared" si="2"/>
        <v>0.25286332408511925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>
        <v>28.7</v>
      </c>
      <c r="O31" s="98">
        <v>27.5</v>
      </c>
      <c r="P31" s="98">
        <v>27.8</v>
      </c>
      <c r="Q31" s="98">
        <v>27.4</v>
      </c>
      <c r="R31" s="98">
        <v>26.3</v>
      </c>
      <c r="S31" s="98">
        <v>28.6</v>
      </c>
      <c r="T31" s="98">
        <v>29</v>
      </c>
      <c r="U31" s="98">
        <v>28.1</v>
      </c>
      <c r="V31" s="98">
        <v>27.6</v>
      </c>
      <c r="W31" s="98">
        <v>28.1</v>
      </c>
      <c r="X31" s="98">
        <v>25.5</v>
      </c>
      <c r="Y31" s="98">
        <v>26</v>
      </c>
      <c r="Z31" s="98">
        <v>28</v>
      </c>
      <c r="AA31" s="98">
        <v>26.2</v>
      </c>
      <c r="AB31" s="98">
        <v>28.2</v>
      </c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18</v>
      </c>
      <c r="AQ31" s="71">
        <f t="shared" si="1"/>
        <v>27.788888888888891</v>
      </c>
      <c r="AR31" s="71">
        <f>IFERROR(VLOOKUP(A31,Climatologia_TMED!A:U,9+$E$2,FALSE),"")</f>
        <v>26.375667582417581</v>
      </c>
      <c r="AS31" s="71">
        <f t="shared" si="2"/>
        <v>1.4132213064713106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>
        <v>19.93333333333333</v>
      </c>
      <c r="O32" s="56">
        <v>20.2</v>
      </c>
      <c r="P32" s="56">
        <v>20.2</v>
      </c>
      <c r="Q32" s="56">
        <v>20.266666666666669</v>
      </c>
      <c r="R32" s="56">
        <v>21.4</v>
      </c>
      <c r="S32" s="56">
        <v>20</v>
      </c>
      <c r="T32" s="56">
        <v>20.533333333333331</v>
      </c>
      <c r="U32" s="56">
        <v>19.533333333333331</v>
      </c>
      <c r="V32" s="56">
        <v>19.733333333333331</v>
      </c>
      <c r="W32" s="56">
        <v>23.733333333333331</v>
      </c>
      <c r="X32" s="56">
        <v>20.2</v>
      </c>
      <c r="Y32" s="56">
        <v>20.13333333333334</v>
      </c>
      <c r="Z32" s="56">
        <v>21.13333333333334</v>
      </c>
      <c r="AA32" s="56">
        <v>20.666666666666671</v>
      </c>
      <c r="AB32" s="56">
        <v>20.93333333333333</v>
      </c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18</v>
      </c>
      <c r="AQ32" s="71">
        <f t="shared" si="1"/>
        <v>20.527777777777779</v>
      </c>
      <c r="AR32" s="71">
        <f>IFERROR(VLOOKUP(A32,Climatologia_TMED!A:U,9+$E$2,FALSE),"")</f>
        <v>17.481558928512911</v>
      </c>
      <c r="AS32" s="71">
        <f t="shared" si="2"/>
        <v>3.0462188492648679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>
        <v>28.4</v>
      </c>
      <c r="O33" s="56">
        <v>27.85</v>
      </c>
      <c r="P33" s="56">
        <v>28</v>
      </c>
      <c r="Q33" s="56">
        <v>27.55</v>
      </c>
      <c r="R33" s="56">
        <v>29.55</v>
      </c>
      <c r="S33" s="56">
        <v>29.35</v>
      </c>
      <c r="T33" s="56">
        <v>27.2</v>
      </c>
      <c r="U33" s="56">
        <v>27.05</v>
      </c>
      <c r="V33" s="56">
        <v>28.1</v>
      </c>
      <c r="W33" s="56">
        <v>28.1</v>
      </c>
      <c r="X33" s="56">
        <v>28.85</v>
      </c>
      <c r="Y33" s="56">
        <v>28.2</v>
      </c>
      <c r="Z33" s="56">
        <v>29.45</v>
      </c>
      <c r="AA33" s="56">
        <v>30.3</v>
      </c>
      <c r="AB33" s="56">
        <v>28.4</v>
      </c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18</v>
      </c>
      <c r="AQ33" s="71">
        <f t="shared" si="1"/>
        <v>28.350000000000005</v>
      </c>
      <c r="AR33" s="71">
        <f>IFERROR(VLOOKUP(A33,Climatologia_TMED!A:U,9+$E$2,FALSE),"")</f>
        <v>26.682697842546961</v>
      </c>
      <c r="AS33" s="71">
        <f t="shared" si="2"/>
        <v>1.6673021574530438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>
        <v>21.8</v>
      </c>
      <c r="O34" s="56">
        <v>22.333333333333329</v>
      </c>
      <c r="P34" s="56">
        <v>21.2</v>
      </c>
      <c r="Q34" s="56">
        <v>20.399999999999999</v>
      </c>
      <c r="R34" s="56">
        <v>22.266666666666669</v>
      </c>
      <c r="S34" s="56">
        <v>22.733333333333331</v>
      </c>
      <c r="T34" s="56">
        <v>22</v>
      </c>
      <c r="U34" s="56">
        <v>22.266666666666669</v>
      </c>
      <c r="V34" s="56">
        <v>22.6</v>
      </c>
      <c r="W34" s="56">
        <v>21.333333333333329</v>
      </c>
      <c r="X34" s="56">
        <v>22.466666666666669</v>
      </c>
      <c r="Y34" s="56">
        <v>21.86666666666666</v>
      </c>
      <c r="Z34" s="56">
        <v>21.466666666666669</v>
      </c>
      <c r="AA34" s="56">
        <v>22.333333333333329</v>
      </c>
      <c r="AB34" s="56">
        <v>22</v>
      </c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18</v>
      </c>
      <c r="AQ34" s="71">
        <f t="shared" si="1"/>
        <v>21.87777777777778</v>
      </c>
      <c r="AR34" s="71">
        <f>IFERROR(VLOOKUP(A34,Climatologia_TMED!A:U,9+$E$2,FALSE),"")</f>
        <v>19.739292288721511</v>
      </c>
      <c r="AS34" s="71">
        <f t="shared" si="2"/>
        <v>2.1384854890562686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>
        <v>23.65</v>
      </c>
      <c r="O35" s="56">
        <v>26.6</v>
      </c>
      <c r="P35" s="56">
        <v>25.75</v>
      </c>
      <c r="Q35" s="56">
        <v>25.1</v>
      </c>
      <c r="R35" s="56">
        <v>26.3</v>
      </c>
      <c r="S35" s="56">
        <v>26.35</v>
      </c>
      <c r="T35" s="56">
        <v>25.2</v>
      </c>
      <c r="U35" s="56">
        <v>25.45</v>
      </c>
      <c r="V35" s="56">
        <v>26.6</v>
      </c>
      <c r="W35" s="56">
        <v>25.8</v>
      </c>
      <c r="X35" s="56">
        <v>25.95</v>
      </c>
      <c r="Y35" s="56">
        <v>24.95</v>
      </c>
      <c r="Z35" s="56">
        <v>24.05</v>
      </c>
      <c r="AA35" s="56">
        <v>24.9</v>
      </c>
      <c r="AB35" s="56">
        <v>25.65</v>
      </c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18</v>
      </c>
      <c r="AQ35" s="71">
        <f t="shared" si="1"/>
        <v>25.405555555555551</v>
      </c>
      <c r="AR35" s="71">
        <f>IFERROR(VLOOKUP(A35,Climatologia_TMED!A:U,9+$E$2,FALSE),"")</f>
        <v>23.891595702759091</v>
      </c>
      <c r="AS35" s="71">
        <f t="shared" si="2"/>
        <v>1.5139598527964608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>
        <v>20.399999999999999</v>
      </c>
      <c r="O36" s="56">
        <v>20</v>
      </c>
      <c r="P36" s="56">
        <v>19.55</v>
      </c>
      <c r="Q36" s="56">
        <v>19.75</v>
      </c>
      <c r="R36" s="56">
        <v>20.350000000000001</v>
      </c>
      <c r="S36" s="56">
        <v>21</v>
      </c>
      <c r="T36" s="56">
        <v>20</v>
      </c>
      <c r="U36" s="56">
        <v>19.600000000000001</v>
      </c>
      <c r="V36" s="56">
        <v>19.95</v>
      </c>
      <c r="W36" s="56">
        <v>18.149999999999999</v>
      </c>
      <c r="X36" s="56">
        <v>20.399999999999999</v>
      </c>
      <c r="Y36" s="56">
        <v>19.45</v>
      </c>
      <c r="Z36" s="56">
        <v>19.600000000000001</v>
      </c>
      <c r="AA36" s="56">
        <v>20.45</v>
      </c>
      <c r="AB36" s="56">
        <v>21</v>
      </c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18</v>
      </c>
      <c r="AQ36" s="71">
        <f t="shared" si="1"/>
        <v>19.947222222222216</v>
      </c>
      <c r="AR36" s="71">
        <f>IFERROR(VLOOKUP(A36,Climatologia_TMED!A:U,9+$E$2,FALSE),"")</f>
        <v>18.514353665342391</v>
      </c>
      <c r="AS36" s="71">
        <f t="shared" si="2"/>
        <v>1.432868556879825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>
        <v>28.55</v>
      </c>
      <c r="O37" s="56">
        <v>28</v>
      </c>
      <c r="P37" s="56">
        <v>28.2</v>
      </c>
      <c r="Q37" s="56">
        <v>27.4</v>
      </c>
      <c r="R37" s="56">
        <v>28.95</v>
      </c>
      <c r="S37" s="56">
        <v>28.45</v>
      </c>
      <c r="T37" s="56">
        <v>28.75</v>
      </c>
      <c r="U37" s="56">
        <v>27.25</v>
      </c>
      <c r="V37" s="56">
        <v>28.6</v>
      </c>
      <c r="W37" s="56">
        <v>28.05</v>
      </c>
      <c r="X37" s="56">
        <v>28.8</v>
      </c>
      <c r="Y37" s="56">
        <v>28.45</v>
      </c>
      <c r="Z37" s="56">
        <v>27.45</v>
      </c>
      <c r="AA37" s="56">
        <v>29.45</v>
      </c>
      <c r="AB37" s="56">
        <v>28.5</v>
      </c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18</v>
      </c>
      <c r="AQ37" s="71">
        <f t="shared" si="1"/>
        <v>28.269444444444442</v>
      </c>
      <c r="AR37" s="71">
        <f>IFERROR(VLOOKUP(A37,Climatologia_TMED!A:U,9+$E$2,FALSE),"")</f>
        <v>25.832923850574691</v>
      </c>
      <c r="AS37" s="71">
        <f t="shared" si="2"/>
        <v>2.4365205938697514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>
        <v>16.95</v>
      </c>
      <c r="O38" s="56">
        <v>16.7</v>
      </c>
      <c r="P38" s="56">
        <v>15.4</v>
      </c>
      <c r="Q38" s="56">
        <v>15.6</v>
      </c>
      <c r="R38" s="56">
        <v>16.850000000000001</v>
      </c>
      <c r="S38" s="56">
        <v>15.95</v>
      </c>
      <c r="T38" s="56">
        <v>16.05</v>
      </c>
      <c r="U38" s="56">
        <v>17.3</v>
      </c>
      <c r="V38" s="56">
        <v>17.100000000000001</v>
      </c>
      <c r="W38" s="56">
        <v>16</v>
      </c>
      <c r="X38" s="56">
        <v>17.2</v>
      </c>
      <c r="Y38" s="56">
        <v>17.149999999999999</v>
      </c>
      <c r="Z38" s="56">
        <v>16.95</v>
      </c>
      <c r="AA38" s="56">
        <v>15</v>
      </c>
      <c r="AB38" s="56">
        <v>17</v>
      </c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18</v>
      </c>
      <c r="AQ38" s="71">
        <f t="shared" si="1"/>
        <v>16.455555555555556</v>
      </c>
      <c r="AR38" s="71">
        <f>IFERROR(VLOOKUP(A38,Climatologia_TMED!A:U,9+$E$2,FALSE),"")</f>
        <v>14.973386973180061</v>
      </c>
      <c r="AS38" s="71">
        <f t="shared" si="2"/>
        <v>1.4821685823754951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>
        <v>22.6</v>
      </c>
      <c r="O39" s="56">
        <v>22.666666666666671</v>
      </c>
      <c r="P39" s="56">
        <v>23.13333333333334</v>
      </c>
      <c r="Q39" s="56">
        <v>22.6</v>
      </c>
      <c r="R39" s="56">
        <v>24.06666666666667</v>
      </c>
      <c r="S39" s="56">
        <v>23.666666666666671</v>
      </c>
      <c r="T39" s="56">
        <v>24.13333333333334</v>
      </c>
      <c r="U39" s="56">
        <v>20.333333333333329</v>
      </c>
      <c r="V39" s="56">
        <v>22.066666666666659</v>
      </c>
      <c r="W39" s="56">
        <v>20.93333333333333</v>
      </c>
      <c r="X39" s="56">
        <v>23.466666666666669</v>
      </c>
      <c r="Y39" s="56">
        <v>23.13333333333334</v>
      </c>
      <c r="Z39" s="56">
        <v>23.2</v>
      </c>
      <c r="AA39" s="56">
        <v>24.13333333333334</v>
      </c>
      <c r="AB39" s="56">
        <v>24.2</v>
      </c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18</v>
      </c>
      <c r="AQ39" s="71">
        <f t="shared" si="1"/>
        <v>22.792592592592591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>
        <v>25.933333333333341</v>
      </c>
      <c r="O40" s="56">
        <v>25.6</v>
      </c>
      <c r="P40" s="56">
        <v>25.13333333333334</v>
      </c>
      <c r="Q40" s="56">
        <v>24.333333333333329</v>
      </c>
      <c r="R40" s="56">
        <v>26.13333333333334</v>
      </c>
      <c r="S40" s="56"/>
      <c r="T40" s="56">
        <v>25.733333333333331</v>
      </c>
      <c r="U40" s="56">
        <v>24.266666666666669</v>
      </c>
      <c r="V40" s="56"/>
      <c r="W40" s="56">
        <v>24.333333333333329</v>
      </c>
      <c r="X40" s="56">
        <v>25.6</v>
      </c>
      <c r="Y40" s="56"/>
      <c r="Z40" s="56">
        <v>24.93333333333333</v>
      </c>
      <c r="AA40" s="56">
        <v>26.466666666666669</v>
      </c>
      <c r="AB40" s="56">
        <v>27.2</v>
      </c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15</v>
      </c>
      <c r="AQ40" s="71">
        <f t="shared" si="1"/>
        <v>25.351111111111113</v>
      </c>
      <c r="AR40" s="71">
        <f>IFERROR(VLOOKUP(A40,Climatologia_TMED!A:U,9+$E$2,FALSE),"")</f>
        <v>22.425573372913821</v>
      </c>
      <c r="AS40" s="71">
        <f t="shared" si="2"/>
        <v>2.925537738197292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>
        <v>19.06666666666667</v>
      </c>
      <c r="O41" s="56">
        <v>21.13333333333334</v>
      </c>
      <c r="P41" s="56">
        <v>20.43333333333333</v>
      </c>
      <c r="Q41" s="56">
        <v>20.766666666666669</v>
      </c>
      <c r="R41" s="56">
        <v>21.733333333333331</v>
      </c>
      <c r="S41" s="56">
        <v>21.933333333333341</v>
      </c>
      <c r="T41" s="56">
        <v>19.133333333333329</v>
      </c>
      <c r="U41" s="56">
        <v>19.333333333333329</v>
      </c>
      <c r="V41" s="56">
        <v>20.93333333333333</v>
      </c>
      <c r="W41" s="56">
        <v>19.333333333333329</v>
      </c>
      <c r="X41" s="56">
        <v>20.06666666666667</v>
      </c>
      <c r="Y41" s="56">
        <v>18.8</v>
      </c>
      <c r="Z41" s="56">
        <v>19.06666666666667</v>
      </c>
      <c r="AA41" s="56">
        <v>21.8</v>
      </c>
      <c r="AB41" s="56">
        <v>20.06666666666667</v>
      </c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18</v>
      </c>
      <c r="AQ41" s="71">
        <f t="shared" si="1"/>
        <v>20.077777777777776</v>
      </c>
      <c r="AR41" s="71">
        <f>IFERROR(VLOOKUP(A41,Climatologia_TMED!A:U,9+$E$2,FALSE),"")</f>
        <v>18.027767276645449</v>
      </c>
      <c r="AS41" s="71">
        <f t="shared" si="2"/>
        <v>2.0500105011323271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>
        <v>28.6</v>
      </c>
      <c r="O42" s="56">
        <v>28.25</v>
      </c>
      <c r="P42" s="56">
        <v>28.2</v>
      </c>
      <c r="Q42" s="56">
        <v>27.35</v>
      </c>
      <c r="R42" s="56">
        <v>29.1</v>
      </c>
      <c r="S42" s="56">
        <v>28.8</v>
      </c>
      <c r="T42" s="56">
        <v>27.5</v>
      </c>
      <c r="U42" s="56">
        <v>26.4</v>
      </c>
      <c r="V42" s="56">
        <v>27.85</v>
      </c>
      <c r="W42" s="56">
        <v>27.45</v>
      </c>
      <c r="X42" s="56">
        <v>27.125</v>
      </c>
      <c r="Y42" s="56">
        <v>26.45</v>
      </c>
      <c r="Z42" s="56">
        <v>28.05</v>
      </c>
      <c r="AA42" s="56">
        <v>28.9</v>
      </c>
      <c r="AB42" s="56">
        <v>28.5</v>
      </c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18</v>
      </c>
      <c r="AQ42" s="71">
        <f t="shared" si="1"/>
        <v>27.99861111111111</v>
      </c>
      <c r="AR42" s="71">
        <f>IFERROR(VLOOKUP(A42,Climatologia_TMED!A:U,9+$E$2,FALSE),"")</f>
        <v>27.293074712643669</v>
      </c>
      <c r="AS42" s="71">
        <f t="shared" si="2"/>
        <v>0.70553639846744076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>
        <v>30.35</v>
      </c>
      <c r="O43" s="56">
        <v>30.65</v>
      </c>
      <c r="P43" s="56">
        <v>28.85</v>
      </c>
      <c r="Q43" s="56">
        <v>28.3</v>
      </c>
      <c r="R43" s="56">
        <v>30.75</v>
      </c>
      <c r="S43" s="56">
        <v>31</v>
      </c>
      <c r="T43" s="56">
        <v>28.5</v>
      </c>
      <c r="U43" s="56">
        <v>27.4</v>
      </c>
      <c r="V43" s="56">
        <v>29.05</v>
      </c>
      <c r="W43" s="56">
        <v>26.8</v>
      </c>
      <c r="X43" s="56">
        <v>27.65</v>
      </c>
      <c r="Y43" s="56">
        <v>28.7</v>
      </c>
      <c r="Z43" s="56">
        <v>28.6</v>
      </c>
      <c r="AA43" s="56">
        <v>30.75</v>
      </c>
      <c r="AB43" s="56">
        <v>29.75</v>
      </c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18</v>
      </c>
      <c r="AQ43" s="71">
        <f t="shared" si="1"/>
        <v>29.152777777777779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>
        <v>28.95</v>
      </c>
      <c r="O44" s="56">
        <v>29.1</v>
      </c>
      <c r="P44" s="56">
        <v>26.375</v>
      </c>
      <c r="Q44" s="56">
        <v>26.75</v>
      </c>
      <c r="R44" s="56">
        <v>29.55</v>
      </c>
      <c r="S44" s="56">
        <v>30.425000000000001</v>
      </c>
      <c r="T44" s="56">
        <v>27.75</v>
      </c>
      <c r="U44" s="56">
        <v>27.45</v>
      </c>
      <c r="V44" s="56">
        <v>28.324999999999999</v>
      </c>
      <c r="W44" s="56">
        <v>29</v>
      </c>
      <c r="X44" s="56">
        <v>27.375</v>
      </c>
      <c r="Y44" s="56">
        <v>27.65</v>
      </c>
      <c r="Z44" s="56">
        <v>28.975000000000001</v>
      </c>
      <c r="AA44" s="56">
        <v>29.625</v>
      </c>
      <c r="AB44" s="56">
        <v>28.824999999999999</v>
      </c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18</v>
      </c>
      <c r="AQ44" s="71">
        <f t="shared" si="1"/>
        <v>28.390277777777776</v>
      </c>
      <c r="AR44" s="71">
        <f>IFERROR(VLOOKUP(A44,Climatologia_TMED!A:U,9+$E$2,FALSE),"")</f>
        <v>27.271401728699139</v>
      </c>
      <c r="AS44" s="71">
        <f t="shared" si="2"/>
        <v>1.1188760490786365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>
        <v>29.7</v>
      </c>
      <c r="O45" s="56">
        <v>30.45</v>
      </c>
      <c r="P45" s="56">
        <v>28.4</v>
      </c>
      <c r="Q45" s="56">
        <v>28.4</v>
      </c>
      <c r="R45" s="56">
        <v>30.35</v>
      </c>
      <c r="S45" s="56">
        <v>31</v>
      </c>
      <c r="T45" s="56">
        <v>28.8</v>
      </c>
      <c r="U45" s="56">
        <v>27.75</v>
      </c>
      <c r="V45" s="56">
        <v>28.65</v>
      </c>
      <c r="W45" s="56">
        <v>27.4</v>
      </c>
      <c r="X45" s="56">
        <v>28.5</v>
      </c>
      <c r="Y45" s="56">
        <v>28.6</v>
      </c>
      <c r="Z45" s="56">
        <v>27.95</v>
      </c>
      <c r="AA45" s="56">
        <v>30.45</v>
      </c>
      <c r="AB45" s="56">
        <v>30.4</v>
      </c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18</v>
      </c>
      <c r="AQ45" s="71">
        <f t="shared" si="1"/>
        <v>29.002777777777776</v>
      </c>
      <c r="AR45" s="71">
        <f>IFERROR(VLOOKUP(A45,Climatologia_TMED!A:U,9+$E$2,FALSE),"")</f>
        <v>27.170883848750218</v>
      </c>
      <c r="AS45" s="71">
        <f t="shared" si="2"/>
        <v>1.831893929027558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>
        <v>29.05</v>
      </c>
      <c r="O46" s="56">
        <v>29.5</v>
      </c>
      <c r="P46" s="56">
        <v>27.9</v>
      </c>
      <c r="Q46" s="56">
        <v>28.75</v>
      </c>
      <c r="R46" s="56">
        <v>29.05</v>
      </c>
      <c r="S46" s="56">
        <v>29.9</v>
      </c>
      <c r="T46" s="56">
        <v>28.55</v>
      </c>
      <c r="U46" s="56">
        <v>27.8</v>
      </c>
      <c r="V46" s="56">
        <v>29.3</v>
      </c>
      <c r="W46" s="56">
        <v>28.05</v>
      </c>
      <c r="X46" s="56">
        <v>28.85</v>
      </c>
      <c r="Y46" s="56">
        <v>28</v>
      </c>
      <c r="Z46" s="56">
        <v>28.2</v>
      </c>
      <c r="AA46" s="56">
        <v>28.15</v>
      </c>
      <c r="AB46" s="56">
        <v>28.8</v>
      </c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18</v>
      </c>
      <c r="AQ46" s="71">
        <f t="shared" si="1"/>
        <v>28.605555555555554</v>
      </c>
      <c r="AR46" s="71">
        <f>IFERROR(VLOOKUP(A46,Climatologia_TMED!A:U,9+$E$2,FALSE),"")</f>
        <v>27.502544129720849</v>
      </c>
      <c r="AS46" s="71">
        <f t="shared" si="2"/>
        <v>1.1030114258347048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>
        <v>30.733333333333331</v>
      </c>
      <c r="O47" s="56">
        <v>30.666666666666671</v>
      </c>
      <c r="P47" s="56">
        <v>28.266666666666669</v>
      </c>
      <c r="Q47" s="56">
        <v>29.2</v>
      </c>
      <c r="R47" s="56">
        <v>31.933333333333341</v>
      </c>
      <c r="S47" s="56">
        <v>31.06666666666667</v>
      </c>
      <c r="T47" s="56">
        <v>28.666666666666671</v>
      </c>
      <c r="U47" s="56">
        <v>28.2</v>
      </c>
      <c r="V47" s="56">
        <v>30.86666666666666</v>
      </c>
      <c r="W47" s="56">
        <v>26</v>
      </c>
      <c r="X47" s="56">
        <v>29.2</v>
      </c>
      <c r="Y47" s="56">
        <v>28.6</v>
      </c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15</v>
      </c>
      <c r="AQ47" s="71">
        <f t="shared" si="1"/>
        <v>29.555555555555557</v>
      </c>
      <c r="AR47" s="71">
        <f>IFERROR(VLOOKUP(A47,Climatologia_TMED!A:U,9+$E$2,FALSE),"")</f>
        <v>27.547468594953131</v>
      </c>
      <c r="AS47" s="71">
        <f t="shared" si="2"/>
        <v>2.0080869606024265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>
        <v>28.05</v>
      </c>
      <c r="O50" s="56">
        <v>27.6</v>
      </c>
      <c r="P50" s="56">
        <v>25.35</v>
      </c>
      <c r="Q50" s="56">
        <v>28.55</v>
      </c>
      <c r="R50" s="56">
        <v>30.4</v>
      </c>
      <c r="S50" s="56">
        <v>29.9</v>
      </c>
      <c r="T50" s="56">
        <v>28</v>
      </c>
      <c r="U50" s="56">
        <v>27.75</v>
      </c>
      <c r="V50" s="56">
        <v>29.05</v>
      </c>
      <c r="W50" s="56">
        <v>25.85</v>
      </c>
      <c r="X50" s="56">
        <v>29.2</v>
      </c>
      <c r="Y50" s="56">
        <v>27.55</v>
      </c>
      <c r="Z50" s="56">
        <v>28.55</v>
      </c>
      <c r="AA50" s="56">
        <v>30.4</v>
      </c>
      <c r="AB50" s="56">
        <v>29.8</v>
      </c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18</v>
      </c>
      <c r="AQ50" s="71">
        <f t="shared" si="1"/>
        <v>28.430555555555557</v>
      </c>
      <c r="AR50" s="71">
        <f>IFERROR(VLOOKUP(A50,Climatologia_TMED!A:U,9+$E$2,FALSE),"")</f>
        <v>27.104513508203151</v>
      </c>
      <c r="AS50" s="71">
        <f t="shared" si="2"/>
        <v>1.3260420473524057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>
        <v>29.55</v>
      </c>
      <c r="O53" s="56">
        <v>30.15</v>
      </c>
      <c r="P53" s="56">
        <v>27.85</v>
      </c>
      <c r="Q53" s="56">
        <v>27.85</v>
      </c>
      <c r="R53" s="56">
        <v>29.5</v>
      </c>
      <c r="S53" s="56">
        <v>30.85</v>
      </c>
      <c r="T53" s="56">
        <v>29.55</v>
      </c>
      <c r="U53" s="56">
        <v>26.95</v>
      </c>
      <c r="V53" s="56">
        <v>29.35</v>
      </c>
      <c r="W53" s="56">
        <v>27.5</v>
      </c>
      <c r="X53" s="56">
        <v>27.5</v>
      </c>
      <c r="Y53" s="56">
        <v>28.3</v>
      </c>
      <c r="Z53" s="56">
        <v>26.95</v>
      </c>
      <c r="AA53" s="56">
        <v>30</v>
      </c>
      <c r="AB53" s="56">
        <v>30.4</v>
      </c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18</v>
      </c>
      <c r="AQ53" s="71">
        <f t="shared" si="1"/>
        <v>28.730555555555554</v>
      </c>
      <c r="AR53" s="71">
        <f>IFERROR(VLOOKUP(A53,Climatologia_TMED!A:U,9+$E$2,FALSE),"")</f>
        <v>26.749827654625062</v>
      </c>
      <c r="AS53" s="71">
        <f t="shared" si="2"/>
        <v>1.9807279009304928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>
        <v>31.05</v>
      </c>
      <c r="O54" s="56">
        <v>31</v>
      </c>
      <c r="P54" s="56">
        <v>29.15</v>
      </c>
      <c r="Q54" s="56">
        <v>29.7</v>
      </c>
      <c r="R54" s="56">
        <v>31.5</v>
      </c>
      <c r="S54" s="56">
        <v>31.1</v>
      </c>
      <c r="T54" s="56">
        <v>29.45</v>
      </c>
      <c r="U54" s="56">
        <v>28.7</v>
      </c>
      <c r="V54" s="56">
        <v>30.9</v>
      </c>
      <c r="W54" s="56">
        <v>26.85</v>
      </c>
      <c r="X54" s="56">
        <v>30.1</v>
      </c>
      <c r="Y54" s="56">
        <v>29.3</v>
      </c>
      <c r="Z54" s="56">
        <v>29.1</v>
      </c>
      <c r="AA54" s="56">
        <v>30.6</v>
      </c>
      <c r="AB54" s="56">
        <v>31.6</v>
      </c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18</v>
      </c>
      <c r="AQ54" s="71">
        <f t="shared" si="1"/>
        <v>29.94166666666667</v>
      </c>
      <c r="AR54" s="71">
        <f>IFERROR(VLOOKUP(A54,Climatologia_TMED!A:U,9+$E$2,FALSE),"")</f>
        <v>28.232848920531278</v>
      </c>
      <c r="AS54" s="71">
        <f t="shared" si="2"/>
        <v>1.7088177461353915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>
        <v>31.15</v>
      </c>
      <c r="O55" s="56">
        <v>31.55</v>
      </c>
      <c r="P55" s="56"/>
      <c r="Q55" s="56">
        <v>28.9</v>
      </c>
      <c r="R55" s="56">
        <v>31.35</v>
      </c>
      <c r="S55" s="56">
        <v>31.25</v>
      </c>
      <c r="T55" s="56">
        <v>31.1</v>
      </c>
      <c r="U55" s="56">
        <v>30.65</v>
      </c>
      <c r="V55" s="56"/>
      <c r="W55" s="56"/>
      <c r="X55" s="56"/>
      <c r="Y55" s="56">
        <v>30.1</v>
      </c>
      <c r="Z55" s="56">
        <v>30.1</v>
      </c>
      <c r="AA55" s="56">
        <v>32.15</v>
      </c>
      <c r="AB55" s="56">
        <v>32.1</v>
      </c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13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>
        <v>27.7</v>
      </c>
      <c r="O59" s="56">
        <v>28.95</v>
      </c>
      <c r="P59" s="56">
        <v>26.1</v>
      </c>
      <c r="Q59" s="56">
        <v>28.75</v>
      </c>
      <c r="R59" s="56">
        <v>30.7</v>
      </c>
      <c r="S59" s="56">
        <v>29.9</v>
      </c>
      <c r="T59" s="56">
        <v>28.75</v>
      </c>
      <c r="U59" s="56">
        <v>29.15</v>
      </c>
      <c r="V59" s="56">
        <v>29.9</v>
      </c>
      <c r="W59" s="56">
        <v>28.45</v>
      </c>
      <c r="X59" s="56">
        <v>29.9</v>
      </c>
      <c r="Y59" s="56">
        <v>31.3</v>
      </c>
      <c r="Z59" s="56">
        <v>29.7</v>
      </c>
      <c r="AA59" s="56">
        <v>34.099999999999987</v>
      </c>
      <c r="AB59" s="56">
        <v>29.55</v>
      </c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18</v>
      </c>
      <c r="AQ59" s="71">
        <f t="shared" si="1"/>
        <v>29.397222222222215</v>
      </c>
      <c r="AR59" s="71">
        <f>IFERROR(VLOOKUP(A59,Climatologia_TMED!A:U,9+$E$2,FALSE),"")</f>
        <v>27.588642383345931</v>
      </c>
      <c r="AS59" s="71">
        <f t="shared" si="2"/>
        <v>1.8085798388762839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>
        <v>28.2</v>
      </c>
      <c r="N60" s="56">
        <v>26.65</v>
      </c>
      <c r="O60" s="56">
        <v>24.4</v>
      </c>
      <c r="P60" s="56">
        <v>26.35</v>
      </c>
      <c r="Q60" s="56">
        <v>26.1</v>
      </c>
      <c r="R60" s="56">
        <v>26.1</v>
      </c>
      <c r="S60" s="56"/>
      <c r="T60" s="56">
        <v>25.35</v>
      </c>
      <c r="U60" s="56">
        <v>28.25</v>
      </c>
      <c r="V60" s="56"/>
      <c r="W60" s="56"/>
      <c r="X60" s="56">
        <v>25.25</v>
      </c>
      <c r="Y60" s="56">
        <v>24.45</v>
      </c>
      <c r="Z60" s="56"/>
      <c r="AA60" s="56">
        <v>27</v>
      </c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12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>
        <v>28.3</v>
      </c>
      <c r="O61" s="56">
        <v>28.15</v>
      </c>
      <c r="P61" s="56">
        <v>26.7</v>
      </c>
      <c r="Q61" s="56">
        <v>27.85</v>
      </c>
      <c r="R61" s="56">
        <v>27.05</v>
      </c>
      <c r="S61" s="56">
        <v>28.35</v>
      </c>
      <c r="T61" s="56">
        <v>26.5</v>
      </c>
      <c r="U61" s="56">
        <v>27.15</v>
      </c>
      <c r="V61" s="56">
        <v>26.95</v>
      </c>
      <c r="W61" s="56">
        <v>27.5</v>
      </c>
      <c r="X61" s="56">
        <v>29.4</v>
      </c>
      <c r="Y61" s="56">
        <v>26.9</v>
      </c>
      <c r="Z61" s="56">
        <v>26.9</v>
      </c>
      <c r="AA61" s="56">
        <v>28.25</v>
      </c>
      <c r="AB61" s="56">
        <v>27.15</v>
      </c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18</v>
      </c>
      <c r="AQ61" s="71">
        <f t="shared" si="1"/>
        <v>27.647222222222215</v>
      </c>
      <c r="AR61" s="71">
        <f>IFERROR(VLOOKUP(A61,Climatologia_TMED!A:U,9+$E$2,FALSE),"")</f>
        <v>26.632899791994539</v>
      </c>
      <c r="AS61" s="71">
        <f t="shared" si="2"/>
        <v>1.0143224302276757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29</v>
      </c>
      <c r="L62" s="56">
        <v>28.266666666666669</v>
      </c>
      <c r="M62" s="56">
        <v>29</v>
      </c>
      <c r="N62" s="56">
        <v>27.86666666666666</v>
      </c>
      <c r="O62" s="56">
        <v>28</v>
      </c>
      <c r="P62" s="56">
        <v>26.86666666666666</v>
      </c>
      <c r="Q62" s="56">
        <v>27.93333333333333</v>
      </c>
      <c r="R62" s="56">
        <v>27.333333333333329</v>
      </c>
      <c r="S62" s="56">
        <v>26.066666666666659</v>
      </c>
      <c r="T62" s="56">
        <v>26.666666666666671</v>
      </c>
      <c r="U62" s="56">
        <v>27.266666666666669</v>
      </c>
      <c r="V62" s="56"/>
      <c r="W62" s="56"/>
      <c r="X62" s="56"/>
      <c r="Y62" s="56">
        <v>26.6</v>
      </c>
      <c r="Z62" s="56">
        <v>27.533333333333331</v>
      </c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13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>
        <v>26.35</v>
      </c>
      <c r="M65" s="56">
        <v>26.3</v>
      </c>
      <c r="N65" s="56">
        <v>26.6</v>
      </c>
      <c r="O65" s="56">
        <v>27.95</v>
      </c>
      <c r="P65" s="56">
        <v>25.5</v>
      </c>
      <c r="Q65" s="56">
        <v>25.9</v>
      </c>
      <c r="R65" s="56">
        <v>26.4</v>
      </c>
      <c r="S65" s="56">
        <v>27.1</v>
      </c>
      <c r="T65" s="56">
        <v>23.85</v>
      </c>
      <c r="U65" s="56"/>
      <c r="V65" s="56"/>
      <c r="W65" s="56"/>
      <c r="X65" s="56">
        <v>27.05</v>
      </c>
      <c r="Y65" s="56">
        <v>23.85</v>
      </c>
      <c r="Z65" s="56">
        <v>25.9</v>
      </c>
      <c r="AA65" s="56">
        <v>27.15</v>
      </c>
      <c r="AB65" s="56">
        <v>26.55</v>
      </c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15</v>
      </c>
      <c r="AQ65" s="71">
        <f t="shared" si="1"/>
        <v>26.206666666666667</v>
      </c>
      <c r="AR65" s="71">
        <f>IFERROR(VLOOKUP(A65,Climatologia_TMED!A:U,9+$E$2,FALSE),"")</f>
        <v>25.93303305966063</v>
      </c>
      <c r="AS65" s="71">
        <f t="shared" si="2"/>
        <v>0.27363360700603678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>
        <v>27.05</v>
      </c>
      <c r="O66" s="56">
        <v>26.9</v>
      </c>
      <c r="P66" s="56">
        <v>25.6</v>
      </c>
      <c r="Q66" s="56">
        <v>25.95</v>
      </c>
      <c r="R66" s="56">
        <v>27.05</v>
      </c>
      <c r="S66" s="56">
        <v>26.35</v>
      </c>
      <c r="T66" s="56">
        <v>23.85</v>
      </c>
      <c r="U66" s="56">
        <v>26.3</v>
      </c>
      <c r="V66" s="56">
        <v>28</v>
      </c>
      <c r="W66" s="56">
        <v>26.1</v>
      </c>
      <c r="X66" s="56">
        <v>26.95</v>
      </c>
      <c r="Y66" s="56"/>
      <c r="Z66" s="56">
        <v>25.9</v>
      </c>
      <c r="AA66" s="56">
        <v>27.6</v>
      </c>
      <c r="AB66" s="56">
        <v>26.8</v>
      </c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17</v>
      </c>
      <c r="AQ66" s="71">
        <f t="shared" si="1"/>
        <v>26.579411764705885</v>
      </c>
      <c r="AR66" s="71">
        <f>IFERROR(VLOOKUP(A66,Climatologia_TMED!A:U,9+$E$2,FALSE),"")</f>
        <v>26.03334788268257</v>
      </c>
      <c r="AS66" s="71">
        <f t="shared" si="2"/>
        <v>0.54606388202331502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>
        <v>26.75</v>
      </c>
      <c r="O67" s="56">
        <v>26.55</v>
      </c>
      <c r="P67" s="56">
        <v>27.65</v>
      </c>
      <c r="Q67" s="56">
        <v>27.15</v>
      </c>
      <c r="R67" s="56">
        <v>25.9</v>
      </c>
      <c r="S67" s="56">
        <v>25.375</v>
      </c>
      <c r="T67" s="56">
        <v>26.3</v>
      </c>
      <c r="U67" s="56">
        <v>27.7</v>
      </c>
      <c r="V67" s="56">
        <v>27.1</v>
      </c>
      <c r="W67" s="56"/>
      <c r="X67" s="56">
        <v>26.45</v>
      </c>
      <c r="Y67" s="56">
        <v>25.55</v>
      </c>
      <c r="Z67" s="56">
        <v>26.55</v>
      </c>
      <c r="AA67" s="56">
        <v>26.35</v>
      </c>
      <c r="AB67" s="56">
        <v>25.2</v>
      </c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17</v>
      </c>
      <c r="AQ67" s="71">
        <f t="shared" si="1"/>
        <v>26.613235294117651</v>
      </c>
      <c r="AR67" s="71">
        <f>IFERROR(VLOOKUP(A67,Climatologia_TMED!A:U,9+$E$2,FALSE),"")</f>
        <v>25.972265457945628</v>
      </c>
      <c r="AS67" s="71">
        <f t="shared" si="2"/>
        <v>0.64096983617202241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>
        <v>26.1</v>
      </c>
      <c r="O68" s="56">
        <v>24.85</v>
      </c>
      <c r="P68" s="56">
        <v>25.3</v>
      </c>
      <c r="Q68" s="56">
        <v>24.9</v>
      </c>
      <c r="R68" s="56">
        <v>25.05</v>
      </c>
      <c r="S68" s="56">
        <v>25.15</v>
      </c>
      <c r="T68" s="56">
        <v>26.75</v>
      </c>
      <c r="U68" s="56">
        <v>25.5</v>
      </c>
      <c r="V68" s="56">
        <v>26.1</v>
      </c>
      <c r="W68" s="56">
        <v>26</v>
      </c>
      <c r="X68" s="56">
        <v>26.1</v>
      </c>
      <c r="Y68" s="56">
        <v>25</v>
      </c>
      <c r="Z68" s="56">
        <v>25.7</v>
      </c>
      <c r="AA68" s="56">
        <v>24.95</v>
      </c>
      <c r="AB68" s="56">
        <v>24.25</v>
      </c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18</v>
      </c>
      <c r="AQ68" s="71">
        <f t="shared" si="1"/>
        <v>25.491666666666667</v>
      </c>
      <c r="AR68" s="71">
        <f>IFERROR(VLOOKUP(A68,Climatologia_TMED!A:U,9+$E$2,FALSE),"")</f>
        <v>25.69936023080939</v>
      </c>
      <c r="AS68" s="71">
        <f t="shared" si="2"/>
        <v>-0.20769356414272266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>
        <v>26.1</v>
      </c>
      <c r="O69" s="56">
        <v>25.55</v>
      </c>
      <c r="P69" s="56">
        <v>26.5</v>
      </c>
      <c r="Q69" s="56">
        <v>24.8</v>
      </c>
      <c r="R69" s="56">
        <v>26.5</v>
      </c>
      <c r="S69" s="56">
        <v>24.95</v>
      </c>
      <c r="T69" s="56">
        <v>24.85</v>
      </c>
      <c r="U69" s="56">
        <v>26.4</v>
      </c>
      <c r="V69" s="56">
        <v>25.2</v>
      </c>
      <c r="W69" s="56">
        <v>25.05</v>
      </c>
      <c r="X69" s="56">
        <v>26.65</v>
      </c>
      <c r="Y69" s="56">
        <v>24</v>
      </c>
      <c r="Z69" s="56">
        <v>25.7</v>
      </c>
      <c r="AA69" s="56">
        <v>26.75</v>
      </c>
      <c r="AB69" s="56">
        <v>24.55</v>
      </c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18</v>
      </c>
      <c r="AQ69" s="71">
        <f t="shared" ref="AQ69:AQ132" si="4">IF(AP69&gt;14,AVERAGE(K69:AO69),"")</f>
        <v>25.827777777777776</v>
      </c>
      <c r="AR69" s="71">
        <f>IFERROR(VLOOKUP(A69,Climatologia_TMED!A:U,9+$E$2,FALSE),"")</f>
        <v>25.433855658806561</v>
      </c>
      <c r="AS69" s="71">
        <f t="shared" ref="AS69:AS132" si="5">IF(OR(AQ69="",AR69=""),"",IFERROR(AQ69-AR69,""))</f>
        <v>0.39392211897121499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>
        <v>27.86666666666666</v>
      </c>
      <c r="O70" s="56">
        <v>26.13333333333334</v>
      </c>
      <c r="P70" s="56">
        <v>27.666666666666671</v>
      </c>
      <c r="Q70" s="56">
        <v>26.533333333333331</v>
      </c>
      <c r="R70" s="56">
        <v>28.333333333333329</v>
      </c>
      <c r="S70" s="56">
        <v>25.533333333333331</v>
      </c>
      <c r="T70" s="56">
        <v>25.466666666666669</v>
      </c>
      <c r="U70" s="56">
        <v>27.8</v>
      </c>
      <c r="V70" s="56">
        <v>28.466666666666669</v>
      </c>
      <c r="W70" s="56">
        <v>25.4</v>
      </c>
      <c r="X70" s="56">
        <v>27.6</v>
      </c>
      <c r="Y70" s="56">
        <v>27.266666666666669</v>
      </c>
      <c r="Z70" s="56">
        <v>27.266666666666669</v>
      </c>
      <c r="AA70" s="56">
        <v>28.13333333333334</v>
      </c>
      <c r="AB70" s="56">
        <v>26.6</v>
      </c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18</v>
      </c>
      <c r="AQ70" s="71">
        <f t="shared" si="4"/>
        <v>27.296296296296298</v>
      </c>
      <c r="AR70" s="71">
        <f>IFERROR(VLOOKUP(A70,Climatologia_TMED!A:U,9+$E$2,FALSE),"")</f>
        <v>26.78526553852701</v>
      </c>
      <c r="AS70" s="71">
        <f t="shared" si="5"/>
        <v>0.51103075776928719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>
        <v>26.6</v>
      </c>
      <c r="O71" s="56"/>
      <c r="P71" s="56"/>
      <c r="Q71" s="56">
        <v>27.4</v>
      </c>
      <c r="R71" s="56">
        <v>27.966666666666669</v>
      </c>
      <c r="S71" s="56">
        <v>27.3</v>
      </c>
      <c r="T71" s="56">
        <v>25.233333333333331</v>
      </c>
      <c r="U71" s="56">
        <v>27.033333333333331</v>
      </c>
      <c r="V71" s="56">
        <v>27.63333333333334</v>
      </c>
      <c r="W71" s="56">
        <v>26.566666666666659</v>
      </c>
      <c r="X71" s="56">
        <v>27.533333333333331</v>
      </c>
      <c r="Y71" s="56">
        <v>27.266666666666669</v>
      </c>
      <c r="Z71" s="56">
        <v>27.5</v>
      </c>
      <c r="AA71" s="56">
        <v>27.8</v>
      </c>
      <c r="AB71" s="56">
        <v>27.6</v>
      </c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16</v>
      </c>
      <c r="AQ71" s="71">
        <f t="shared" si="4"/>
        <v>27.245833333333334</v>
      </c>
      <c r="AR71" s="71">
        <f>IFERROR(VLOOKUP(A71,Climatologia_TMED!A:U,9+$E$2,FALSE),"")</f>
        <v>26.743940917887269</v>
      </c>
      <c r="AS71" s="71">
        <f t="shared" si="5"/>
        <v>0.50189241544606489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>
        <v>25.733333333333331</v>
      </c>
      <c r="O72" s="56">
        <v>25.7</v>
      </c>
      <c r="P72" s="56">
        <v>26.233333333333331</v>
      </c>
      <c r="Q72" s="56">
        <v>26.533333333333331</v>
      </c>
      <c r="R72" s="56">
        <v>23.833333333333329</v>
      </c>
      <c r="S72" s="56">
        <v>27.166666666666671</v>
      </c>
      <c r="T72" s="56">
        <v>26.3</v>
      </c>
      <c r="U72" s="56">
        <v>25.6</v>
      </c>
      <c r="V72" s="56">
        <v>26.6</v>
      </c>
      <c r="W72" s="56">
        <v>26.86666666666666</v>
      </c>
      <c r="X72" s="56">
        <v>25.1</v>
      </c>
      <c r="Y72" s="56">
        <v>24.13333333333334</v>
      </c>
      <c r="Z72" s="56">
        <v>26.9</v>
      </c>
      <c r="AA72" s="56">
        <v>25.533333333333331</v>
      </c>
      <c r="AB72" s="56">
        <v>26.466666666666669</v>
      </c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18</v>
      </c>
      <c r="AQ72" s="71">
        <f t="shared" si="4"/>
        <v>26.05740740740741</v>
      </c>
      <c r="AR72" s="71">
        <f>IFERROR(VLOOKUP(A72,Climatologia_TMED!A:U,9+$E$2,FALSE),"")</f>
        <v>25.67966610037471</v>
      </c>
      <c r="AS72" s="71">
        <f t="shared" si="5"/>
        <v>0.37774130703270004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>
        <v>27.25</v>
      </c>
      <c r="O73" s="56">
        <v>25.6</v>
      </c>
      <c r="P73" s="56"/>
      <c r="Q73" s="56"/>
      <c r="R73" s="56">
        <v>26.5</v>
      </c>
      <c r="S73" s="56">
        <v>26.1</v>
      </c>
      <c r="T73" s="56">
        <v>24.3</v>
      </c>
      <c r="U73" s="56">
        <v>28.4</v>
      </c>
      <c r="V73" s="56"/>
      <c r="W73" s="56"/>
      <c r="X73" s="56"/>
      <c r="Y73" s="56">
        <v>25.45</v>
      </c>
      <c r="Z73" s="56">
        <v>25.65</v>
      </c>
      <c r="AA73" s="56">
        <v>26.3</v>
      </c>
      <c r="AB73" s="56">
        <v>23.95</v>
      </c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13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>
        <v>22.55</v>
      </c>
      <c r="O74" s="56">
        <v>20.85</v>
      </c>
      <c r="P74" s="56">
        <v>21.9</v>
      </c>
      <c r="Q74" s="56">
        <v>22.3</v>
      </c>
      <c r="R74" s="56">
        <v>22.95</v>
      </c>
      <c r="S74" s="56">
        <v>21.3</v>
      </c>
      <c r="T74" s="56">
        <v>21.55</v>
      </c>
      <c r="U74" s="56">
        <v>22.25</v>
      </c>
      <c r="V74" s="56">
        <v>21.65</v>
      </c>
      <c r="W74" s="56">
        <v>22.85</v>
      </c>
      <c r="X74" s="56">
        <v>23</v>
      </c>
      <c r="Y74" s="56">
        <v>22.8</v>
      </c>
      <c r="Z74" s="56">
        <v>21.65</v>
      </c>
      <c r="AA74" s="56">
        <v>21.9</v>
      </c>
      <c r="AB74" s="56">
        <v>22.65</v>
      </c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18</v>
      </c>
      <c r="AQ74" s="71">
        <f t="shared" si="4"/>
        <v>22.074999999999999</v>
      </c>
      <c r="AR74" s="71">
        <f>IFERROR(VLOOKUP(A74,Climatologia_TMED!A:U,9+$E$2,FALSE),"")</f>
        <v>21.0133878380074</v>
      </c>
      <c r="AS74" s="71">
        <f t="shared" si="5"/>
        <v>1.0616121619925991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>
        <v>15.866666666666671</v>
      </c>
      <c r="O75" s="56">
        <v>15.866666666666671</v>
      </c>
      <c r="P75" s="56">
        <v>15.8</v>
      </c>
      <c r="Q75" s="56">
        <v>14.53333333333333</v>
      </c>
      <c r="R75" s="56">
        <v>16.93333333333333</v>
      </c>
      <c r="S75" s="56">
        <v>17.333333333333329</v>
      </c>
      <c r="T75" s="56">
        <v>20.06666666666667</v>
      </c>
      <c r="U75" s="56">
        <v>17.666666666666671</v>
      </c>
      <c r="V75" s="56">
        <v>15</v>
      </c>
      <c r="W75" s="56">
        <v>16.666666666666671</v>
      </c>
      <c r="X75" s="56">
        <v>16.06666666666667</v>
      </c>
      <c r="Y75" s="56">
        <v>17.06666666666667</v>
      </c>
      <c r="Z75" s="56">
        <v>15.4</v>
      </c>
      <c r="AA75" s="56">
        <v>16.06666666666667</v>
      </c>
      <c r="AB75" s="56">
        <v>15.8</v>
      </c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18</v>
      </c>
      <c r="AQ75" s="71">
        <f t="shared" si="4"/>
        <v>16.340740740740742</v>
      </c>
      <c r="AR75" s="71">
        <f>IFERROR(VLOOKUP(A75,Climatologia_TMED!A:U,9+$E$2,FALSE),"")</f>
        <v>15.701877672565811</v>
      </c>
      <c r="AS75" s="71">
        <f t="shared" si="5"/>
        <v>0.63886306817493121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>
        <v>21.6</v>
      </c>
      <c r="O76" s="56">
        <v>20.85</v>
      </c>
      <c r="P76" s="56">
        <v>20.350000000000001</v>
      </c>
      <c r="Q76" s="56">
        <v>21.9</v>
      </c>
      <c r="R76" s="56">
        <v>23.5</v>
      </c>
      <c r="S76" s="56">
        <v>22.15</v>
      </c>
      <c r="T76" s="56">
        <v>20.7</v>
      </c>
      <c r="U76" s="56">
        <v>20.9</v>
      </c>
      <c r="V76" s="56">
        <v>20.65</v>
      </c>
      <c r="W76" s="56">
        <v>21.45</v>
      </c>
      <c r="X76" s="56">
        <v>21.85</v>
      </c>
      <c r="Y76" s="56">
        <v>21.8</v>
      </c>
      <c r="Z76" s="56">
        <v>19.850000000000001</v>
      </c>
      <c r="AA76" s="56">
        <v>22.25</v>
      </c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17</v>
      </c>
      <c r="AQ76" s="71">
        <f t="shared" si="4"/>
        <v>21.435294117647061</v>
      </c>
      <c r="AR76" s="71">
        <f>IFERROR(VLOOKUP(A76,Climatologia_TMED!A:U,9+$E$2,FALSE),"")</f>
        <v>20.329282890428001</v>
      </c>
      <c r="AS76" s="71">
        <f t="shared" si="5"/>
        <v>1.1060112272190601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>
        <v>25.266666666666669</v>
      </c>
      <c r="O77" s="56">
        <v>24.266666666666669</v>
      </c>
      <c r="P77" s="56">
        <v>25.6</v>
      </c>
      <c r="Q77" s="56">
        <v>25</v>
      </c>
      <c r="R77" s="56">
        <v>25.266666666666669</v>
      </c>
      <c r="S77" s="56">
        <v>25.466666666666669</v>
      </c>
      <c r="T77" s="56">
        <v>25.4</v>
      </c>
      <c r="U77" s="56">
        <v>24.2</v>
      </c>
      <c r="V77" s="56">
        <v>25.666666666666671</v>
      </c>
      <c r="W77" s="56">
        <v>25.8</v>
      </c>
      <c r="X77" s="56">
        <v>25.4</v>
      </c>
      <c r="Y77" s="56">
        <v>25.666666666666671</v>
      </c>
      <c r="Z77" s="56">
        <v>23.6</v>
      </c>
      <c r="AA77" s="56">
        <v>24.93333333333333</v>
      </c>
      <c r="AB77" s="56">
        <v>26</v>
      </c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18</v>
      </c>
      <c r="AQ77" s="71">
        <f t="shared" si="4"/>
        <v>25.040740740740745</v>
      </c>
      <c r="AR77" s="71">
        <f>IFERROR(VLOOKUP(A77,Climatologia_TMED!A:U,9+$E$2,FALSE),"")</f>
        <v>23.181190288660531</v>
      </c>
      <c r="AS77" s="71">
        <f t="shared" si="5"/>
        <v>1.8595504520802137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>
        <v>33.1</v>
      </c>
      <c r="O78" s="56">
        <v>33.6</v>
      </c>
      <c r="P78" s="56">
        <v>33.65</v>
      </c>
      <c r="Q78" s="56"/>
      <c r="R78" s="56">
        <v>33.900000000000013</v>
      </c>
      <c r="S78" s="56">
        <v>32.700000000000003</v>
      </c>
      <c r="T78" s="56">
        <v>34.049999999999997</v>
      </c>
      <c r="U78" s="56">
        <v>33.200000000000003</v>
      </c>
      <c r="V78" s="56">
        <v>33.4</v>
      </c>
      <c r="W78" s="56">
        <v>32.599999999999987</v>
      </c>
      <c r="X78" s="56">
        <v>34.700000000000003</v>
      </c>
      <c r="Y78" s="56">
        <v>33.849999999999987</v>
      </c>
      <c r="Z78" s="56">
        <v>32.049999999999997</v>
      </c>
      <c r="AA78" s="56">
        <v>33.700000000000003</v>
      </c>
      <c r="AB78" s="56">
        <v>34.6</v>
      </c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17</v>
      </c>
      <c r="AQ78" s="71">
        <f t="shared" si="4"/>
        <v>33.141176470588235</v>
      </c>
      <c r="AR78" s="71">
        <f>IFERROR(VLOOKUP(A78,Climatologia_TMED!A:U,9+$E$2,FALSE),"")</f>
        <v>29.972578572390191</v>
      </c>
      <c r="AS78" s="71">
        <f t="shared" si="5"/>
        <v>3.168597898198044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>
        <v>33.266666666666673</v>
      </c>
      <c r="O79" s="56">
        <v>33.733333333333327</v>
      </c>
      <c r="P79" s="56">
        <v>33.700000000000003</v>
      </c>
      <c r="Q79" s="56">
        <v>32.466666666666669</v>
      </c>
      <c r="R79" s="56">
        <v>33.6</v>
      </c>
      <c r="S79" s="56">
        <v>33.666666666666657</v>
      </c>
      <c r="T79" s="56">
        <v>33</v>
      </c>
      <c r="U79" s="56">
        <v>32.6</v>
      </c>
      <c r="V79" s="56">
        <v>32.799999999999997</v>
      </c>
      <c r="W79" s="56">
        <v>32.799999999999997</v>
      </c>
      <c r="X79" s="56">
        <v>34.333333333333343</v>
      </c>
      <c r="Y79" s="56">
        <v>32.799999999999997</v>
      </c>
      <c r="Z79" s="56">
        <v>31.466666666666669</v>
      </c>
      <c r="AA79" s="56">
        <v>33.133333333333333</v>
      </c>
      <c r="AB79" s="56">
        <v>33.06666666666667</v>
      </c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18</v>
      </c>
      <c r="AQ79" s="71">
        <f t="shared" si="4"/>
        <v>32.912962962962965</v>
      </c>
      <c r="AR79" s="71">
        <f>IFERROR(VLOOKUP(A79,Climatologia_TMED!A:U,9+$E$2,FALSE),"")</f>
        <v>30.131825001485431</v>
      </c>
      <c r="AS79" s="71">
        <f t="shared" si="5"/>
        <v>2.7811379614775333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>
        <v>20.6</v>
      </c>
      <c r="M80" s="56">
        <v>20.399999999999999</v>
      </c>
      <c r="N80" s="56">
        <v>21.06666666666667</v>
      </c>
      <c r="O80" s="56">
        <v>22.866666666666671</v>
      </c>
      <c r="P80" s="56">
        <v>22.266666666666669</v>
      </c>
      <c r="Q80" s="56">
        <v>20.533333333333331</v>
      </c>
      <c r="R80" s="56">
        <v>22.06666666666667</v>
      </c>
      <c r="S80" s="56">
        <v>22.533333333333331</v>
      </c>
      <c r="T80" s="56">
        <v>22.266666666666669</v>
      </c>
      <c r="U80" s="56">
        <v>21.733333333333331</v>
      </c>
      <c r="V80" s="56">
        <v>22.4</v>
      </c>
      <c r="W80" s="56">
        <v>22.93333333333333</v>
      </c>
      <c r="X80" s="56">
        <v>23.13333333333334</v>
      </c>
      <c r="Y80" s="56">
        <v>22.6</v>
      </c>
      <c r="Z80" s="56">
        <v>20.733333333333331</v>
      </c>
      <c r="AA80" s="56">
        <v>21.6</v>
      </c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17</v>
      </c>
      <c r="AQ80" s="71">
        <f t="shared" si="4"/>
        <v>21.803921568627455</v>
      </c>
      <c r="AR80" s="71">
        <f>IFERROR(VLOOKUP(A80,Climatologia_TMED!A:U,9+$E$2,FALSE),"")</f>
        <v>20.400266345908459</v>
      </c>
      <c r="AS80" s="71">
        <f t="shared" si="5"/>
        <v>1.4036552227189958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>
        <v>26</v>
      </c>
      <c r="O81" s="56">
        <v>26.25</v>
      </c>
      <c r="P81" s="56">
        <v>26.35</v>
      </c>
      <c r="Q81" s="56">
        <v>26.05</v>
      </c>
      <c r="R81" s="56">
        <v>25.5</v>
      </c>
      <c r="S81" s="56">
        <v>24.4</v>
      </c>
      <c r="T81" s="56">
        <v>26.1</v>
      </c>
      <c r="U81" s="56">
        <v>25.85</v>
      </c>
      <c r="V81" s="56">
        <v>25.65</v>
      </c>
      <c r="W81" s="56">
        <v>25.15</v>
      </c>
      <c r="X81" s="56">
        <v>24.8</v>
      </c>
      <c r="Y81" s="56">
        <v>26.55</v>
      </c>
      <c r="Z81" s="56">
        <v>25.35</v>
      </c>
      <c r="AA81" s="56">
        <v>26.05</v>
      </c>
      <c r="AB81" s="56">
        <v>25.05</v>
      </c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18</v>
      </c>
      <c r="AQ81" s="71">
        <f t="shared" si="4"/>
        <v>25.833333333333336</v>
      </c>
      <c r="AR81" s="71">
        <f>IFERROR(VLOOKUP(A81,Climatologia_TMED!A:U,9+$E$2,FALSE),"")</f>
        <v>25.577833762927309</v>
      </c>
      <c r="AS81" s="71">
        <f t="shared" si="5"/>
        <v>0.25549957040602678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>
        <v>27.8</v>
      </c>
      <c r="O82" s="56">
        <v>27.9</v>
      </c>
      <c r="P82" s="56">
        <v>28.06666666666667</v>
      </c>
      <c r="Q82" s="56">
        <v>27.4</v>
      </c>
      <c r="R82" s="56">
        <v>27.333333333333329</v>
      </c>
      <c r="S82" s="56">
        <v>27.066666666666659</v>
      </c>
      <c r="T82" s="56">
        <v>27.266666666666669</v>
      </c>
      <c r="U82" s="56">
        <v>26.533333333333331</v>
      </c>
      <c r="V82" s="56">
        <v>27.666666666666671</v>
      </c>
      <c r="W82" s="56">
        <v>27.333333333333329</v>
      </c>
      <c r="X82" s="56">
        <v>25.13333333333334</v>
      </c>
      <c r="Y82" s="56">
        <v>27.333333333333329</v>
      </c>
      <c r="Z82" s="56">
        <v>26.6</v>
      </c>
      <c r="AA82" s="56">
        <v>27.266666666666669</v>
      </c>
      <c r="AB82" s="56">
        <v>27.4</v>
      </c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18</v>
      </c>
      <c r="AQ82" s="71">
        <f t="shared" si="4"/>
        <v>27.346296296296295</v>
      </c>
      <c r="AR82" s="71">
        <f>IFERROR(VLOOKUP(A82,Climatologia_TMED!A:U,9+$E$2,FALSE),"")</f>
        <v>26.422429947394001</v>
      </c>
      <c r="AS82" s="71">
        <f t="shared" si="5"/>
        <v>0.92386634890229402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>
        <v>32.049999999999997</v>
      </c>
      <c r="O85" s="56">
        <v>32.549999999999997</v>
      </c>
      <c r="P85" s="56">
        <v>33.400000000000013</v>
      </c>
      <c r="Q85" s="56">
        <v>32.1</v>
      </c>
      <c r="R85" s="56">
        <v>32.733333333333327</v>
      </c>
      <c r="S85" s="56">
        <v>32.1</v>
      </c>
      <c r="T85" s="56">
        <v>33.049999999999997</v>
      </c>
      <c r="U85" s="56"/>
      <c r="V85" s="56"/>
      <c r="W85" s="56">
        <v>31.1</v>
      </c>
      <c r="X85" s="56">
        <v>30.7</v>
      </c>
      <c r="Y85" s="56">
        <v>31.7</v>
      </c>
      <c r="Z85" s="56">
        <v>31.4</v>
      </c>
      <c r="AA85" s="56">
        <v>32.549999999999997</v>
      </c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15</v>
      </c>
      <c r="AQ85" s="71">
        <f t="shared" si="4"/>
        <v>31.798888888888886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>
        <v>30.25</v>
      </c>
      <c r="O86" s="56">
        <v>30.55</v>
      </c>
      <c r="P86" s="56">
        <v>30.85</v>
      </c>
      <c r="Q86" s="56">
        <v>30.35</v>
      </c>
      <c r="R86" s="56">
        <v>29.9</v>
      </c>
      <c r="S86" s="56">
        <v>30.35</v>
      </c>
      <c r="T86" s="56">
        <v>30.7</v>
      </c>
      <c r="U86" s="56">
        <v>30.45</v>
      </c>
      <c r="V86" s="56">
        <v>30.6</v>
      </c>
      <c r="W86" s="56">
        <v>30.75</v>
      </c>
      <c r="X86" s="56">
        <v>29.45</v>
      </c>
      <c r="Y86" s="56">
        <v>30.6</v>
      </c>
      <c r="Z86" s="56">
        <v>29.8</v>
      </c>
      <c r="AA86" s="56">
        <v>32.099999999999987</v>
      </c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17</v>
      </c>
      <c r="AQ86" s="71">
        <f t="shared" si="4"/>
        <v>30.408823529411766</v>
      </c>
      <c r="AR86" s="71">
        <f>IFERROR(VLOOKUP(A86,Climatologia_TMED!A:U,9+$E$2,FALSE),"")</f>
        <v>28.266494092446621</v>
      </c>
      <c r="AS86" s="71">
        <f t="shared" si="5"/>
        <v>2.1423294369651451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>
        <v>30.45</v>
      </c>
      <c r="O87" s="56">
        <v>31.15</v>
      </c>
      <c r="P87" s="56">
        <v>30.15</v>
      </c>
      <c r="Q87" s="56">
        <v>29.15</v>
      </c>
      <c r="R87" s="56">
        <v>32</v>
      </c>
      <c r="S87" s="56">
        <v>32.75</v>
      </c>
      <c r="T87" s="56">
        <v>31.75</v>
      </c>
      <c r="U87" s="56">
        <v>30.6</v>
      </c>
      <c r="V87" s="56">
        <v>31.6</v>
      </c>
      <c r="W87" s="56">
        <v>30.6</v>
      </c>
      <c r="X87" s="56">
        <v>29.9</v>
      </c>
      <c r="Y87" s="56">
        <v>30.3</v>
      </c>
      <c r="Z87" s="56">
        <v>28.2</v>
      </c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16</v>
      </c>
      <c r="AQ87" s="71">
        <f t="shared" si="4"/>
        <v>30.593750000000004</v>
      </c>
      <c r="AR87" s="71">
        <f>IFERROR(VLOOKUP(A87,Climatologia_TMED!A:U,9+$E$2,FALSE),"")</f>
        <v>28.46747541407867</v>
      </c>
      <c r="AS87" s="71">
        <f t="shared" si="5"/>
        <v>2.1262745859213332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>
        <v>31.9</v>
      </c>
      <c r="O88" s="56">
        <v>30.65</v>
      </c>
      <c r="P88" s="56">
        <v>27.8</v>
      </c>
      <c r="Q88" s="56">
        <v>30.3</v>
      </c>
      <c r="R88" s="56">
        <v>31.75</v>
      </c>
      <c r="S88" s="56">
        <v>32</v>
      </c>
      <c r="T88" s="56">
        <v>30.2</v>
      </c>
      <c r="U88" s="56">
        <v>29.8</v>
      </c>
      <c r="V88" s="56">
        <v>30.85</v>
      </c>
      <c r="W88" s="56">
        <v>30.5</v>
      </c>
      <c r="X88" s="56">
        <v>29.55</v>
      </c>
      <c r="Y88" s="56">
        <v>29.65</v>
      </c>
      <c r="Z88" s="56">
        <v>31.05</v>
      </c>
      <c r="AA88" s="56">
        <v>31.8</v>
      </c>
      <c r="AB88" s="56">
        <v>31.35</v>
      </c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18</v>
      </c>
      <c r="AQ88" s="71">
        <f t="shared" si="4"/>
        <v>30.286111111111115</v>
      </c>
      <c r="AR88" s="71">
        <f>IFERROR(VLOOKUP(A88,Climatologia_TMED!A:U,9+$E$2,FALSE),"")</f>
        <v>27.487126327474471</v>
      </c>
      <c r="AS88" s="71">
        <f t="shared" si="5"/>
        <v>2.7989847836366444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>
        <v>31.5</v>
      </c>
      <c r="O89" s="56">
        <v>31.05</v>
      </c>
      <c r="P89" s="56">
        <v>28.7</v>
      </c>
      <c r="Q89" s="56">
        <v>29.4</v>
      </c>
      <c r="R89" s="56">
        <v>32.75</v>
      </c>
      <c r="S89" s="56">
        <v>34.549999999999997</v>
      </c>
      <c r="T89" s="56">
        <v>32.35</v>
      </c>
      <c r="U89" s="56"/>
      <c r="V89" s="56">
        <v>33.099999999999987</v>
      </c>
      <c r="W89" s="56"/>
      <c r="X89" s="56">
        <v>33.099999999999987</v>
      </c>
      <c r="Y89" s="56">
        <v>30.2</v>
      </c>
      <c r="Z89" s="56">
        <v>29.55</v>
      </c>
      <c r="AA89" s="56">
        <v>32.75</v>
      </c>
      <c r="AB89" s="56">
        <v>32.849999999999987</v>
      </c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15</v>
      </c>
      <c r="AQ89" s="71">
        <f t="shared" si="4"/>
        <v>31.313333333333329</v>
      </c>
      <c r="AR89" s="71">
        <f>IFERROR(VLOOKUP(A89,Climatologia_TMED!A:U,9+$E$2,FALSE),"")</f>
        <v>28.15701374072578</v>
      </c>
      <c r="AS89" s="71">
        <f t="shared" si="5"/>
        <v>3.1563195926075487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>
        <v>32.099999999999987</v>
      </c>
      <c r="O90" s="56">
        <v>32</v>
      </c>
      <c r="P90" s="56">
        <v>31.9</v>
      </c>
      <c r="Q90" s="56">
        <v>29.8</v>
      </c>
      <c r="R90" s="56">
        <v>32.9</v>
      </c>
      <c r="S90" s="56">
        <v>33.950000000000003</v>
      </c>
      <c r="T90" s="56">
        <v>32.15</v>
      </c>
      <c r="U90" s="56">
        <v>32.5</v>
      </c>
      <c r="V90" s="56">
        <v>32.5</v>
      </c>
      <c r="W90" s="56">
        <v>33.450000000000003</v>
      </c>
      <c r="X90" s="56">
        <v>31.9</v>
      </c>
      <c r="Y90" s="56">
        <v>30.55</v>
      </c>
      <c r="Z90" s="56">
        <v>32.799999999999997</v>
      </c>
      <c r="AA90" s="56">
        <v>33.700000000000003</v>
      </c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17</v>
      </c>
      <c r="AQ90" s="71">
        <f t="shared" si="4"/>
        <v>31.914705882352937</v>
      </c>
      <c r="AR90" s="71">
        <f>IFERROR(VLOOKUP(A90,Climatologia_TMED!A:U,9+$E$2,FALSE),"")</f>
        <v>27.68573940212433</v>
      </c>
      <c r="AS90" s="71">
        <f t="shared" si="5"/>
        <v>4.2289664802286069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30.55</v>
      </c>
      <c r="L91" s="56">
        <v>30.875</v>
      </c>
      <c r="M91" s="56">
        <v>30.25</v>
      </c>
      <c r="N91" s="56">
        <v>28.45</v>
      </c>
      <c r="O91" s="56">
        <v>31.45</v>
      </c>
      <c r="P91" s="56">
        <v>32.099999999999987</v>
      </c>
      <c r="Q91" s="56">
        <v>31.05</v>
      </c>
      <c r="R91" s="56">
        <v>32.650000000000013</v>
      </c>
      <c r="S91" s="56">
        <v>34</v>
      </c>
      <c r="T91" s="56">
        <v>33.1</v>
      </c>
      <c r="U91" s="56">
        <v>31.05</v>
      </c>
      <c r="V91" s="56">
        <v>34.299999999999997</v>
      </c>
      <c r="W91" s="56">
        <v>31.55</v>
      </c>
      <c r="X91" s="56">
        <v>28.65</v>
      </c>
      <c r="Y91" s="56">
        <v>31.4</v>
      </c>
      <c r="Z91" s="56">
        <v>28.6</v>
      </c>
      <c r="AA91" s="56">
        <v>27.95</v>
      </c>
      <c r="AB91" s="56">
        <v>30.375</v>
      </c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18</v>
      </c>
      <c r="AQ91" s="71">
        <f t="shared" si="4"/>
        <v>31.019444444444446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>
        <v>17.2</v>
      </c>
      <c r="O92" s="56">
        <v>18.274999999999999</v>
      </c>
      <c r="P92" s="56">
        <v>19.3</v>
      </c>
      <c r="Q92" s="56">
        <v>18.024999999999999</v>
      </c>
      <c r="R92" s="56">
        <v>19.75</v>
      </c>
      <c r="S92" s="56">
        <v>19.100000000000001</v>
      </c>
      <c r="T92" s="56">
        <v>19.149999999999999</v>
      </c>
      <c r="U92" s="56">
        <v>18.55</v>
      </c>
      <c r="V92" s="56">
        <v>17.899999999999999</v>
      </c>
      <c r="W92" s="56">
        <v>18.100000000000001</v>
      </c>
      <c r="X92" s="56">
        <v>19.5</v>
      </c>
      <c r="Y92" s="56">
        <v>17.25</v>
      </c>
      <c r="Z92" s="56">
        <v>18.95</v>
      </c>
      <c r="AA92" s="56">
        <v>19.600000000000001</v>
      </c>
      <c r="AB92" s="56">
        <v>19.7</v>
      </c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18</v>
      </c>
      <c r="AQ92" s="71">
        <f t="shared" si="4"/>
        <v>18.516666666666666</v>
      </c>
      <c r="AR92" s="71">
        <f>IFERROR(VLOOKUP(A92,Climatologia_TMED!A:U,9+$E$2,FALSE),"")</f>
        <v>16.238137566137532</v>
      </c>
      <c r="AS92" s="71">
        <f t="shared" si="5"/>
        <v>2.2785291005291342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>
        <v>25</v>
      </c>
      <c r="O93" s="56">
        <v>25.86666666666666</v>
      </c>
      <c r="P93" s="56">
        <v>25.06666666666667</v>
      </c>
      <c r="Q93" s="56">
        <v>23.333333333333329</v>
      </c>
      <c r="R93" s="56">
        <v>24.466666666666669</v>
      </c>
      <c r="S93" s="56">
        <v>25.266666666666669</v>
      </c>
      <c r="T93" s="56">
        <v>25.466666666666669</v>
      </c>
      <c r="U93" s="56">
        <v>25.86666666666666</v>
      </c>
      <c r="V93" s="56">
        <v>25.733333333333331</v>
      </c>
      <c r="W93" s="56">
        <v>25.4</v>
      </c>
      <c r="X93" s="56">
        <v>26</v>
      </c>
      <c r="Y93" s="56">
        <v>26.4</v>
      </c>
      <c r="Z93" s="56">
        <v>24.6</v>
      </c>
      <c r="AA93" s="56">
        <v>26.333333333333329</v>
      </c>
      <c r="AB93" s="56">
        <v>26.6</v>
      </c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18</v>
      </c>
      <c r="AQ93" s="71">
        <f t="shared" si="4"/>
        <v>25.337037037037035</v>
      </c>
      <c r="AR93" s="71">
        <f>IFERROR(VLOOKUP(A93,Climatologia_TMED!A:U,9+$E$2,FALSE),"")</f>
        <v>22.28312267806265</v>
      </c>
      <c r="AS93" s="71">
        <f t="shared" si="5"/>
        <v>3.0539143589743851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>
        <v>17.8</v>
      </c>
      <c r="R94" s="56">
        <v>18</v>
      </c>
      <c r="S94" s="56">
        <v>17.75</v>
      </c>
      <c r="T94" s="56">
        <v>17.100000000000001</v>
      </c>
      <c r="U94" s="56">
        <v>18.45</v>
      </c>
      <c r="V94" s="56">
        <v>17.3</v>
      </c>
      <c r="W94" s="56">
        <v>17.5</v>
      </c>
      <c r="X94" s="56">
        <v>18.5</v>
      </c>
      <c r="Y94" s="56">
        <v>18.3</v>
      </c>
      <c r="Z94" s="56">
        <v>18</v>
      </c>
      <c r="AA94" s="56">
        <v>17.7</v>
      </c>
      <c r="AB94" s="56">
        <v>17.93333333333333</v>
      </c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15</v>
      </c>
      <c r="AQ94" s="71">
        <f t="shared" si="4"/>
        <v>17.855555555555554</v>
      </c>
      <c r="AR94" s="71">
        <f>IFERROR(VLOOKUP(A94,Climatologia_TMED!A:U,9+$E$2,FALSE),"")</f>
        <v>16.29618252860929</v>
      </c>
      <c r="AS94" s="71">
        <f t="shared" si="5"/>
        <v>1.5593730269462647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>
        <v>14.95</v>
      </c>
      <c r="O95" s="56">
        <v>14.45</v>
      </c>
      <c r="P95" s="56">
        <v>14.15</v>
      </c>
      <c r="Q95" s="56">
        <v>13.8</v>
      </c>
      <c r="R95" s="56">
        <v>14.75</v>
      </c>
      <c r="S95" s="56">
        <v>15.65</v>
      </c>
      <c r="T95" s="56">
        <v>14.55</v>
      </c>
      <c r="U95" s="56">
        <v>14.6</v>
      </c>
      <c r="V95" s="56">
        <v>16.2</v>
      </c>
      <c r="W95" s="56">
        <v>14.5</v>
      </c>
      <c r="X95" s="56">
        <v>14.6</v>
      </c>
      <c r="Y95" s="56">
        <v>15.95</v>
      </c>
      <c r="Z95" s="56">
        <v>14.45</v>
      </c>
      <c r="AA95" s="56">
        <v>14.7</v>
      </c>
      <c r="AB95" s="56">
        <v>14.3</v>
      </c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18</v>
      </c>
      <c r="AQ95" s="71">
        <f t="shared" si="4"/>
        <v>14.697222222222219</v>
      </c>
      <c r="AR95" s="71">
        <f>IFERROR(VLOOKUP(A95,Climatologia_TMED!A:U,9+$E$2,FALSE),"")</f>
        <v>13.88572613872102</v>
      </c>
      <c r="AS95" s="71">
        <f t="shared" si="5"/>
        <v>0.81149608350119884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>
        <v>13.9</v>
      </c>
      <c r="O97" s="56">
        <v>14.733333333333331</v>
      </c>
      <c r="P97" s="56">
        <v>14.93333333333333</v>
      </c>
      <c r="Q97" s="56">
        <v>16.733333333333331</v>
      </c>
      <c r="R97" s="56">
        <v>17.333333333333329</v>
      </c>
      <c r="S97" s="56">
        <v>18.333333333333329</v>
      </c>
      <c r="T97" s="56">
        <v>16.600000000000001</v>
      </c>
      <c r="U97" s="56">
        <v>16.666666666666661</v>
      </c>
      <c r="V97" s="56">
        <v>15.93333333333333</v>
      </c>
      <c r="W97" s="56">
        <v>17.333333333333329</v>
      </c>
      <c r="X97" s="56"/>
      <c r="Y97" s="56">
        <v>17.533333333333331</v>
      </c>
      <c r="Z97" s="56">
        <v>16.93333333333333</v>
      </c>
      <c r="AA97" s="56">
        <v>16.93333333333333</v>
      </c>
      <c r="AB97" s="56">
        <v>15.53333333333333</v>
      </c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17</v>
      </c>
      <c r="AQ97" s="71">
        <f t="shared" si="4"/>
        <v>16.617647058823522</v>
      </c>
      <c r="AR97" s="71">
        <f>IFERROR(VLOOKUP(A97,Climatologia_TMED!A:U,9+$E$2,FALSE),"")</f>
        <v>14.31904513099447</v>
      </c>
      <c r="AS97" s="71">
        <f t="shared" si="5"/>
        <v>2.2986019278290524</v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>
        <v>13.1</v>
      </c>
      <c r="O98" s="56">
        <v>11.95</v>
      </c>
      <c r="P98" s="56">
        <v>12.2</v>
      </c>
      <c r="Q98" s="56">
        <v>12.1</v>
      </c>
      <c r="R98" s="56">
        <v>13.2</v>
      </c>
      <c r="S98" s="56">
        <v>14.35</v>
      </c>
      <c r="T98" s="56">
        <v>14.2</v>
      </c>
      <c r="U98" s="56">
        <v>13.8</v>
      </c>
      <c r="V98" s="56">
        <v>13.2</v>
      </c>
      <c r="W98" s="56">
        <v>12.25</v>
      </c>
      <c r="X98" s="56">
        <v>12.8</v>
      </c>
      <c r="Y98" s="56">
        <v>13.2</v>
      </c>
      <c r="Z98" s="56">
        <v>13.8</v>
      </c>
      <c r="AA98" s="56">
        <v>13.85</v>
      </c>
      <c r="AB98" s="56">
        <v>13.8</v>
      </c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18</v>
      </c>
      <c r="AQ98" s="71">
        <f t="shared" si="4"/>
        <v>13.088888888888889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>
        <v>15.6</v>
      </c>
      <c r="O99" s="56">
        <v>14.633333333333329</v>
      </c>
      <c r="P99" s="56">
        <v>14.66666666666667</v>
      </c>
      <c r="Q99" s="56">
        <v>13.6</v>
      </c>
      <c r="R99" s="56">
        <v>15.56666666666667</v>
      </c>
      <c r="S99" s="56">
        <v>16.233333333333331</v>
      </c>
      <c r="T99" s="56">
        <v>15.66666666666667</v>
      </c>
      <c r="U99" s="56">
        <v>14.8</v>
      </c>
      <c r="V99" s="56">
        <v>16.3</v>
      </c>
      <c r="W99" s="56">
        <v>15.33333333333333</v>
      </c>
      <c r="X99" s="56">
        <v>15.7</v>
      </c>
      <c r="Y99" s="56">
        <v>15.46666666666667</v>
      </c>
      <c r="Z99" s="56">
        <v>15.46666666666667</v>
      </c>
      <c r="AA99" s="56"/>
      <c r="AB99" s="56">
        <v>16.533333333333331</v>
      </c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17</v>
      </c>
      <c r="AQ99" s="71">
        <f t="shared" si="4"/>
        <v>15.34313725490196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>
        <v>15.733333333333331</v>
      </c>
      <c r="O100" s="56">
        <v>15.46666666666667</v>
      </c>
      <c r="P100" s="56">
        <v>15.6</v>
      </c>
      <c r="Q100" s="56">
        <v>15.33333333333333</v>
      </c>
      <c r="R100" s="56">
        <v>15</v>
      </c>
      <c r="S100" s="56">
        <v>17.666666666666671</v>
      </c>
      <c r="T100" s="56">
        <v>17.466666666666669</v>
      </c>
      <c r="U100" s="56">
        <v>16.600000000000001</v>
      </c>
      <c r="V100" s="56">
        <v>16.533333333333331</v>
      </c>
      <c r="W100" s="56">
        <v>14.8</v>
      </c>
      <c r="X100" s="56">
        <v>16.666666666666671</v>
      </c>
      <c r="Y100" s="56">
        <v>17.266666666666669</v>
      </c>
      <c r="Z100" s="56">
        <v>16.666666666666671</v>
      </c>
      <c r="AA100" s="56">
        <v>16.399999999999999</v>
      </c>
      <c r="AB100" s="56">
        <v>16.2</v>
      </c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18</v>
      </c>
      <c r="AQ100" s="71">
        <f t="shared" si="4"/>
        <v>16.162962962962961</v>
      </c>
      <c r="AR100" s="71">
        <f>IFERROR(VLOOKUP(A100,Climatologia_TMED!A:U,9+$E$2,FALSE),"")</f>
        <v>14.483315594307189</v>
      </c>
      <c r="AS100" s="71">
        <f t="shared" si="5"/>
        <v>1.6796473686557718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>
        <v>14.2</v>
      </c>
      <c r="O101" s="56">
        <v>12.65</v>
      </c>
      <c r="P101" s="56">
        <v>13.2</v>
      </c>
      <c r="Q101" s="56">
        <v>12.95</v>
      </c>
      <c r="R101" s="56">
        <v>13.6</v>
      </c>
      <c r="S101" s="56">
        <v>14.45</v>
      </c>
      <c r="T101" s="56">
        <v>14.25</v>
      </c>
      <c r="U101" s="56">
        <v>14.05</v>
      </c>
      <c r="V101" s="56">
        <v>15.2</v>
      </c>
      <c r="W101" s="56">
        <v>13.6</v>
      </c>
      <c r="X101" s="56">
        <v>14.2</v>
      </c>
      <c r="Y101" s="56">
        <v>13.65</v>
      </c>
      <c r="Z101" s="56">
        <v>13.45</v>
      </c>
      <c r="AA101" s="56">
        <v>13.25</v>
      </c>
      <c r="AB101" s="56">
        <v>14.05</v>
      </c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18</v>
      </c>
      <c r="AQ101" s="71">
        <f t="shared" si="4"/>
        <v>13.680555555555555</v>
      </c>
      <c r="AR101" s="71">
        <f>IFERROR(VLOOKUP(A101,Climatologia_TMED!A:U,9+$E$2,FALSE),"")</f>
        <v>12.81914533693047</v>
      </c>
      <c r="AS101" s="71">
        <f t="shared" si="5"/>
        <v>0.86141021862508538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>
        <v>13.33333333333333</v>
      </c>
      <c r="S102" s="56">
        <v>13.46666666666667</v>
      </c>
      <c r="T102" s="56">
        <v>13.2</v>
      </c>
      <c r="U102" s="56">
        <v>13.866666666666671</v>
      </c>
      <c r="V102" s="56">
        <v>15.2</v>
      </c>
      <c r="W102" s="56">
        <v>13.133333333333329</v>
      </c>
      <c r="X102" s="56">
        <v>13.8</v>
      </c>
      <c r="Y102" s="56">
        <v>14.066666666666659</v>
      </c>
      <c r="Z102" s="56">
        <v>13.53333333333333</v>
      </c>
      <c r="AA102" s="56">
        <v>13.53333333333333</v>
      </c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11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>
        <v>20.6</v>
      </c>
      <c r="O105" s="56">
        <v>19.533333333333331</v>
      </c>
      <c r="P105" s="56">
        <v>19.133333333333329</v>
      </c>
      <c r="Q105" s="56">
        <v>20.06666666666667</v>
      </c>
      <c r="R105" s="56">
        <v>19.399999999999999</v>
      </c>
      <c r="S105" s="56">
        <v>20.93333333333333</v>
      </c>
      <c r="T105" s="56">
        <v>19.600000000000001</v>
      </c>
      <c r="U105" s="56">
        <v>18.666666666666671</v>
      </c>
      <c r="V105" s="56">
        <v>19.2</v>
      </c>
      <c r="W105" s="56">
        <v>17.8</v>
      </c>
      <c r="X105" s="56">
        <v>20.466666666666669</v>
      </c>
      <c r="Y105" s="56">
        <v>20.733333333333331</v>
      </c>
      <c r="Z105" s="56">
        <v>20.266666666666669</v>
      </c>
      <c r="AA105" s="56">
        <v>19.666666666666671</v>
      </c>
      <c r="AB105" s="56">
        <v>20.8</v>
      </c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18</v>
      </c>
      <c r="AQ105" s="71">
        <f t="shared" si="4"/>
        <v>19.825925925925926</v>
      </c>
      <c r="AR105" s="71">
        <f>IFERROR(VLOOKUP(A105,Climatologia_TMED!A:U,9+$E$2,FALSE),"")</f>
        <v>17.31151636275251</v>
      </c>
      <c r="AS105" s="71">
        <f t="shared" si="5"/>
        <v>2.514409563173416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>
        <v>13.85</v>
      </c>
      <c r="Z106" s="56">
        <v>13.45</v>
      </c>
      <c r="AA106" s="56">
        <v>13.8</v>
      </c>
      <c r="AB106" s="56">
        <v>14.1</v>
      </c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4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>
        <v>13.5</v>
      </c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2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>
        <v>15.4</v>
      </c>
      <c r="O108" s="56">
        <v>12.1</v>
      </c>
      <c r="P108" s="56">
        <v>14.1</v>
      </c>
      <c r="Q108" s="56">
        <v>13.2</v>
      </c>
      <c r="R108" s="56">
        <v>14.9</v>
      </c>
      <c r="S108" s="56">
        <v>14</v>
      </c>
      <c r="T108" s="56">
        <v>15.2</v>
      </c>
      <c r="U108" s="56">
        <v>13.75</v>
      </c>
      <c r="V108" s="56">
        <v>13.85</v>
      </c>
      <c r="W108" s="56">
        <v>11.6</v>
      </c>
      <c r="X108" s="56">
        <v>13.2</v>
      </c>
      <c r="Y108" s="56">
        <v>14.3</v>
      </c>
      <c r="Z108" s="56">
        <v>15.15</v>
      </c>
      <c r="AA108" s="56">
        <v>13.6</v>
      </c>
      <c r="AB108" s="56">
        <v>12.4</v>
      </c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18</v>
      </c>
      <c r="AQ108" s="71">
        <f t="shared" si="4"/>
        <v>13.691666666666666</v>
      </c>
      <c r="AR108" s="71">
        <f>IFERROR(VLOOKUP(A108,Climatologia_TMED!A:U,9+$E$2,FALSE),"")</f>
        <v>14.328268637690741</v>
      </c>
      <c r="AS108" s="71">
        <f t="shared" si="5"/>
        <v>-0.63660197102407423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>
        <v>13.8</v>
      </c>
      <c r="O109" s="56">
        <v>14.3</v>
      </c>
      <c r="P109" s="56">
        <v>14.35</v>
      </c>
      <c r="Q109" s="56">
        <v>14.15</v>
      </c>
      <c r="R109" s="56">
        <v>13.85</v>
      </c>
      <c r="S109" s="56">
        <v>15.8</v>
      </c>
      <c r="T109" s="56">
        <v>14.45</v>
      </c>
      <c r="U109" s="56">
        <v>15.2</v>
      </c>
      <c r="V109" s="56">
        <v>15.85</v>
      </c>
      <c r="W109" s="56">
        <v>14.25</v>
      </c>
      <c r="X109" s="56">
        <v>15.9</v>
      </c>
      <c r="Y109" s="56">
        <v>16.55</v>
      </c>
      <c r="Z109" s="56">
        <v>14.65</v>
      </c>
      <c r="AA109" s="56">
        <v>13.4</v>
      </c>
      <c r="AB109" s="56">
        <v>15.25</v>
      </c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18</v>
      </c>
      <c r="AQ109" s="71">
        <f t="shared" si="4"/>
        <v>14.763888888888889</v>
      </c>
      <c r="AR109" s="71">
        <f>IFERROR(VLOOKUP(A109,Climatologia_TMED!A:U,9+$E$2,FALSE),"")</f>
        <v>14.084508876117489</v>
      </c>
      <c r="AS109" s="71">
        <f t="shared" si="5"/>
        <v>0.67938001277140003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>
        <v>17.399999999999999</v>
      </c>
      <c r="O110" s="56">
        <v>18.466666666666669</v>
      </c>
      <c r="P110" s="56"/>
      <c r="Q110" s="56"/>
      <c r="R110" s="56">
        <v>17.06666666666667</v>
      </c>
      <c r="S110" s="56">
        <v>18</v>
      </c>
      <c r="T110" s="56">
        <v>17.13333333333334</v>
      </c>
      <c r="U110" s="56">
        <v>18.133333333333329</v>
      </c>
      <c r="V110" s="56">
        <v>18.600000000000001</v>
      </c>
      <c r="W110" s="56">
        <v>17.2</v>
      </c>
      <c r="X110" s="56">
        <v>19.06666666666667</v>
      </c>
      <c r="Y110" s="56">
        <v>18.600000000000001</v>
      </c>
      <c r="Z110" s="56">
        <v>18.06666666666667</v>
      </c>
      <c r="AA110" s="56">
        <v>18.399999999999999</v>
      </c>
      <c r="AB110" s="56">
        <v>17.466666666666669</v>
      </c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15</v>
      </c>
      <c r="AQ110" s="71">
        <f t="shared" si="4"/>
        <v>17.915555555555557</v>
      </c>
      <c r="AR110" s="71">
        <f>IFERROR(VLOOKUP(A110,Climatologia_TMED!A:U,9+$E$2,FALSE),"")</f>
        <v>17.65575995579476</v>
      </c>
      <c r="AS110" s="71">
        <f t="shared" si="5"/>
        <v>0.25979559976079614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>
        <v>16.733333333333331</v>
      </c>
      <c r="O111" s="56">
        <v>14.93333333333333</v>
      </c>
      <c r="P111" s="56">
        <v>15.133333333333329</v>
      </c>
      <c r="Q111" s="56">
        <v>15.133333333333329</v>
      </c>
      <c r="R111" s="56">
        <v>14.8</v>
      </c>
      <c r="S111" s="56">
        <v>17</v>
      </c>
      <c r="T111" s="56">
        <v>15.66666666666667</v>
      </c>
      <c r="U111" s="56">
        <v>16.266666666666669</v>
      </c>
      <c r="V111" s="56">
        <v>17.733333333333331</v>
      </c>
      <c r="W111" s="56">
        <v>16.600000000000001</v>
      </c>
      <c r="X111" s="56">
        <v>15.53333333333333</v>
      </c>
      <c r="Y111" s="56">
        <v>16.8</v>
      </c>
      <c r="Z111" s="56">
        <v>15.6</v>
      </c>
      <c r="AA111" s="56">
        <v>16.466666666666669</v>
      </c>
      <c r="AB111" s="56">
        <v>15.733333333333331</v>
      </c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18</v>
      </c>
      <c r="AQ111" s="71">
        <f t="shared" si="4"/>
        <v>15.91111111111111</v>
      </c>
      <c r="AR111" s="71">
        <f>IFERROR(VLOOKUP(A111,Climatologia_TMED!A:U,9+$E$2,FALSE),"")</f>
        <v>15.803133701388001</v>
      </c>
      <c r="AS111" s="71">
        <f t="shared" si="5"/>
        <v>0.10797740972310876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>
        <v>18.466666666666669</v>
      </c>
      <c r="O112" s="56">
        <v>18.8</v>
      </c>
      <c r="P112" s="56">
        <v>18.666666666666671</v>
      </c>
      <c r="Q112" s="56">
        <v>18.8</v>
      </c>
      <c r="R112" s="56">
        <v>17</v>
      </c>
      <c r="S112" s="56">
        <v>18.466666666666669</v>
      </c>
      <c r="T112" s="56">
        <v>17.733333333333331</v>
      </c>
      <c r="U112" s="56">
        <v>18.533333333333331</v>
      </c>
      <c r="V112" s="56">
        <v>18.600000000000001</v>
      </c>
      <c r="W112" s="56">
        <v>18.600000000000001</v>
      </c>
      <c r="X112" s="56">
        <v>19.533333333333331</v>
      </c>
      <c r="Y112" s="56">
        <v>19.13333333333334</v>
      </c>
      <c r="Z112" s="56">
        <v>18.8</v>
      </c>
      <c r="AA112" s="56">
        <v>19.2</v>
      </c>
      <c r="AB112" s="56">
        <v>18</v>
      </c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18</v>
      </c>
      <c r="AQ112" s="71">
        <f t="shared" si="4"/>
        <v>18.607407407407404</v>
      </c>
      <c r="AR112" s="71">
        <f>IFERROR(VLOOKUP(A112,Climatologia_TMED!A:U,9+$E$2,FALSE),"")</f>
        <v>17.236627506814891</v>
      </c>
      <c r="AS112" s="71">
        <f t="shared" si="5"/>
        <v>1.3707799005925132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>
        <v>18.133333333333329</v>
      </c>
      <c r="O113" s="56">
        <v>20.266666666666669</v>
      </c>
      <c r="P113" s="56">
        <v>19</v>
      </c>
      <c r="Q113" s="56">
        <v>20</v>
      </c>
      <c r="R113" s="56">
        <v>19.666666666666671</v>
      </c>
      <c r="S113" s="56"/>
      <c r="T113" s="56">
        <v>18.399999999999999</v>
      </c>
      <c r="U113" s="56">
        <v>19.8</v>
      </c>
      <c r="V113" s="56"/>
      <c r="W113" s="56">
        <v>19.533333333333331</v>
      </c>
      <c r="X113" s="56">
        <v>21.2</v>
      </c>
      <c r="Y113" s="56">
        <v>20.466666666666669</v>
      </c>
      <c r="Z113" s="56">
        <v>18.93333333333333</v>
      </c>
      <c r="AA113" s="56">
        <v>18.666666666666671</v>
      </c>
      <c r="AB113" s="56">
        <v>17.600000000000001</v>
      </c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14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>
        <v>22.333333333333329</v>
      </c>
      <c r="R114" s="56">
        <v>21.8</v>
      </c>
      <c r="S114" s="56">
        <v>22.533333333333331</v>
      </c>
      <c r="T114" s="56">
        <v>21.333333333333329</v>
      </c>
      <c r="U114" s="56"/>
      <c r="V114" s="56"/>
      <c r="W114" s="56"/>
      <c r="X114" s="56">
        <v>24.333333333333329</v>
      </c>
      <c r="Y114" s="56">
        <v>23.266666666666669</v>
      </c>
      <c r="Z114" s="56">
        <v>23.13333333333334</v>
      </c>
      <c r="AA114" s="56">
        <v>23.13333333333334</v>
      </c>
      <c r="AB114" s="56">
        <v>21.8</v>
      </c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12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>
        <v>27.45</v>
      </c>
      <c r="O115" s="56">
        <v>28.45</v>
      </c>
      <c r="P115" s="56">
        <v>26.9</v>
      </c>
      <c r="Q115" s="56">
        <v>27.95</v>
      </c>
      <c r="R115" s="56">
        <v>27.85</v>
      </c>
      <c r="S115" s="56">
        <v>27.1</v>
      </c>
      <c r="T115" s="56">
        <v>26.15</v>
      </c>
      <c r="U115" s="56">
        <v>27.2</v>
      </c>
      <c r="V115" s="56">
        <v>28.85</v>
      </c>
      <c r="W115" s="56">
        <v>26.25</v>
      </c>
      <c r="X115" s="56">
        <v>28.55</v>
      </c>
      <c r="Y115" s="56">
        <v>26.85</v>
      </c>
      <c r="Z115" s="56">
        <v>28.1</v>
      </c>
      <c r="AA115" s="56">
        <v>27.4</v>
      </c>
      <c r="AB115" s="56">
        <v>27.25</v>
      </c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18</v>
      </c>
      <c r="AQ115" s="71">
        <f t="shared" si="4"/>
        <v>27.644444444444446</v>
      </c>
      <c r="AR115" s="71">
        <f>IFERROR(VLOOKUP(A115,Climatologia_TMED!A:U,9+$E$2,FALSE),"")</f>
        <v>27.435459278907519</v>
      </c>
      <c r="AS115" s="71">
        <f t="shared" si="5"/>
        <v>0.20898516553692659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>
        <v>19.266666666666669</v>
      </c>
      <c r="O116" s="56">
        <v>20.133333333333329</v>
      </c>
      <c r="P116" s="56">
        <v>19.466666666666669</v>
      </c>
      <c r="Q116" s="56">
        <v>19.93333333333333</v>
      </c>
      <c r="R116" s="56">
        <v>19.466666666666669</v>
      </c>
      <c r="S116" s="56">
        <v>18.93333333333333</v>
      </c>
      <c r="T116" s="56">
        <v>19.2</v>
      </c>
      <c r="U116" s="56">
        <v>19.93333333333333</v>
      </c>
      <c r="V116" s="56">
        <v>20</v>
      </c>
      <c r="W116" s="56">
        <v>18.43333333333333</v>
      </c>
      <c r="X116" s="56">
        <v>20</v>
      </c>
      <c r="Y116" s="56">
        <v>19.466666666666669</v>
      </c>
      <c r="Z116" s="56">
        <v>19.600000000000001</v>
      </c>
      <c r="AA116" s="56">
        <v>19.93333333333333</v>
      </c>
      <c r="AB116" s="56">
        <v>19.266666666666669</v>
      </c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18</v>
      </c>
      <c r="AQ116" s="71">
        <f t="shared" si="4"/>
        <v>19.546296296296294</v>
      </c>
      <c r="AR116" s="71">
        <f>IFERROR(VLOOKUP(A116,Climatologia_TMED!A:U,9+$E$2,FALSE),"")</f>
        <v>18.998379875318051</v>
      </c>
      <c r="AS116" s="71">
        <f t="shared" si="5"/>
        <v>0.54791642097824322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>
        <v>26.266666666666669</v>
      </c>
      <c r="O117" s="56">
        <v>27.6</v>
      </c>
      <c r="P117" s="56">
        <v>26.266666666666669</v>
      </c>
      <c r="Q117" s="56">
        <v>27.86666666666666</v>
      </c>
      <c r="R117" s="56">
        <v>27.266666666666669</v>
      </c>
      <c r="S117" s="56">
        <v>27</v>
      </c>
      <c r="T117" s="56">
        <v>25.6</v>
      </c>
      <c r="U117" s="56">
        <v>27.2</v>
      </c>
      <c r="V117" s="56"/>
      <c r="W117" s="56">
        <v>25.666666666666671</v>
      </c>
      <c r="X117" s="56">
        <v>27.933333333333341</v>
      </c>
      <c r="Y117" s="56">
        <v>26.666666666666671</v>
      </c>
      <c r="Z117" s="56">
        <v>27.6</v>
      </c>
      <c r="AA117" s="56">
        <v>26.86666666666666</v>
      </c>
      <c r="AB117" s="56">
        <v>27.666666666666671</v>
      </c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17</v>
      </c>
      <c r="AQ117" s="71">
        <f t="shared" si="4"/>
        <v>27.121568627450987</v>
      </c>
      <c r="AR117" s="71">
        <f>IFERROR(VLOOKUP(A117,Climatologia_TMED!A:U,9+$E$2,FALSE),"")</f>
        <v>26.39198997936926</v>
      </c>
      <c r="AS117" s="71">
        <f t="shared" si="5"/>
        <v>0.72957864808172701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>
        <v>29</v>
      </c>
      <c r="Q118" s="56">
        <v>29.733333333333331</v>
      </c>
      <c r="R118" s="56">
        <v>29.466666666666669</v>
      </c>
      <c r="S118" s="56">
        <v>30.8</v>
      </c>
      <c r="T118" s="56">
        <v>29.4</v>
      </c>
      <c r="U118" s="56">
        <v>29.266666666666669</v>
      </c>
      <c r="V118" s="56">
        <v>29.4</v>
      </c>
      <c r="W118" s="56">
        <v>29.333333333333329</v>
      </c>
      <c r="X118" s="56">
        <v>30.13333333333334</v>
      </c>
      <c r="Y118" s="56">
        <v>30.93333333333333</v>
      </c>
      <c r="Z118" s="56">
        <v>29.933333333333341</v>
      </c>
      <c r="AA118" s="56">
        <v>30</v>
      </c>
      <c r="AB118" s="56">
        <v>30.8</v>
      </c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13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>
        <v>24.733333333333331</v>
      </c>
      <c r="O119" s="56">
        <v>24.333333333333329</v>
      </c>
      <c r="P119" s="56">
        <v>23.733333333333331</v>
      </c>
      <c r="Q119" s="56">
        <v>23.733333333333331</v>
      </c>
      <c r="R119" s="56">
        <v>23.4</v>
      </c>
      <c r="S119" s="56">
        <v>23.6</v>
      </c>
      <c r="T119" s="56"/>
      <c r="U119" s="56"/>
      <c r="V119" s="56">
        <v>24.066666666666659</v>
      </c>
      <c r="W119" s="56">
        <v>24.6</v>
      </c>
      <c r="X119" s="56">
        <v>24.266666666666669</v>
      </c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12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>
        <v>29.2</v>
      </c>
      <c r="N120" s="56">
        <v>29.13333333333334</v>
      </c>
      <c r="O120" s="56"/>
      <c r="P120" s="56"/>
      <c r="Q120" s="56"/>
      <c r="R120" s="56">
        <v>28.06666666666667</v>
      </c>
      <c r="S120" s="56">
        <v>28.266666666666669</v>
      </c>
      <c r="T120" s="56">
        <v>27.13333333333334</v>
      </c>
      <c r="U120" s="56">
        <v>27.8</v>
      </c>
      <c r="V120" s="56">
        <v>28.266666666666669</v>
      </c>
      <c r="W120" s="56"/>
      <c r="X120" s="56"/>
      <c r="Y120" s="56">
        <v>28.333333333333329</v>
      </c>
      <c r="Z120" s="56">
        <v>28.333333333333329</v>
      </c>
      <c r="AA120" s="56">
        <v>29</v>
      </c>
      <c r="AB120" s="56">
        <v>28.733333333333331</v>
      </c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>
        <v>13.66666666666667</v>
      </c>
      <c r="O122" s="56">
        <v>11.93333333333333</v>
      </c>
      <c r="P122" s="56">
        <v>12.06666666666667</v>
      </c>
      <c r="Q122" s="56">
        <v>11.066666666666659</v>
      </c>
      <c r="R122" s="56">
        <v>13</v>
      </c>
      <c r="S122" s="56">
        <v>13.066666666666659</v>
      </c>
      <c r="T122" s="56">
        <v>14.266666666666669</v>
      </c>
      <c r="U122" s="56">
        <v>12.93333333333333</v>
      </c>
      <c r="V122" s="56">
        <v>13</v>
      </c>
      <c r="W122" s="56">
        <v>13.733333333333331</v>
      </c>
      <c r="X122" s="56">
        <v>13.133333333333329</v>
      </c>
      <c r="Y122" s="56">
        <v>13.733333333333331</v>
      </c>
      <c r="Z122" s="56">
        <v>12.266666666666669</v>
      </c>
      <c r="AA122" s="56">
        <v>13.93333333333333</v>
      </c>
      <c r="AB122" s="56">
        <v>12.733333333333331</v>
      </c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18</v>
      </c>
      <c r="AQ122" s="71">
        <f t="shared" si="4"/>
        <v>12.907407407407405</v>
      </c>
      <c r="AR122" s="71">
        <f>IFERROR(VLOOKUP(A122,Climatologia_TMED!A:U,9+$E$2,FALSE),"")</f>
        <v>10.480613155511239</v>
      </c>
      <c r="AS122" s="71">
        <f t="shared" si="5"/>
        <v>2.4267942518961654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>
        <v>17.399999999999999</v>
      </c>
      <c r="O124" s="56">
        <v>16.333333333333329</v>
      </c>
      <c r="P124" s="56">
        <v>16.666666666666671</v>
      </c>
      <c r="Q124" s="56">
        <v>16.466666666666669</v>
      </c>
      <c r="R124" s="56">
        <v>16.733333333333331</v>
      </c>
      <c r="S124" s="56">
        <v>17.533333333333331</v>
      </c>
      <c r="T124" s="56">
        <v>17.733333333333331</v>
      </c>
      <c r="U124" s="56">
        <v>16.399999999999999</v>
      </c>
      <c r="V124" s="56">
        <v>14.53333333333333</v>
      </c>
      <c r="W124" s="56">
        <v>16.966666666666669</v>
      </c>
      <c r="X124" s="56">
        <v>17.06666666666667</v>
      </c>
      <c r="Y124" s="56">
        <v>16.333333333333329</v>
      </c>
      <c r="Z124" s="56">
        <v>14.53333333333333</v>
      </c>
      <c r="AA124" s="56">
        <v>18</v>
      </c>
      <c r="AB124" s="56">
        <v>16.2</v>
      </c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18</v>
      </c>
      <c r="AQ124" s="71">
        <f t="shared" si="4"/>
        <v>16.483333333333331</v>
      </c>
      <c r="AR124" s="71">
        <f>IFERROR(VLOOKUP(A124,Climatologia_TMED!A:U,9+$E$2,FALSE),"")</f>
        <v>15.581381177062839</v>
      </c>
      <c r="AS124" s="71">
        <f t="shared" si="5"/>
        <v>0.9019521562704913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>
        <v>12</v>
      </c>
      <c r="O126" s="56">
        <v>11.6</v>
      </c>
      <c r="P126" s="56">
        <v>11.33333333333333</v>
      </c>
      <c r="Q126" s="56"/>
      <c r="R126" s="56">
        <v>10.633333333333329</v>
      </c>
      <c r="S126" s="56">
        <v>11.93333333333333</v>
      </c>
      <c r="T126" s="56">
        <v>13</v>
      </c>
      <c r="U126" s="56">
        <v>12.733333333333331</v>
      </c>
      <c r="V126" s="56">
        <v>11.733333333333331</v>
      </c>
      <c r="W126" s="56">
        <v>12.66666666666667</v>
      </c>
      <c r="X126" s="56">
        <v>12.66666666666667</v>
      </c>
      <c r="Y126" s="56"/>
      <c r="Z126" s="56">
        <v>11.53333333333333</v>
      </c>
      <c r="AA126" s="56">
        <v>12.33333333333333</v>
      </c>
      <c r="AB126" s="56">
        <v>11.8</v>
      </c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15</v>
      </c>
      <c r="AQ126" s="71">
        <f t="shared" si="4"/>
        <v>11.984444444444444</v>
      </c>
      <c r="AR126" s="71">
        <f>IFERROR(VLOOKUP(A126,Climatologia_TMED!A:U,9+$E$2,FALSE),"")</f>
        <v>11.071363212780239</v>
      </c>
      <c r="AS126" s="71">
        <f t="shared" si="5"/>
        <v>0.9130812316642043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>
        <v>16.866666666666671</v>
      </c>
      <c r="O130" s="56">
        <v>15.53333333333333</v>
      </c>
      <c r="P130" s="56">
        <v>14.9</v>
      </c>
      <c r="Q130" s="56">
        <v>15.733333333333331</v>
      </c>
      <c r="R130" s="56">
        <v>15.866666666666671</v>
      </c>
      <c r="S130" s="56">
        <v>17.733333333333331</v>
      </c>
      <c r="T130" s="56">
        <v>16.8</v>
      </c>
      <c r="U130" s="56">
        <v>16.033333333333331</v>
      </c>
      <c r="V130" s="56">
        <v>15.633333333333329</v>
      </c>
      <c r="W130" s="56">
        <v>16.86666666666666</v>
      </c>
      <c r="X130" s="56">
        <v>16.233333333333331</v>
      </c>
      <c r="Y130" s="56">
        <v>16.06666666666667</v>
      </c>
      <c r="Z130" s="56">
        <v>15.866666666666671</v>
      </c>
      <c r="AA130" s="56">
        <v>17.5</v>
      </c>
      <c r="AB130" s="56">
        <v>16.3</v>
      </c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18</v>
      </c>
      <c r="AQ130" s="71">
        <f t="shared" si="4"/>
        <v>16.194444444444443</v>
      </c>
      <c r="AR130" s="71">
        <f>IFERROR(VLOOKUP(A130,Climatologia_TMED!A:U,9+$E$2,FALSE),"")</f>
        <v>14.40976256368152</v>
      </c>
      <c r="AS130" s="71">
        <f t="shared" si="5"/>
        <v>1.784681880762923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>
        <v>19.3</v>
      </c>
      <c r="O131" s="56">
        <v>17.75</v>
      </c>
      <c r="P131" s="56">
        <v>18.25</v>
      </c>
      <c r="Q131" s="56">
        <v>18.100000000000001</v>
      </c>
      <c r="R131" s="56">
        <v>18.649999999999999</v>
      </c>
      <c r="S131" s="56">
        <v>18.55</v>
      </c>
      <c r="T131" s="56">
        <v>19</v>
      </c>
      <c r="U131" s="56">
        <v>19.2</v>
      </c>
      <c r="V131" s="56">
        <v>19.350000000000001</v>
      </c>
      <c r="W131" s="56">
        <v>19.25</v>
      </c>
      <c r="X131" s="56">
        <v>19.45</v>
      </c>
      <c r="Y131" s="56">
        <v>19.5</v>
      </c>
      <c r="Z131" s="56">
        <v>18.25</v>
      </c>
      <c r="AA131" s="56">
        <v>18.850000000000001</v>
      </c>
      <c r="AB131" s="56">
        <v>18.5</v>
      </c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18</v>
      </c>
      <c r="AQ131" s="71">
        <f t="shared" si="4"/>
        <v>18.811111111111114</v>
      </c>
      <c r="AR131" s="71">
        <f>IFERROR(VLOOKUP(A131,Climatologia_TMED!A:U,9+$E$2,FALSE),"")</f>
        <v>17.160277508071349</v>
      </c>
      <c r="AS131" s="71">
        <f t="shared" si="5"/>
        <v>1.6508336030397643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>
        <v>13.8</v>
      </c>
      <c r="O133" s="56">
        <v>13.56666666666667</v>
      </c>
      <c r="P133" s="56">
        <v>12.733333333333331</v>
      </c>
      <c r="Q133" s="56">
        <v>13.4</v>
      </c>
      <c r="R133" s="56">
        <v>13.633333333333329</v>
      </c>
      <c r="S133" s="56">
        <v>13.16666666666667</v>
      </c>
      <c r="T133" s="56">
        <v>14.53333333333333</v>
      </c>
      <c r="U133" s="56">
        <v>14.2</v>
      </c>
      <c r="V133" s="56">
        <v>14.43333333333333</v>
      </c>
      <c r="W133" s="56">
        <v>14.733333333333331</v>
      </c>
      <c r="X133" s="56">
        <v>14.2</v>
      </c>
      <c r="Y133" s="56">
        <v>14</v>
      </c>
      <c r="Z133" s="56">
        <v>14.06666666666667</v>
      </c>
      <c r="AA133" s="56">
        <v>14.633333333333329</v>
      </c>
      <c r="AB133" s="56">
        <v>14</v>
      </c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18</v>
      </c>
      <c r="AQ133" s="71">
        <f t="shared" ref="AQ133:AQ196" si="7">IF(AP133&gt;14,AVERAGE(K133:AO133),"")</f>
        <v>14.007407407407406</v>
      </c>
      <c r="AR133" s="71">
        <f>IFERROR(VLOOKUP(A133,Climatologia_TMED!A:U,9+$E$2,FALSE),"")</f>
        <v>13.069584214343539</v>
      </c>
      <c r="AS133" s="71">
        <f t="shared" ref="AS133:AS196" si="8">IF(OR(AQ133="",AR133=""),"",IFERROR(AQ133-AR133,""))</f>
        <v>0.93782319306386697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>
        <v>19.466666666666669</v>
      </c>
      <c r="O134" s="56">
        <v>18.266666666666669</v>
      </c>
      <c r="P134" s="56">
        <v>18.2</v>
      </c>
      <c r="Q134" s="56">
        <v>17.133333333333329</v>
      </c>
      <c r="R134" s="56">
        <v>18.2</v>
      </c>
      <c r="S134" s="56">
        <v>19.666666666666671</v>
      </c>
      <c r="T134" s="56">
        <v>18.466666666666669</v>
      </c>
      <c r="U134" s="56">
        <v>18.533333333333331</v>
      </c>
      <c r="V134" s="56">
        <v>17.8</v>
      </c>
      <c r="W134" s="56">
        <v>17.600000000000001</v>
      </c>
      <c r="X134" s="56">
        <v>19.733333333333331</v>
      </c>
      <c r="Y134" s="56">
        <v>18.399999999999999</v>
      </c>
      <c r="Z134" s="56">
        <v>18.733333333333331</v>
      </c>
      <c r="AA134" s="56">
        <v>18.93333333333333</v>
      </c>
      <c r="AB134" s="56">
        <v>18.533333333333331</v>
      </c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18</v>
      </c>
      <c r="AQ134" s="71">
        <f t="shared" si="7"/>
        <v>18.42962962962963</v>
      </c>
      <c r="AR134" s="71">
        <f>IFERROR(VLOOKUP(A134,Climatologia_TMED!A:U,9+$E$2,FALSE),"")</f>
        <v>16.153236104678619</v>
      </c>
      <c r="AS134" s="71">
        <f t="shared" si="8"/>
        <v>2.2763935249510112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>
        <v>22.4</v>
      </c>
      <c r="O135" s="56">
        <v>21.95</v>
      </c>
      <c r="P135" s="56">
        <v>21.9</v>
      </c>
      <c r="Q135" s="56">
        <v>20.7</v>
      </c>
      <c r="R135" s="56">
        <v>22.25</v>
      </c>
      <c r="S135" s="56">
        <v>22.6</v>
      </c>
      <c r="T135" s="56">
        <v>20.2</v>
      </c>
      <c r="U135" s="56">
        <v>19.100000000000001</v>
      </c>
      <c r="V135" s="56">
        <v>22.05</v>
      </c>
      <c r="W135" s="56">
        <v>22.8</v>
      </c>
      <c r="X135" s="56">
        <v>21.7</v>
      </c>
      <c r="Y135" s="56">
        <v>22.55</v>
      </c>
      <c r="Z135" s="56">
        <v>22.3</v>
      </c>
      <c r="AA135" s="56">
        <v>23.15</v>
      </c>
      <c r="AB135" s="56">
        <v>22.7</v>
      </c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18</v>
      </c>
      <c r="AQ135" s="71">
        <f t="shared" si="7"/>
        <v>21.697222222222219</v>
      </c>
      <c r="AR135" s="71">
        <f>IFERROR(VLOOKUP(A135,Climatologia_TMED!A:U,9+$E$2,FALSE),"")</f>
        <v>18.508045822497071</v>
      </c>
      <c r="AS135" s="71">
        <f t="shared" si="8"/>
        <v>3.1891763997251488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>
        <v>11</v>
      </c>
      <c r="M136" s="56">
        <v>11.66666666666667</v>
      </c>
      <c r="N136" s="56">
        <v>11.8</v>
      </c>
      <c r="O136" s="56">
        <v>11</v>
      </c>
      <c r="P136" s="56">
        <v>10.733333333333331</v>
      </c>
      <c r="Q136" s="56">
        <v>11.133333333333329</v>
      </c>
      <c r="R136" s="56">
        <v>11.06666666666667</v>
      </c>
      <c r="S136" s="56">
        <v>11.33333333333333</v>
      </c>
      <c r="T136" s="56">
        <v>11.6</v>
      </c>
      <c r="U136" s="56">
        <v>11.6</v>
      </c>
      <c r="V136" s="56"/>
      <c r="W136" s="56">
        <v>10.733333333333331</v>
      </c>
      <c r="X136" s="56">
        <v>11.46666666666667</v>
      </c>
      <c r="Y136" s="56">
        <v>12.06666666666667</v>
      </c>
      <c r="Z136" s="56">
        <v>11.8</v>
      </c>
      <c r="AA136" s="56">
        <v>11.733333333333331</v>
      </c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16</v>
      </c>
      <c r="AQ136" s="71">
        <f t="shared" si="7"/>
        <v>11.395833333333332</v>
      </c>
      <c r="AR136" s="71">
        <f>IFERROR(VLOOKUP(A136,Climatologia_TMED!A:U,9+$E$2,FALSE),"")</f>
        <v>11.35006818181817</v>
      </c>
      <c r="AS136" s="71">
        <f t="shared" si="8"/>
        <v>4.5765151515162472E-2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>
        <v>22.93333333333333</v>
      </c>
      <c r="O138" s="56">
        <v>22.266666666666669</v>
      </c>
      <c r="P138" s="56">
        <v>23.86666666666666</v>
      </c>
      <c r="Q138" s="56">
        <v>21.733333333333331</v>
      </c>
      <c r="R138" s="56">
        <v>23.533333333333331</v>
      </c>
      <c r="S138" s="56">
        <v>23.733333333333331</v>
      </c>
      <c r="T138" s="56">
        <v>23.466666666666669</v>
      </c>
      <c r="U138" s="56">
        <v>22.93333333333333</v>
      </c>
      <c r="V138" s="56">
        <v>24.86666666666666</v>
      </c>
      <c r="W138" s="56">
        <v>23.266666666666669</v>
      </c>
      <c r="X138" s="56">
        <v>23.2</v>
      </c>
      <c r="Y138" s="56">
        <v>24.06666666666667</v>
      </c>
      <c r="Z138" s="56">
        <v>22.133333333333329</v>
      </c>
      <c r="AA138" s="56">
        <v>24.2</v>
      </c>
      <c r="AB138" s="56">
        <v>23.333333333333329</v>
      </c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18</v>
      </c>
      <c r="AQ138" s="71">
        <f t="shared" si="7"/>
        <v>23.140740740740736</v>
      </c>
      <c r="AR138" s="71">
        <f>IFERROR(VLOOKUP(A138,Climatologia_TMED!A:U,9+$E$2,FALSE),"")</f>
        <v>20.212549364462841</v>
      </c>
      <c r="AS138" s="71">
        <f t="shared" si="8"/>
        <v>2.9281913762778942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>
        <v>13.025</v>
      </c>
      <c r="R139" s="56">
        <v>13.975</v>
      </c>
      <c r="S139" s="56">
        <v>14</v>
      </c>
      <c r="T139" s="56">
        <v>14.85</v>
      </c>
      <c r="U139" s="56">
        <v>15.4</v>
      </c>
      <c r="V139" s="56">
        <v>15.324999999999999</v>
      </c>
      <c r="W139" s="56">
        <v>15.2</v>
      </c>
      <c r="X139" s="56">
        <v>14.85</v>
      </c>
      <c r="Y139" s="56">
        <v>13.65</v>
      </c>
      <c r="Z139" s="56">
        <v>13.35</v>
      </c>
      <c r="AA139" s="56">
        <v>13.95</v>
      </c>
      <c r="AB139" s="56">
        <v>14.225</v>
      </c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15</v>
      </c>
      <c r="AQ139" s="71">
        <f t="shared" si="7"/>
        <v>14.261666666666663</v>
      </c>
      <c r="AR139" s="71">
        <f>IFERROR(VLOOKUP(A139,Climatologia_TMED!A:U,9+$E$2,FALSE),"")</f>
        <v>13.24473771858926</v>
      </c>
      <c r="AS139" s="71">
        <f t="shared" si="8"/>
        <v>1.0169289480774033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>
        <v>17.350000000000001</v>
      </c>
      <c r="O140" s="56">
        <v>17.2</v>
      </c>
      <c r="P140" s="56">
        <v>15.75</v>
      </c>
      <c r="Q140" s="56">
        <v>15.75</v>
      </c>
      <c r="R140" s="56">
        <v>17.899999999999999</v>
      </c>
      <c r="S140" s="56">
        <v>16.55</v>
      </c>
      <c r="T140" s="56">
        <v>16.05</v>
      </c>
      <c r="U140" s="56">
        <v>15.95</v>
      </c>
      <c r="V140" s="56">
        <v>17.3</v>
      </c>
      <c r="W140" s="56">
        <v>17.399999999999999</v>
      </c>
      <c r="X140" s="56">
        <v>16.55</v>
      </c>
      <c r="Y140" s="56">
        <v>17.149999999999999</v>
      </c>
      <c r="Z140" s="56">
        <v>15.25</v>
      </c>
      <c r="AA140" s="56">
        <v>15.4</v>
      </c>
      <c r="AB140" s="56">
        <v>16.399999999999999</v>
      </c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18</v>
      </c>
      <c r="AQ140" s="71">
        <f t="shared" si="7"/>
        <v>16.399999999999999</v>
      </c>
      <c r="AR140" s="71">
        <f>IFERROR(VLOOKUP(A140,Climatologia_TMED!A:U,9+$E$2,FALSE),"")</f>
        <v>15.86800396825396</v>
      </c>
      <c r="AS140" s="71">
        <f t="shared" si="8"/>
        <v>0.53199603174603816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>
        <v>13.4</v>
      </c>
      <c r="O141" s="56">
        <v>13.133333333333329</v>
      </c>
      <c r="P141" s="56">
        <v>11.866666666666671</v>
      </c>
      <c r="Q141" s="56">
        <v>12.4</v>
      </c>
      <c r="R141" s="56">
        <v>13.2</v>
      </c>
      <c r="S141" s="56">
        <v>13.53333333333333</v>
      </c>
      <c r="T141" s="56">
        <v>14.733333333333331</v>
      </c>
      <c r="U141" s="56">
        <v>13.46666666666667</v>
      </c>
      <c r="V141" s="56">
        <v>14.6</v>
      </c>
      <c r="W141" s="56">
        <v>14.06666666666667</v>
      </c>
      <c r="X141" s="56">
        <v>13.8</v>
      </c>
      <c r="Y141" s="56">
        <v>14.06666666666667</v>
      </c>
      <c r="Z141" s="56">
        <v>13.866666666666671</v>
      </c>
      <c r="AA141" s="56">
        <v>14.06666666666667</v>
      </c>
      <c r="AB141" s="56">
        <v>13.46666666666667</v>
      </c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18</v>
      </c>
      <c r="AQ141" s="71">
        <f t="shared" si="7"/>
        <v>13.566666666666668</v>
      </c>
      <c r="AR141" s="71">
        <f>IFERROR(VLOOKUP(A141,Climatologia_TMED!A:U,9+$E$2,FALSE),"")</f>
        <v>12.41555836002585</v>
      </c>
      <c r="AS141" s="71">
        <f t="shared" si="8"/>
        <v>1.1511083066408183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>
        <v>11.375</v>
      </c>
      <c r="O142" s="56">
        <v>10.8</v>
      </c>
      <c r="P142" s="56">
        <v>10.5</v>
      </c>
      <c r="Q142" s="56">
        <v>10.1</v>
      </c>
      <c r="R142" s="56">
        <v>11.25</v>
      </c>
      <c r="S142" s="56">
        <v>12</v>
      </c>
      <c r="T142" s="56">
        <v>11.55</v>
      </c>
      <c r="U142" s="56">
        <v>12.1</v>
      </c>
      <c r="V142" s="56">
        <v>11.75</v>
      </c>
      <c r="W142" s="56">
        <v>11.35</v>
      </c>
      <c r="X142" s="56">
        <v>12.3</v>
      </c>
      <c r="Y142" s="56">
        <v>10.85</v>
      </c>
      <c r="Z142" s="56">
        <v>11.75</v>
      </c>
      <c r="AA142" s="56">
        <v>11.574999999999999</v>
      </c>
      <c r="AB142" s="56">
        <v>11.4</v>
      </c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18</v>
      </c>
      <c r="AQ142" s="71">
        <f t="shared" si="7"/>
        <v>11.529166666666665</v>
      </c>
      <c r="AR142" s="71">
        <f>IFERROR(VLOOKUP(A142,Climatologia_TMED!A:U,9+$E$2,FALSE),"")</f>
        <v>10.878836012622729</v>
      </c>
      <c r="AS142" s="71">
        <f t="shared" si="8"/>
        <v>0.65033065404393575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>
        <v>27.666666666666671</v>
      </c>
      <c r="O143" s="56">
        <v>27.333333333333329</v>
      </c>
      <c r="P143" s="56">
        <v>27</v>
      </c>
      <c r="Q143" s="56">
        <v>27.13333333333334</v>
      </c>
      <c r="R143" s="56">
        <v>27.533333333333331</v>
      </c>
      <c r="S143" s="56">
        <v>28.666666666666671</v>
      </c>
      <c r="T143" s="56">
        <v>28.333333333333329</v>
      </c>
      <c r="U143" s="56">
        <v>26.8</v>
      </c>
      <c r="V143" s="56">
        <v>28.466666666666669</v>
      </c>
      <c r="W143" s="56">
        <v>27.733333333333331</v>
      </c>
      <c r="X143" s="56">
        <v>27.13333333333334</v>
      </c>
      <c r="Y143" s="56">
        <v>27.933333333333341</v>
      </c>
      <c r="Z143" s="56">
        <v>28.466666666666669</v>
      </c>
      <c r="AA143" s="56">
        <v>28.86666666666666</v>
      </c>
      <c r="AB143" s="56">
        <v>28.4</v>
      </c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18</v>
      </c>
      <c r="AQ143" s="71">
        <f t="shared" si="7"/>
        <v>27.896296296296295</v>
      </c>
      <c r="AR143" s="71">
        <f>IFERROR(VLOOKUP(A143,Climatologia_TMED!A:U,9+$E$2,FALSE),"")</f>
        <v>25.845127155172399</v>
      </c>
      <c r="AS143" s="71">
        <f t="shared" si="8"/>
        <v>2.0511691411238964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>
        <v>16.36666666666666</v>
      </c>
      <c r="O144" s="56">
        <v>15.733333333333331</v>
      </c>
      <c r="P144" s="56">
        <v>15.33333333333333</v>
      </c>
      <c r="Q144" s="56">
        <v>15.6</v>
      </c>
      <c r="R144" s="56">
        <v>14.33333333333333</v>
      </c>
      <c r="S144" s="56">
        <v>16.266666666666669</v>
      </c>
      <c r="T144" s="56">
        <v>15.53333333333333</v>
      </c>
      <c r="U144" s="56">
        <v>15.93333333333333</v>
      </c>
      <c r="V144" s="56">
        <v>16.533333333333331</v>
      </c>
      <c r="W144" s="56">
        <v>15.66666666666667</v>
      </c>
      <c r="X144" s="56">
        <v>16.8</v>
      </c>
      <c r="Y144" s="56">
        <v>15.46666666666667</v>
      </c>
      <c r="Z144" s="56">
        <v>15.06666666666667</v>
      </c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16</v>
      </c>
      <c r="AQ144" s="71">
        <f t="shared" si="7"/>
        <v>15.918749999999999</v>
      </c>
      <c r="AR144" s="71">
        <f>IFERROR(VLOOKUP(A144,Climatologia_TMED!A:U,9+$E$2,FALSE),"")</f>
        <v>16.049799344705932</v>
      </c>
      <c r="AS144" s="71">
        <f t="shared" si="8"/>
        <v>-0.13104934470593221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>
        <v>21.2</v>
      </c>
      <c r="O145" s="56">
        <v>21</v>
      </c>
      <c r="P145" s="56">
        <v>21</v>
      </c>
      <c r="Q145" s="56">
        <v>20.733333333333331</v>
      </c>
      <c r="R145" s="56">
        <v>19.533333333333331</v>
      </c>
      <c r="S145" s="56">
        <v>20.333333333333329</v>
      </c>
      <c r="T145" s="56">
        <v>20.6</v>
      </c>
      <c r="U145" s="56">
        <v>20.133333333333329</v>
      </c>
      <c r="V145" s="56">
        <v>20.533333333333331</v>
      </c>
      <c r="W145" s="56">
        <v>19.8</v>
      </c>
      <c r="X145" s="56">
        <v>20.466666666666669</v>
      </c>
      <c r="Y145" s="56">
        <v>21.6</v>
      </c>
      <c r="Z145" s="56">
        <v>21.93333333333333</v>
      </c>
      <c r="AA145" s="56">
        <v>21.06666666666667</v>
      </c>
      <c r="AB145" s="56">
        <v>20.93333333333333</v>
      </c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18</v>
      </c>
      <c r="AQ145" s="71">
        <f t="shared" si="7"/>
        <v>20.69259259259259</v>
      </c>
      <c r="AR145" s="71">
        <f>IFERROR(VLOOKUP(A145,Climatologia_TMED!A:U,9+$E$2,FALSE),"")</f>
        <v>19.60942301581591</v>
      </c>
      <c r="AS145" s="71">
        <f t="shared" si="8"/>
        <v>1.0831695767766796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>
        <v>31.63333333333334</v>
      </c>
      <c r="O146" s="56">
        <v>31.066666666666659</v>
      </c>
      <c r="P146" s="56">
        <v>30.666666666666671</v>
      </c>
      <c r="Q146" s="56">
        <v>32.6</v>
      </c>
      <c r="R146" s="56">
        <v>30.466666666666669</v>
      </c>
      <c r="S146" s="56">
        <v>31.333333333333329</v>
      </c>
      <c r="T146" s="56">
        <v>29.733333333333331</v>
      </c>
      <c r="U146" s="56">
        <v>31.06666666666667</v>
      </c>
      <c r="V146" s="56">
        <v>32</v>
      </c>
      <c r="W146" s="56">
        <v>29</v>
      </c>
      <c r="X146" s="56">
        <v>31.2</v>
      </c>
      <c r="Y146" s="56">
        <v>32.93333333333333</v>
      </c>
      <c r="Z146" s="56">
        <v>31.4</v>
      </c>
      <c r="AA146" s="56">
        <v>31.6</v>
      </c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17</v>
      </c>
      <c r="AQ146" s="71">
        <f t="shared" si="7"/>
        <v>31.103921568627449</v>
      </c>
      <c r="AR146" s="71">
        <f>IFERROR(VLOOKUP(A146,Climatologia_TMED!A:U,9+$E$2,FALSE),"")</f>
        <v>29.357750542626871</v>
      </c>
      <c r="AS146" s="71">
        <f t="shared" si="8"/>
        <v>1.7461710260005781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>
        <v>26.4</v>
      </c>
      <c r="O147" s="56">
        <v>27.13333333333334</v>
      </c>
      <c r="P147" s="56">
        <v>25.733333333333331</v>
      </c>
      <c r="Q147" s="56">
        <v>27.333333333333329</v>
      </c>
      <c r="R147" s="56">
        <v>24.533333333333331</v>
      </c>
      <c r="S147" s="56">
        <v>27.333333333333329</v>
      </c>
      <c r="T147" s="56">
        <v>26.066666666666659</v>
      </c>
      <c r="U147" s="56">
        <v>26.466666666666669</v>
      </c>
      <c r="V147" s="56">
        <v>27.466666666666669</v>
      </c>
      <c r="W147" s="56">
        <v>24.666666666666671</v>
      </c>
      <c r="X147" s="56">
        <v>27.466666666666669</v>
      </c>
      <c r="Y147" s="56">
        <v>28.266666666666669</v>
      </c>
      <c r="Z147" s="56">
        <v>26.8</v>
      </c>
      <c r="AA147" s="56">
        <v>27.266666666666669</v>
      </c>
      <c r="AB147" s="56">
        <v>28</v>
      </c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18</v>
      </c>
      <c r="AQ147" s="71">
        <f t="shared" si="7"/>
        <v>26.640740740740743</v>
      </c>
      <c r="AR147" s="71">
        <f>IFERROR(VLOOKUP(A147,Climatologia_TMED!A:U,9+$E$2,FALSE),"")</f>
        <v>24.12521236571591</v>
      </c>
      <c r="AS147" s="71">
        <f t="shared" si="8"/>
        <v>2.5155283750248323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>
        <v>29.8</v>
      </c>
      <c r="O148" s="56">
        <v>32.133333333333333</v>
      </c>
      <c r="P148" s="56">
        <v>31.666666666666671</v>
      </c>
      <c r="Q148" s="56">
        <v>31.666666666666671</v>
      </c>
      <c r="R148" s="56">
        <v>30.6</v>
      </c>
      <c r="S148" s="56">
        <v>30.6</v>
      </c>
      <c r="T148" s="56">
        <v>30.13333333333334</v>
      </c>
      <c r="U148" s="56">
        <v>28.733333333333331</v>
      </c>
      <c r="V148" s="56">
        <v>31.266666666666669</v>
      </c>
      <c r="W148" s="56">
        <v>28.666666666666671</v>
      </c>
      <c r="X148" s="56">
        <v>32</v>
      </c>
      <c r="Y148" s="56">
        <v>31.466666666666669</v>
      </c>
      <c r="Z148" s="56">
        <v>30.266666666666669</v>
      </c>
      <c r="AA148" s="56">
        <v>31.4</v>
      </c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17</v>
      </c>
      <c r="AQ148" s="71">
        <f t="shared" si="7"/>
        <v>30.580392156862747</v>
      </c>
      <c r="AR148" s="71">
        <f>IFERROR(VLOOKUP(A148,Climatologia_TMED!A:U,9+$E$2,FALSE),"")</f>
        <v>28.928979357144449</v>
      </c>
      <c r="AS148" s="71">
        <f t="shared" si="8"/>
        <v>1.6514127997182975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>
        <v>23.733333333333331</v>
      </c>
      <c r="O149" s="56">
        <v>23.93333333333333</v>
      </c>
      <c r="P149" s="56">
        <v>23.533333333333331</v>
      </c>
      <c r="Q149" s="56">
        <v>23.666666666666671</v>
      </c>
      <c r="R149" s="56">
        <v>27.066666666666659</v>
      </c>
      <c r="S149" s="56">
        <v>24.93333333333333</v>
      </c>
      <c r="T149" s="56">
        <v>24.4</v>
      </c>
      <c r="U149" s="56">
        <v>23.4</v>
      </c>
      <c r="V149" s="56">
        <v>23.8</v>
      </c>
      <c r="W149" s="56">
        <v>23.266666666666669</v>
      </c>
      <c r="X149" s="56">
        <v>23.533333333333331</v>
      </c>
      <c r="Y149" s="56">
        <v>23.8</v>
      </c>
      <c r="Z149" s="56">
        <v>23.666666666666671</v>
      </c>
      <c r="AA149" s="56">
        <v>24.56666666666667</v>
      </c>
      <c r="AB149" s="56">
        <v>24.06666666666667</v>
      </c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18</v>
      </c>
      <c r="AQ149" s="71">
        <f t="shared" si="7"/>
        <v>23.850000000000005</v>
      </c>
      <c r="AR149" s="71">
        <f>IFERROR(VLOOKUP(A149,Climatologia_TMED!A:U,9+$E$2,FALSE),"")</f>
        <v>21.503141534391531</v>
      </c>
      <c r="AS149" s="71">
        <f t="shared" si="8"/>
        <v>2.3468584656084737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>
        <v>23.533333333333331</v>
      </c>
      <c r="N151" s="56">
        <v>23.733333333333331</v>
      </c>
      <c r="O151" s="56">
        <v>23.933333333333341</v>
      </c>
      <c r="P151" s="56">
        <v>23.13333333333334</v>
      </c>
      <c r="Q151" s="56">
        <v>23.8</v>
      </c>
      <c r="R151" s="56">
        <v>25.93333333333333</v>
      </c>
      <c r="S151" s="56">
        <v>24</v>
      </c>
      <c r="T151" s="56">
        <v>23.666666666666671</v>
      </c>
      <c r="U151" s="56">
        <v>25.466666666666669</v>
      </c>
      <c r="V151" s="56">
        <v>22.333333333333329</v>
      </c>
      <c r="W151" s="56">
        <v>22.333333333333329</v>
      </c>
      <c r="X151" s="56">
        <v>24.93333333333333</v>
      </c>
      <c r="Y151" s="56">
        <v>24.666666666666671</v>
      </c>
      <c r="Z151" s="56">
        <v>24.2</v>
      </c>
      <c r="AA151" s="56">
        <v>25.4</v>
      </c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17</v>
      </c>
      <c r="AQ151" s="71">
        <f t="shared" si="7"/>
        <v>23.87843137254902</v>
      </c>
      <c r="AR151" s="71">
        <f>IFERROR(VLOOKUP(A151,Climatologia_TMED!A:U,9+$E$2,FALSE),"")</f>
        <v>21.410009141056261</v>
      </c>
      <c r="AS151" s="71">
        <f t="shared" si="8"/>
        <v>2.4684222314927595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>
        <v>21.6</v>
      </c>
      <c r="O154" s="56">
        <v>22.55</v>
      </c>
      <c r="P154" s="56">
        <v>22.5</v>
      </c>
      <c r="Q154" s="56">
        <v>20.100000000000001</v>
      </c>
      <c r="R154" s="56"/>
      <c r="S154" s="56"/>
      <c r="T154" s="56"/>
      <c r="U154" s="56"/>
      <c r="V154" s="56"/>
      <c r="W154" s="56">
        <v>20.6</v>
      </c>
      <c r="X154" s="56"/>
      <c r="Y154" s="56">
        <v>21.85</v>
      </c>
      <c r="Z154" s="56">
        <v>21.2</v>
      </c>
      <c r="AA154" s="56">
        <v>24.85</v>
      </c>
      <c r="AB154" s="56">
        <v>22.75</v>
      </c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12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>
        <v>29.06666666666667</v>
      </c>
      <c r="O155" s="56">
        <v>28.6</v>
      </c>
      <c r="P155" s="56">
        <v>27.933333333333341</v>
      </c>
      <c r="Q155" s="56">
        <v>29.4</v>
      </c>
      <c r="R155" s="56">
        <v>30.333333333333329</v>
      </c>
      <c r="S155" s="56">
        <v>30.86666666666666</v>
      </c>
      <c r="T155" s="56">
        <v>29.4</v>
      </c>
      <c r="U155" s="56">
        <v>28.13333333333334</v>
      </c>
      <c r="V155" s="56">
        <v>30.066666666666659</v>
      </c>
      <c r="W155" s="56">
        <v>28</v>
      </c>
      <c r="X155" s="56">
        <v>30.333333333333329</v>
      </c>
      <c r="Y155" s="56">
        <v>29.466666666666669</v>
      </c>
      <c r="Z155" s="56">
        <v>27.8</v>
      </c>
      <c r="AA155" s="56">
        <v>29.733333333333331</v>
      </c>
      <c r="AB155" s="56">
        <v>28.466666666666669</v>
      </c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18</v>
      </c>
      <c r="AQ155" s="71">
        <f t="shared" si="7"/>
        <v>29.107407407407404</v>
      </c>
      <c r="AR155" s="71">
        <f>IFERROR(VLOOKUP(A155,Climatologia_TMED!A:U,9+$E$2,FALSE),"")</f>
        <v>27.651460311092379</v>
      </c>
      <c r="AS155" s="71">
        <f t="shared" si="8"/>
        <v>1.4559470963150254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>
        <v>30.466666666666669</v>
      </c>
      <c r="N157" s="56">
        <v>30.06666666666667</v>
      </c>
      <c r="O157" s="56"/>
      <c r="P157" s="56">
        <v>30.93333333333333</v>
      </c>
      <c r="Q157" s="56">
        <v>30.266666666666669</v>
      </c>
      <c r="R157" s="56">
        <v>30.533333333333331</v>
      </c>
      <c r="S157" s="56">
        <v>32.733333333333327</v>
      </c>
      <c r="T157" s="56">
        <v>31.533333333333331</v>
      </c>
      <c r="U157" s="56">
        <v>29.066666666666659</v>
      </c>
      <c r="V157" s="56"/>
      <c r="W157" s="56">
        <v>30.533333333333331</v>
      </c>
      <c r="X157" s="56">
        <v>30.8</v>
      </c>
      <c r="Y157" s="56">
        <v>30.533333333333331</v>
      </c>
      <c r="Z157" s="56">
        <v>27.733333333333331</v>
      </c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14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>
        <v>30.06666666666667</v>
      </c>
      <c r="O158" s="56">
        <v>31.333333333333329</v>
      </c>
      <c r="P158" s="56">
        <v>31.13333333333334</v>
      </c>
      <c r="Q158" s="56">
        <v>30.4</v>
      </c>
      <c r="R158" s="56">
        <v>31.666666666666671</v>
      </c>
      <c r="S158" s="56">
        <v>31.6</v>
      </c>
      <c r="T158" s="56">
        <v>32.06666666666667</v>
      </c>
      <c r="U158" s="56">
        <v>31.466666666666669</v>
      </c>
      <c r="V158" s="56">
        <v>31.06666666666667</v>
      </c>
      <c r="W158" s="56">
        <v>31.266666666666669</v>
      </c>
      <c r="X158" s="56">
        <v>30.86666666666666</v>
      </c>
      <c r="Y158" s="56">
        <v>32</v>
      </c>
      <c r="Z158" s="56">
        <v>28.333333333333329</v>
      </c>
      <c r="AA158" s="56">
        <v>31.93333333333333</v>
      </c>
      <c r="AB158" s="56">
        <v>32.200000000000003</v>
      </c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18</v>
      </c>
      <c r="AQ158" s="71">
        <f t="shared" si="7"/>
        <v>31.055555555555557</v>
      </c>
      <c r="AR158" s="71">
        <f>IFERROR(VLOOKUP(A158,Climatologia_TMED!A:U,9+$E$2,FALSE),"")</f>
        <v>27.726090563430109</v>
      </c>
      <c r="AS158" s="71">
        <f t="shared" si="8"/>
        <v>3.3294649921254482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>
        <v>20.266666666666669</v>
      </c>
      <c r="O159" s="56">
        <v>21.466666666666669</v>
      </c>
      <c r="P159" s="56">
        <v>20.333333333333329</v>
      </c>
      <c r="Q159" s="56">
        <v>21</v>
      </c>
      <c r="R159" s="56">
        <v>20.8</v>
      </c>
      <c r="S159" s="56">
        <v>22.333333333333329</v>
      </c>
      <c r="T159" s="56">
        <v>22.666666666666671</v>
      </c>
      <c r="U159" s="56">
        <v>21.333333333333329</v>
      </c>
      <c r="V159" s="56">
        <v>21.4</v>
      </c>
      <c r="W159" s="56">
        <v>20.93333333333333</v>
      </c>
      <c r="X159" s="56">
        <v>20.93333333333333</v>
      </c>
      <c r="Y159" s="56">
        <v>22.4</v>
      </c>
      <c r="Z159" s="56">
        <v>21.6</v>
      </c>
      <c r="AA159" s="56">
        <v>22.6</v>
      </c>
      <c r="AB159" s="56">
        <v>22.466666666666669</v>
      </c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18</v>
      </c>
      <c r="AQ159" s="71">
        <f t="shared" si="7"/>
        <v>21.325925925925926</v>
      </c>
      <c r="AR159" s="71">
        <f>IFERROR(VLOOKUP(A159,Climatologia_TMED!A:U,9+$E$2,FALSE),"")</f>
        <v>18.835058362971861</v>
      </c>
      <c r="AS159" s="71">
        <f t="shared" si="8"/>
        <v>2.4908675629540653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>
        <v>27.533333333333331</v>
      </c>
      <c r="O160" s="56">
        <v>28.93333333333333</v>
      </c>
      <c r="P160" s="56"/>
      <c r="Q160" s="56">
        <v>26.13333333333334</v>
      </c>
      <c r="R160" s="56">
        <v>26.93333333333333</v>
      </c>
      <c r="S160" s="56">
        <v>28.266666666666669</v>
      </c>
      <c r="T160" s="56">
        <v>27.533333333333331</v>
      </c>
      <c r="U160" s="56">
        <v>27.266666666666669</v>
      </c>
      <c r="V160" s="56">
        <v>28.333333333333329</v>
      </c>
      <c r="W160" s="56">
        <v>27.133333333333329</v>
      </c>
      <c r="X160" s="56">
        <v>26.533333333333331</v>
      </c>
      <c r="Y160" s="56">
        <v>28</v>
      </c>
      <c r="Z160" s="56">
        <v>27.866666666666671</v>
      </c>
      <c r="AA160" s="56">
        <v>28.4</v>
      </c>
      <c r="AB160" s="56">
        <v>27.266666666666669</v>
      </c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17</v>
      </c>
      <c r="AQ160" s="71">
        <f t="shared" si="7"/>
        <v>27.494117647058822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>
        <v>30</v>
      </c>
      <c r="O162" s="56">
        <v>29.93333333333333</v>
      </c>
      <c r="P162" s="56">
        <v>28.13333333333334</v>
      </c>
      <c r="Q162" s="56">
        <v>28.666666666666671</v>
      </c>
      <c r="R162" s="56">
        <v>30</v>
      </c>
      <c r="S162" s="56">
        <v>29.733333333333331</v>
      </c>
      <c r="T162" s="56">
        <v>28.8</v>
      </c>
      <c r="U162" s="56">
        <v>28</v>
      </c>
      <c r="V162" s="56">
        <v>28.933333333333341</v>
      </c>
      <c r="W162" s="56">
        <v>28.86666666666666</v>
      </c>
      <c r="X162" s="56">
        <v>29</v>
      </c>
      <c r="Y162" s="56">
        <v>29.866666666666671</v>
      </c>
      <c r="Z162" s="56">
        <v>27.933333333333341</v>
      </c>
      <c r="AA162" s="56">
        <v>29.533333333333331</v>
      </c>
      <c r="AB162" s="56">
        <v>30.266666666666669</v>
      </c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18</v>
      </c>
      <c r="AQ162" s="71">
        <f t="shared" si="7"/>
        <v>29.114814814814817</v>
      </c>
      <c r="AR162" s="71">
        <f>IFERROR(VLOOKUP(A162,Climatologia_TMED!A:U,9+$E$2,FALSE),"")</f>
        <v>28.127510724694599</v>
      </c>
      <c r="AS162" s="71">
        <f t="shared" si="8"/>
        <v>0.9873040901202188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>
        <v>21.133333333333329</v>
      </c>
      <c r="O163" s="56">
        <v>21.666666666666671</v>
      </c>
      <c r="P163" s="56">
        <v>20.06666666666667</v>
      </c>
      <c r="Q163" s="56">
        <v>21</v>
      </c>
      <c r="R163" s="56">
        <v>21.86666666666666</v>
      </c>
      <c r="S163" s="56">
        <v>21.933333333333341</v>
      </c>
      <c r="T163" s="56">
        <v>21.533333333333331</v>
      </c>
      <c r="U163" s="56">
        <v>21.533333333333331</v>
      </c>
      <c r="V163" s="56">
        <v>22.2</v>
      </c>
      <c r="W163" s="56">
        <v>20.866666666666671</v>
      </c>
      <c r="X163" s="56">
        <v>22.266666666666669</v>
      </c>
      <c r="Y163" s="56">
        <v>22</v>
      </c>
      <c r="Z163" s="56">
        <v>21.93333333333333</v>
      </c>
      <c r="AA163" s="56">
        <v>22.2</v>
      </c>
      <c r="AB163" s="56">
        <v>23</v>
      </c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18</v>
      </c>
      <c r="AQ163" s="71">
        <f t="shared" si="7"/>
        <v>21.659259259259258</v>
      </c>
      <c r="AR163" s="71">
        <f>IFERROR(VLOOKUP(A163,Climatologia_TMED!A:U,9+$E$2,FALSE),"")</f>
        <v>21.22896057140672</v>
      </c>
      <c r="AS163" s="71">
        <f t="shared" si="8"/>
        <v>0.43029868785253811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>
        <v>25.7</v>
      </c>
      <c r="O164" s="56">
        <v>26.5</v>
      </c>
      <c r="P164" s="56">
        <v>24.05</v>
      </c>
      <c r="Q164" s="56">
        <v>25.1</v>
      </c>
      <c r="R164" s="56">
        <v>25.9</v>
      </c>
      <c r="S164" s="56">
        <v>26.55</v>
      </c>
      <c r="T164" s="56">
        <v>25.75</v>
      </c>
      <c r="U164" s="56">
        <v>25.2</v>
      </c>
      <c r="V164" s="56">
        <v>25.25</v>
      </c>
      <c r="W164" s="56">
        <v>23.95</v>
      </c>
      <c r="X164" s="56">
        <v>26.2</v>
      </c>
      <c r="Y164" s="56">
        <v>26.5</v>
      </c>
      <c r="Z164" s="56">
        <v>26.15</v>
      </c>
      <c r="AA164" s="56">
        <v>26.9</v>
      </c>
      <c r="AB164" s="56">
        <v>26.1</v>
      </c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18</v>
      </c>
      <c r="AQ164" s="71">
        <f t="shared" si="7"/>
        <v>25.677777777777777</v>
      </c>
      <c r="AR164" s="71">
        <f>IFERROR(VLOOKUP(A164,Climatologia_TMED!A:U,9+$E$2,FALSE),"")</f>
        <v>23.89155800492609</v>
      </c>
      <c r="AS164" s="71">
        <f t="shared" si="8"/>
        <v>1.7862197728516875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>
        <v>15.133333333333329</v>
      </c>
      <c r="O166" s="56">
        <v>14.06666666666667</v>
      </c>
      <c r="P166" s="56">
        <v>14.133333333333329</v>
      </c>
      <c r="Q166" s="56">
        <v>14.133333333333329</v>
      </c>
      <c r="R166" s="56">
        <v>14.53333333333333</v>
      </c>
      <c r="S166" s="56">
        <v>15.8</v>
      </c>
      <c r="T166" s="56">
        <v>14.93333333333333</v>
      </c>
      <c r="U166" s="56">
        <v>14.8</v>
      </c>
      <c r="V166" s="56">
        <v>15</v>
      </c>
      <c r="W166" s="56">
        <v>14.733333333333331</v>
      </c>
      <c r="X166" s="56">
        <v>15.33333333333333</v>
      </c>
      <c r="Y166" s="56">
        <v>14.8</v>
      </c>
      <c r="Z166" s="56">
        <v>14.866666666666671</v>
      </c>
      <c r="AA166" s="56">
        <v>15.66666666666667</v>
      </c>
      <c r="AB166" s="56">
        <v>15.4</v>
      </c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18</v>
      </c>
      <c r="AQ166" s="71">
        <f t="shared" si="7"/>
        <v>14.864814814814814</v>
      </c>
      <c r="AR166" s="71">
        <f>IFERROR(VLOOKUP(A166,Climatologia_TMED!A:U,9+$E$2,FALSE),"")</f>
        <v>13.620666666666629</v>
      </c>
      <c r="AS166" s="71">
        <f t="shared" si="8"/>
        <v>1.2441481481481844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>
        <v>21.266666666666669</v>
      </c>
      <c r="O167" s="56">
        <v>21.333333333333329</v>
      </c>
      <c r="P167" s="56">
        <v>22.333333333333329</v>
      </c>
      <c r="Q167" s="56">
        <v>20.733333333333331</v>
      </c>
      <c r="R167" s="56">
        <v>21.6</v>
      </c>
      <c r="S167" s="56">
        <v>23.06666666666667</v>
      </c>
      <c r="T167" s="56">
        <v>21.933333333333341</v>
      </c>
      <c r="U167" s="56">
        <v>20.93333333333333</v>
      </c>
      <c r="V167" s="56">
        <v>21.666666666666671</v>
      </c>
      <c r="W167" s="56">
        <v>21.6</v>
      </c>
      <c r="X167" s="56">
        <v>21.2</v>
      </c>
      <c r="Y167" s="56">
        <v>22</v>
      </c>
      <c r="Z167" s="56">
        <v>20.6</v>
      </c>
      <c r="AA167" s="56">
        <v>21.933333333333341</v>
      </c>
      <c r="AB167" s="56">
        <v>21.8</v>
      </c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18</v>
      </c>
      <c r="AQ167" s="71">
        <f t="shared" si="7"/>
        <v>21.433333333333337</v>
      </c>
      <c r="AR167" s="71">
        <f>IFERROR(VLOOKUP(A167,Climatologia_TMED!A:U,9+$E$2,FALSE),"")</f>
        <v>19.08208868706501</v>
      </c>
      <c r="AS167" s="71">
        <f t="shared" si="8"/>
        <v>2.3512446462683272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>
        <v>28.7</v>
      </c>
      <c r="O168" s="56">
        <v>29.55</v>
      </c>
      <c r="P168" s="56">
        <v>27.6</v>
      </c>
      <c r="Q168" s="56">
        <v>27.75</v>
      </c>
      <c r="R168" s="56">
        <v>29.05</v>
      </c>
      <c r="S168" s="56">
        <v>30.5</v>
      </c>
      <c r="T168" s="56">
        <v>27.55</v>
      </c>
      <c r="U168" s="56">
        <v>28.05</v>
      </c>
      <c r="V168" s="56">
        <v>29.1</v>
      </c>
      <c r="W168" s="56">
        <v>28</v>
      </c>
      <c r="X168" s="56">
        <v>29</v>
      </c>
      <c r="Y168" s="56">
        <v>29.6</v>
      </c>
      <c r="Z168" s="56">
        <v>28.2</v>
      </c>
      <c r="AA168" s="56">
        <v>29.35</v>
      </c>
      <c r="AB168" s="56">
        <v>30.25</v>
      </c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18</v>
      </c>
      <c r="AQ168" s="71">
        <f t="shared" si="7"/>
        <v>28.705555555555559</v>
      </c>
      <c r="AR168" s="71">
        <f>IFERROR(VLOOKUP(A168,Climatologia_TMED!A:U,9+$E$2,FALSE),"")</f>
        <v>26.096985386238281</v>
      </c>
      <c r="AS168" s="71">
        <f t="shared" si="8"/>
        <v>2.6085701693172787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>
        <v>9.1000000000000014</v>
      </c>
      <c r="O169" s="56">
        <v>9.3999999999999986</v>
      </c>
      <c r="P169" s="56">
        <v>8.25</v>
      </c>
      <c r="Q169" s="56">
        <v>8.3000000000000007</v>
      </c>
      <c r="R169" s="56">
        <v>8.25</v>
      </c>
      <c r="S169" s="56">
        <v>9.25</v>
      </c>
      <c r="T169" s="56">
        <v>9.6000000000000014</v>
      </c>
      <c r="U169" s="56">
        <v>8.3999999999999986</v>
      </c>
      <c r="V169" s="56">
        <v>10.199999999999999</v>
      </c>
      <c r="W169" s="56">
        <v>10.1</v>
      </c>
      <c r="X169" s="56">
        <v>9.8999999999999986</v>
      </c>
      <c r="Y169" s="56">
        <v>10.199999999999999</v>
      </c>
      <c r="Z169" s="56">
        <v>9.4499999999999993</v>
      </c>
      <c r="AA169" s="56">
        <v>9.9499999999999993</v>
      </c>
      <c r="AB169" s="56">
        <v>9.1499999999999986</v>
      </c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18</v>
      </c>
      <c r="AQ169" s="71">
        <f t="shared" si="7"/>
        <v>9.43611111111111</v>
      </c>
      <c r="AR169" s="71">
        <f>IFERROR(VLOOKUP(A169,Climatologia_TMED!A:U,9+$E$2,FALSE),"")</f>
        <v>9.1213698261706551</v>
      </c>
      <c r="AS169" s="71">
        <f t="shared" si="8"/>
        <v>0.31474128494045495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>
        <v>27.06666666666667</v>
      </c>
      <c r="O170" s="56">
        <v>25.533333333333331</v>
      </c>
      <c r="P170" s="56">
        <v>25.6</v>
      </c>
      <c r="Q170" s="56">
        <v>27.266666666666669</v>
      </c>
      <c r="R170" s="56">
        <v>23.13333333333334</v>
      </c>
      <c r="S170" s="56">
        <v>26.93333333333333</v>
      </c>
      <c r="T170" s="56">
        <v>26.666666666666671</v>
      </c>
      <c r="U170" s="56">
        <v>24.2</v>
      </c>
      <c r="V170" s="56">
        <v>26.333333333333329</v>
      </c>
      <c r="W170" s="56">
        <v>24.333333333333329</v>
      </c>
      <c r="X170" s="56">
        <v>26.266666666666669</v>
      </c>
      <c r="Y170" s="56">
        <v>23.2</v>
      </c>
      <c r="Z170" s="56">
        <v>25.2</v>
      </c>
      <c r="AA170" s="56">
        <v>26.333333333333329</v>
      </c>
      <c r="AB170" s="56">
        <v>27.2</v>
      </c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18</v>
      </c>
      <c r="AQ170" s="71">
        <f t="shared" si="7"/>
        <v>25.611111111111104</v>
      </c>
      <c r="AR170" s="71">
        <f>IFERROR(VLOOKUP(A170,Climatologia_TMED!A:U,9+$E$2,FALSE),"")</f>
        <v>24.925912119489681</v>
      </c>
      <c r="AS170" s="71">
        <f t="shared" si="8"/>
        <v>0.68519899162142295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>
        <v>22.533333333333331</v>
      </c>
      <c r="O171" s="56"/>
      <c r="P171" s="56"/>
      <c r="Q171" s="56"/>
      <c r="R171" s="56">
        <v>22.86666666666666</v>
      </c>
      <c r="S171" s="56">
        <v>22.13333333333334</v>
      </c>
      <c r="T171" s="56">
        <v>23.266666666666669</v>
      </c>
      <c r="U171" s="56">
        <v>22.266666666666669</v>
      </c>
      <c r="V171" s="56">
        <v>22.733333333333331</v>
      </c>
      <c r="W171" s="56">
        <v>23.06666666666667</v>
      </c>
      <c r="X171" s="56">
        <v>22.266666666666669</v>
      </c>
      <c r="Y171" s="56">
        <v>22.06666666666667</v>
      </c>
      <c r="Z171" s="56">
        <v>21.266666666666669</v>
      </c>
      <c r="AA171" s="56">
        <v>23.13333333333334</v>
      </c>
      <c r="AB171" s="56">
        <v>22.2</v>
      </c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15</v>
      </c>
      <c r="AQ171" s="71">
        <f t="shared" si="7"/>
        <v>22.328888888888891</v>
      </c>
      <c r="AR171" s="71">
        <f>IFERROR(VLOOKUP(A171,Climatologia_TMED!A:U,9+$E$2,FALSE),"")</f>
        <v>18.83550959983776</v>
      </c>
      <c r="AS171" s="71">
        <f t="shared" si="8"/>
        <v>3.4933792890511306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>
        <v>23.75</v>
      </c>
      <c r="O172" s="56">
        <v>27.1</v>
      </c>
      <c r="P172" s="56">
        <v>26.45</v>
      </c>
      <c r="Q172" s="56">
        <v>25.85</v>
      </c>
      <c r="R172" s="56">
        <v>26.75</v>
      </c>
      <c r="S172" s="56">
        <v>26.6</v>
      </c>
      <c r="T172" s="56">
        <v>25.95</v>
      </c>
      <c r="U172" s="56">
        <v>25.3</v>
      </c>
      <c r="V172" s="56">
        <v>26.3</v>
      </c>
      <c r="W172" s="56">
        <v>26.6</v>
      </c>
      <c r="X172" s="56">
        <v>26.05</v>
      </c>
      <c r="Y172" s="56">
        <v>27.4</v>
      </c>
      <c r="Z172" s="56">
        <v>26.35</v>
      </c>
      <c r="AA172" s="56">
        <v>25.55</v>
      </c>
      <c r="AB172" s="56">
        <v>27.1</v>
      </c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18</v>
      </c>
      <c r="AQ172" s="71">
        <f t="shared" si="7"/>
        <v>26.286111111111115</v>
      </c>
      <c r="AR172" s="71">
        <f>IFERROR(VLOOKUP(A172,Climatologia_TMED!A:U,9+$E$2,FALSE),"")</f>
        <v>24.505676764856439</v>
      </c>
      <c r="AS172" s="71">
        <f t="shared" si="8"/>
        <v>1.7804343462546761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>
        <v>25.85</v>
      </c>
      <c r="O173" s="56">
        <v>25.75</v>
      </c>
      <c r="P173" s="56">
        <v>25.9</v>
      </c>
      <c r="Q173" s="56">
        <v>24.95</v>
      </c>
      <c r="R173" s="56">
        <v>25.55</v>
      </c>
      <c r="S173" s="56">
        <v>26.05</v>
      </c>
      <c r="T173" s="56">
        <v>26.15</v>
      </c>
      <c r="U173" s="56">
        <v>25.05</v>
      </c>
      <c r="V173" s="56">
        <v>25.95</v>
      </c>
      <c r="W173" s="56">
        <v>26.2</v>
      </c>
      <c r="X173" s="56">
        <v>26.1</v>
      </c>
      <c r="Y173" s="56">
        <v>26.75</v>
      </c>
      <c r="Z173" s="56">
        <v>26.5</v>
      </c>
      <c r="AA173" s="56">
        <v>26.45</v>
      </c>
      <c r="AB173" s="56">
        <v>26.35</v>
      </c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18</v>
      </c>
      <c r="AQ173" s="71">
        <f t="shared" si="7"/>
        <v>25.947222222222223</v>
      </c>
      <c r="AR173" s="71">
        <f>IFERROR(VLOOKUP(A173,Climatologia_TMED!A:U,9+$E$2,FALSE),"")</f>
        <v>24.013909243295011</v>
      </c>
      <c r="AS173" s="71">
        <f t="shared" si="8"/>
        <v>1.9333129789272121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>
        <v>11.66666666666667</v>
      </c>
      <c r="O174" s="56">
        <v>14.266666666666669</v>
      </c>
      <c r="P174" s="56">
        <v>12.866666666666671</v>
      </c>
      <c r="Q174" s="56">
        <v>11.33333333333333</v>
      </c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7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24.666666666666671</v>
      </c>
      <c r="L175" s="56">
        <v>24.93333333333333</v>
      </c>
      <c r="M175" s="56">
        <v>25.4</v>
      </c>
      <c r="N175" s="56"/>
      <c r="O175" s="56"/>
      <c r="P175" s="56"/>
      <c r="Q175" s="56"/>
      <c r="R175" s="56"/>
      <c r="S175" s="56"/>
      <c r="T175" s="56">
        <v>25.6</v>
      </c>
      <c r="U175" s="56">
        <v>24.933333333333341</v>
      </c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5</v>
      </c>
      <c r="AQ175" s="71" t="str">
        <f t="shared" si="7"/>
        <v/>
      </c>
      <c r="AR175" s="71">
        <f>IFERROR(VLOOKUP(A175,Climatologia_TMED!A:U,9+$E$2,FALSE),"")</f>
        <v>23.699565695841741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>
        <v>25.86666666666666</v>
      </c>
      <c r="O178" s="56">
        <v>26.4</v>
      </c>
      <c r="P178" s="56">
        <v>24.86666666666666</v>
      </c>
      <c r="Q178" s="56">
        <v>25.4</v>
      </c>
      <c r="R178" s="56">
        <v>26.133333333333329</v>
      </c>
      <c r="S178" s="56">
        <v>24.8</v>
      </c>
      <c r="T178" s="56">
        <v>25.86666666666666</v>
      </c>
      <c r="U178" s="56">
        <v>24.533333333333331</v>
      </c>
      <c r="V178" s="56">
        <v>26.333333333333329</v>
      </c>
      <c r="W178" s="56"/>
      <c r="X178" s="56"/>
      <c r="Y178" s="56"/>
      <c r="Z178" s="56"/>
      <c r="AA178" s="56">
        <v>27.6</v>
      </c>
      <c r="AB178" s="56">
        <v>26.8</v>
      </c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14</v>
      </c>
      <c r="AQ178" s="71" t="str">
        <f t="shared" si="7"/>
        <v/>
      </c>
      <c r="AR178" s="71">
        <f>IFERROR(VLOOKUP(A178,Climatologia_TMED!A:U,9+$E$2,FALSE),"")</f>
        <v>24.463062760640639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>
        <v>20.100000000000001</v>
      </c>
      <c r="O179" s="56">
        <v>19.8</v>
      </c>
      <c r="P179" s="56">
        <v>17.850000000000001</v>
      </c>
      <c r="Q179" s="56">
        <v>18.350000000000001</v>
      </c>
      <c r="R179" s="56">
        <v>19.7</v>
      </c>
      <c r="S179" s="56">
        <v>18.649999999999999</v>
      </c>
      <c r="T179" s="56">
        <v>18.45</v>
      </c>
      <c r="U179" s="56">
        <v>18.55</v>
      </c>
      <c r="V179" s="56">
        <v>18.8</v>
      </c>
      <c r="W179" s="56">
        <v>18.649999999999999</v>
      </c>
      <c r="X179" s="56">
        <v>18.350000000000001</v>
      </c>
      <c r="Y179" s="56">
        <v>19.399999999999999</v>
      </c>
      <c r="Z179" s="56">
        <v>18.399999999999999</v>
      </c>
      <c r="AA179" s="56">
        <v>20.25</v>
      </c>
      <c r="AB179" s="56">
        <v>19.850000000000001</v>
      </c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18</v>
      </c>
      <c r="AQ179" s="71">
        <f t="shared" si="7"/>
        <v>18.924999999999997</v>
      </c>
      <c r="AR179" s="71">
        <f>IFERROR(VLOOKUP(A179,Climatologia_TMED!A:U,9+$E$2,FALSE),"")</f>
        <v>17.246762526490102</v>
      </c>
      <c r="AS179" s="71">
        <f t="shared" si="8"/>
        <v>1.6782374735098955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>
        <v>32.466666666666669</v>
      </c>
      <c r="O181" s="56">
        <v>34.266666666666673</v>
      </c>
      <c r="P181" s="56">
        <v>32.06666666666667</v>
      </c>
      <c r="Q181" s="56">
        <v>32.733333333333327</v>
      </c>
      <c r="R181" s="56">
        <v>32.866666666666667</v>
      </c>
      <c r="S181" s="56">
        <v>32.933333333333337</v>
      </c>
      <c r="T181" s="56">
        <v>34</v>
      </c>
      <c r="U181" s="56">
        <v>33.200000000000003</v>
      </c>
      <c r="V181" s="56">
        <v>33.666666666666657</v>
      </c>
      <c r="W181" s="56">
        <v>33.933333333333337</v>
      </c>
      <c r="X181" s="56">
        <v>32.533333333333331</v>
      </c>
      <c r="Y181" s="56">
        <v>34.533333333333339</v>
      </c>
      <c r="Z181" s="56">
        <v>33.200000000000003</v>
      </c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16</v>
      </c>
      <c r="AQ181" s="71">
        <f t="shared" si="7"/>
        <v>32.9</v>
      </c>
      <c r="AR181" s="71">
        <f>IFERROR(VLOOKUP(A181,Climatologia_TMED!A:U,9+$E$2,FALSE),"")</f>
        <v>29.303127464277281</v>
      </c>
      <c r="AS181" s="71">
        <f t="shared" si="8"/>
        <v>3.5968725357227171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>
        <v>30.8</v>
      </c>
      <c r="O184" s="56">
        <v>29.06666666666667</v>
      </c>
      <c r="P184" s="56">
        <v>28.533333333333331</v>
      </c>
      <c r="Q184" s="56">
        <v>28.2</v>
      </c>
      <c r="R184" s="56">
        <v>28.6</v>
      </c>
      <c r="S184" s="56">
        <v>28.333333333333329</v>
      </c>
      <c r="T184" s="56">
        <v>28.733333333333331</v>
      </c>
      <c r="U184" s="56">
        <v>28.533333333333331</v>
      </c>
      <c r="V184" s="56">
        <v>29</v>
      </c>
      <c r="W184" s="56"/>
      <c r="X184" s="56"/>
      <c r="Y184" s="56"/>
      <c r="Z184" s="56">
        <v>30.86666666666666</v>
      </c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13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>
        <v>31.4</v>
      </c>
      <c r="O185" s="56">
        <v>32.933333333333337</v>
      </c>
      <c r="P185" s="56"/>
      <c r="Q185" s="56">
        <v>31.2</v>
      </c>
      <c r="R185" s="56">
        <v>31.666666666666671</v>
      </c>
      <c r="S185" s="56">
        <v>30.333333333333329</v>
      </c>
      <c r="T185" s="56">
        <v>31.266666666666669</v>
      </c>
      <c r="U185" s="56">
        <v>30.4</v>
      </c>
      <c r="V185" s="56">
        <v>32.266666666666673</v>
      </c>
      <c r="W185" s="56"/>
      <c r="X185" s="56">
        <v>33.133333333333333</v>
      </c>
      <c r="Y185" s="56">
        <v>30.8</v>
      </c>
      <c r="Z185" s="56"/>
      <c r="AA185" s="56">
        <v>32.666666666666657</v>
      </c>
      <c r="AB185" s="56">
        <v>32.4</v>
      </c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15</v>
      </c>
      <c r="AQ185" s="71">
        <f t="shared" si="7"/>
        <v>31.431111111111104</v>
      </c>
      <c r="AR185" s="71">
        <f>IFERROR(VLOOKUP(A185,Climatologia_TMED!A:U,9+$E$2,FALSE),"")</f>
        <v>28.293327865203</v>
      </c>
      <c r="AS185" s="71">
        <f t="shared" si="8"/>
        <v>3.1377832459081034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>
        <v>18</v>
      </c>
      <c r="O188" s="56">
        <v>19.06666666666667</v>
      </c>
      <c r="P188" s="56">
        <v>18.133333333333329</v>
      </c>
      <c r="Q188" s="56">
        <v>17</v>
      </c>
      <c r="R188" s="56">
        <v>18.8</v>
      </c>
      <c r="S188" s="56">
        <v>19.13333333333334</v>
      </c>
      <c r="T188" s="56"/>
      <c r="U188" s="56">
        <v>17.533333333333331</v>
      </c>
      <c r="V188" s="56">
        <v>18.533333333333331</v>
      </c>
      <c r="W188" s="56">
        <v>17.733333333333331</v>
      </c>
      <c r="X188" s="56">
        <v>19.399999999999999</v>
      </c>
      <c r="Y188" s="56">
        <v>18.466666666666669</v>
      </c>
      <c r="Z188" s="56">
        <v>16.93333333333333</v>
      </c>
      <c r="AA188" s="56">
        <v>19.2</v>
      </c>
      <c r="AB188" s="56">
        <v>19.733333333333331</v>
      </c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17</v>
      </c>
      <c r="AQ188" s="71">
        <f t="shared" si="7"/>
        <v>18.176470588235293</v>
      </c>
      <c r="AR188" s="71">
        <f>IFERROR(VLOOKUP(A188,Climatologia_TMED!A:U,9+$E$2,FALSE),"")</f>
        <v>16.212706169096929</v>
      </c>
      <c r="AS188" s="71">
        <f t="shared" si="8"/>
        <v>1.9637644191383643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>
        <v>33.266666666666673</v>
      </c>
      <c r="O189" s="56"/>
      <c r="P189" s="56">
        <v>33.466666666666669</v>
      </c>
      <c r="Q189" s="56"/>
      <c r="R189" s="56">
        <v>34</v>
      </c>
      <c r="S189" s="56">
        <v>33.200000000000003</v>
      </c>
      <c r="T189" s="56"/>
      <c r="U189" s="56">
        <v>32.6</v>
      </c>
      <c r="V189" s="56">
        <v>33.466666666666669</v>
      </c>
      <c r="W189" s="56"/>
      <c r="X189" s="56">
        <v>34.93333333333333</v>
      </c>
      <c r="Y189" s="56">
        <v>33.866666666666667</v>
      </c>
      <c r="Z189" s="56">
        <v>32.866666666666667</v>
      </c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11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>
        <v>31.466666666666669</v>
      </c>
      <c r="O190" s="56">
        <v>32.266666666666673</v>
      </c>
      <c r="P190" s="56">
        <v>31.666666666666671</v>
      </c>
      <c r="Q190" s="56">
        <v>29.333333333333329</v>
      </c>
      <c r="R190" s="56">
        <v>32</v>
      </c>
      <c r="S190" s="56">
        <v>30.4</v>
      </c>
      <c r="T190" s="56">
        <v>32.133333333333333</v>
      </c>
      <c r="U190" s="56">
        <v>31.13333333333334</v>
      </c>
      <c r="V190" s="56">
        <v>32.6</v>
      </c>
      <c r="W190" s="56"/>
      <c r="X190" s="56"/>
      <c r="Y190" s="56">
        <v>33.266666666666673</v>
      </c>
      <c r="Z190" s="56">
        <v>30.333333333333329</v>
      </c>
      <c r="AA190" s="56">
        <v>31.6</v>
      </c>
      <c r="AB190" s="56">
        <v>32.533333333333331</v>
      </c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16</v>
      </c>
      <c r="AQ190" s="71">
        <f t="shared" si="7"/>
        <v>31.395833333333329</v>
      </c>
      <c r="AR190" s="71">
        <f>IFERROR(VLOOKUP(A190,Climatologia_TMED!A:U,9+$E$2,FALSE),"")</f>
        <v>29.06825057892295</v>
      </c>
      <c r="AS190" s="71">
        <f t="shared" si="8"/>
        <v>2.3275827544103791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>
        <v>19.25</v>
      </c>
      <c r="O191" s="56">
        <v>19.45</v>
      </c>
      <c r="P191" s="56">
        <v>19.8</v>
      </c>
      <c r="Q191" s="56">
        <v>18</v>
      </c>
      <c r="R191" s="56">
        <v>20.149999999999999</v>
      </c>
      <c r="S191" s="56">
        <v>19.649999999999999</v>
      </c>
      <c r="T191" s="56">
        <v>20.7</v>
      </c>
      <c r="U191" s="56">
        <v>19.45</v>
      </c>
      <c r="V191" s="56">
        <v>20.149999999999999</v>
      </c>
      <c r="W191" s="56">
        <v>19.3</v>
      </c>
      <c r="X191" s="56">
        <v>20</v>
      </c>
      <c r="Y191" s="56">
        <v>20.2</v>
      </c>
      <c r="Z191" s="56">
        <v>18</v>
      </c>
      <c r="AA191" s="56">
        <v>20.25</v>
      </c>
      <c r="AB191" s="56">
        <v>21</v>
      </c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18</v>
      </c>
      <c r="AQ191" s="71">
        <f t="shared" si="7"/>
        <v>19.538888888888888</v>
      </c>
      <c r="AR191" s="71">
        <f>IFERROR(VLOOKUP(A191,Climatologia_TMED!A:U,9+$E$2,FALSE),"")</f>
        <v>17.433905550874321</v>
      </c>
      <c r="AS191" s="71">
        <f t="shared" si="8"/>
        <v>2.1049833380145664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>
        <v>25.533333333333331</v>
      </c>
      <c r="O192" s="56">
        <v>25.933333333333341</v>
      </c>
      <c r="P192" s="56">
        <v>26.86666666666666</v>
      </c>
      <c r="Q192" s="56">
        <v>26.533333333333331</v>
      </c>
      <c r="R192" s="56">
        <v>26</v>
      </c>
      <c r="S192" s="56">
        <v>26.8</v>
      </c>
      <c r="T192" s="56">
        <v>27.466666666666669</v>
      </c>
      <c r="U192" s="56">
        <v>26.533333333333331</v>
      </c>
      <c r="V192" s="56">
        <v>27.6</v>
      </c>
      <c r="W192" s="56">
        <v>26.466666666666669</v>
      </c>
      <c r="X192" s="56">
        <v>27.533333333333331</v>
      </c>
      <c r="Y192" s="56">
        <v>26.8</v>
      </c>
      <c r="Z192" s="56">
        <v>26.4</v>
      </c>
      <c r="AA192" s="56">
        <v>27.86666666666666</v>
      </c>
      <c r="AB192" s="56">
        <v>29.466666666666669</v>
      </c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18</v>
      </c>
      <c r="AQ192" s="71">
        <f t="shared" si="7"/>
        <v>26.762962962962963</v>
      </c>
      <c r="AR192" s="71">
        <f>IFERROR(VLOOKUP(A192,Climatologia_TMED!A:U,9+$E$2,FALSE),"")</f>
        <v>25.502000319284761</v>
      </c>
      <c r="AS192" s="71">
        <f t="shared" si="8"/>
        <v>1.2609626436782015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>
        <v>30.2</v>
      </c>
      <c r="O193" s="56">
        <v>30.7</v>
      </c>
      <c r="P193" s="56">
        <v>30.65</v>
      </c>
      <c r="Q193" s="56">
        <v>30.1</v>
      </c>
      <c r="R193" s="56">
        <v>30.6</v>
      </c>
      <c r="S193" s="56">
        <v>30</v>
      </c>
      <c r="T193" s="56">
        <v>30.75</v>
      </c>
      <c r="U193" s="56">
        <v>29.9</v>
      </c>
      <c r="V193" s="56">
        <v>30.05</v>
      </c>
      <c r="W193" s="56">
        <v>28.95</v>
      </c>
      <c r="X193" s="56">
        <v>31.5</v>
      </c>
      <c r="Y193" s="56">
        <v>30.8</v>
      </c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15</v>
      </c>
      <c r="AQ193" s="71">
        <f t="shared" si="7"/>
        <v>30.256666666666664</v>
      </c>
      <c r="AR193" s="71">
        <f>IFERROR(VLOOKUP(A193,Climatologia_TMED!A:U,9+$E$2,FALSE),"")</f>
        <v>26.951923603216709</v>
      </c>
      <c r="AS193" s="71">
        <f t="shared" si="8"/>
        <v>3.3047430634499548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>
        <v>22.733333333333331</v>
      </c>
      <c r="O194" s="56">
        <v>23.06666666666667</v>
      </c>
      <c r="P194" s="56">
        <v>23</v>
      </c>
      <c r="Q194" s="56">
        <v>21.866666666666671</v>
      </c>
      <c r="R194" s="56">
        <v>22.933333333333341</v>
      </c>
      <c r="S194" s="56">
        <v>24.13333333333334</v>
      </c>
      <c r="T194" s="56">
        <v>23.2</v>
      </c>
      <c r="U194" s="56">
        <v>21.93333333333333</v>
      </c>
      <c r="V194" s="56">
        <v>23.266666666666669</v>
      </c>
      <c r="W194" s="56"/>
      <c r="X194" s="56">
        <v>23.93333333333333</v>
      </c>
      <c r="Y194" s="56">
        <v>22</v>
      </c>
      <c r="Z194" s="56">
        <v>22.4</v>
      </c>
      <c r="AA194" s="56">
        <v>22.666666666666671</v>
      </c>
      <c r="AB194" s="56">
        <v>24.13333333333334</v>
      </c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17</v>
      </c>
      <c r="AQ194" s="71">
        <f t="shared" si="7"/>
        <v>22.788235294117644</v>
      </c>
      <c r="AR194" s="71">
        <f>IFERROR(VLOOKUP(A194,Climatologia_TMED!A:U,9+$E$2,FALSE),"")</f>
        <v>22.05916615791612</v>
      </c>
      <c r="AS194" s="71">
        <f t="shared" si="8"/>
        <v>0.7290691362015238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>
        <v>29.86666666666666</v>
      </c>
      <c r="Q195" s="56">
        <v>27.86666666666666</v>
      </c>
      <c r="R195" s="56">
        <v>29.733333333333331</v>
      </c>
      <c r="S195" s="56">
        <v>30.333333333333329</v>
      </c>
      <c r="T195" s="56">
        <v>30.6</v>
      </c>
      <c r="U195" s="56">
        <v>27.533333333333331</v>
      </c>
      <c r="V195" s="56">
        <v>28.466666666666669</v>
      </c>
      <c r="W195" s="56"/>
      <c r="X195" s="56"/>
      <c r="Y195" s="56"/>
      <c r="Z195" s="56"/>
      <c r="AA195" s="56"/>
      <c r="AB195" s="56">
        <v>30.6</v>
      </c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11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>
        <v>23.2</v>
      </c>
      <c r="O196" s="56">
        <v>23.86666666666666</v>
      </c>
      <c r="P196" s="56">
        <v>24.13333333333334</v>
      </c>
      <c r="Q196" s="56">
        <v>22.2</v>
      </c>
      <c r="R196" s="56">
        <v>24.13333333333334</v>
      </c>
      <c r="S196" s="56">
        <v>24.86666666666666</v>
      </c>
      <c r="T196" s="56">
        <v>23.666666666666671</v>
      </c>
      <c r="U196" s="56">
        <v>23.2</v>
      </c>
      <c r="V196" s="56">
        <v>23.6</v>
      </c>
      <c r="W196" s="56">
        <v>23.333333333333329</v>
      </c>
      <c r="X196" s="56">
        <v>24</v>
      </c>
      <c r="Y196" s="56">
        <v>22.8</v>
      </c>
      <c r="Z196" s="56">
        <v>21.533333333333331</v>
      </c>
      <c r="AA196" s="56">
        <v>24.533333333333331</v>
      </c>
      <c r="AB196" s="56">
        <v>25.06666666666667</v>
      </c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18</v>
      </c>
      <c r="AQ196" s="71">
        <f t="shared" si="7"/>
        <v>23.266666666666666</v>
      </c>
      <c r="AR196" s="71">
        <f>IFERROR(VLOOKUP(A196,Climatologia_TMED!A:U,9+$E$2,FALSE),"")</f>
        <v>20.06610658768091</v>
      </c>
      <c r="AS196" s="71">
        <f t="shared" si="8"/>
        <v>3.200560078985756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>
        <v>27.333333333333329</v>
      </c>
      <c r="O197" s="56">
        <v>28.533333333333331</v>
      </c>
      <c r="P197" s="56">
        <v>27.93333333333333</v>
      </c>
      <c r="Q197" s="56">
        <v>26.4</v>
      </c>
      <c r="R197" s="56">
        <v>28.466666666666669</v>
      </c>
      <c r="S197" s="56">
        <v>28.333333333333329</v>
      </c>
      <c r="T197" s="56">
        <v>29.2</v>
      </c>
      <c r="U197" s="56">
        <v>27.733333333333331</v>
      </c>
      <c r="V197" s="56">
        <v>28.466666666666669</v>
      </c>
      <c r="W197" s="56">
        <v>28.466666666666669</v>
      </c>
      <c r="X197" s="56">
        <v>28.733333333333331</v>
      </c>
      <c r="Y197" s="56">
        <v>28.333333333333329</v>
      </c>
      <c r="Z197" s="56">
        <v>27.8</v>
      </c>
      <c r="AA197" s="56">
        <v>27.6</v>
      </c>
      <c r="AB197" s="56">
        <v>29.4</v>
      </c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18</v>
      </c>
      <c r="AQ197" s="71">
        <f t="shared" ref="AQ197:AQ260" si="10">IF(AP197&gt;14,AVERAGE(K197:AO197),"")</f>
        <v>27.922222222222224</v>
      </c>
      <c r="AR197" s="71">
        <f>IFERROR(VLOOKUP(A197,Climatologia_TMED!A:U,9+$E$2,FALSE),"")</f>
        <v>24.80996849865301</v>
      </c>
      <c r="AS197" s="71">
        <f t="shared" ref="AS197:AS260" si="11">IF(OR(AQ197="",AR197=""),"",IFERROR(AQ197-AR197,""))</f>
        <v>3.1122537235692143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>
        <v>22.85</v>
      </c>
      <c r="O198" s="56">
        <v>22.95</v>
      </c>
      <c r="P198" s="56">
        <v>22.4</v>
      </c>
      <c r="Q198" s="56">
        <v>21.65</v>
      </c>
      <c r="R198" s="56">
        <v>22.95</v>
      </c>
      <c r="S198" s="56">
        <v>23.4</v>
      </c>
      <c r="T198" s="56">
        <v>23.55</v>
      </c>
      <c r="U198" s="56">
        <v>22.3</v>
      </c>
      <c r="V198" s="56">
        <v>22.25</v>
      </c>
      <c r="W198" s="56">
        <v>21.95</v>
      </c>
      <c r="X198" s="56">
        <v>23.4</v>
      </c>
      <c r="Y198" s="56">
        <v>22.7</v>
      </c>
      <c r="Z198" s="56">
        <v>22.35</v>
      </c>
      <c r="AA198" s="56">
        <v>22.95</v>
      </c>
      <c r="AB198" s="56">
        <v>23.9</v>
      </c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18</v>
      </c>
      <c r="AQ198" s="71">
        <f t="shared" si="10"/>
        <v>22.61944444444444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>
        <v>16.666666666666671</v>
      </c>
      <c r="O199" s="56">
        <v>18.133333333333329</v>
      </c>
      <c r="P199" s="56">
        <v>16.600000000000001</v>
      </c>
      <c r="Q199" s="56">
        <v>16.666666666666671</v>
      </c>
      <c r="R199" s="56">
        <v>16.866666666666671</v>
      </c>
      <c r="S199" s="56">
        <v>17.06666666666667</v>
      </c>
      <c r="T199" s="56">
        <v>16.93333333333333</v>
      </c>
      <c r="U199" s="56">
        <v>16.666666666666671</v>
      </c>
      <c r="V199" s="56">
        <v>17</v>
      </c>
      <c r="W199" s="56">
        <v>16.86666666666666</v>
      </c>
      <c r="X199" s="56">
        <v>17.600000000000001</v>
      </c>
      <c r="Y199" s="56">
        <v>17.466666666666669</v>
      </c>
      <c r="Z199" s="56">
        <v>16.733333333333331</v>
      </c>
      <c r="AA199" s="56">
        <v>17.266666666666669</v>
      </c>
      <c r="AB199" s="56">
        <v>17.733333333333331</v>
      </c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18</v>
      </c>
      <c r="AQ199" s="71">
        <f t="shared" si="10"/>
        <v>16.985185185185188</v>
      </c>
      <c r="AR199" s="71">
        <f>IFERROR(VLOOKUP(A199,Climatologia_TMED!A:U,9+$E$2,FALSE),"")</f>
        <v>16.081175934022749</v>
      </c>
      <c r="AS199" s="71">
        <f t="shared" si="11"/>
        <v>0.90400925116243869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>
        <v>14.35</v>
      </c>
      <c r="O200" s="56"/>
      <c r="P200" s="56">
        <v>13.85</v>
      </c>
      <c r="Q200" s="56">
        <v>13.25</v>
      </c>
      <c r="R200" s="56">
        <v>15.55</v>
      </c>
      <c r="S200" s="56">
        <v>14.95</v>
      </c>
      <c r="T200" s="56">
        <v>15.45</v>
      </c>
      <c r="U200" s="56">
        <v>15</v>
      </c>
      <c r="V200" s="56">
        <v>14.2</v>
      </c>
      <c r="W200" s="56">
        <v>15.1</v>
      </c>
      <c r="X200" s="56">
        <v>15.3</v>
      </c>
      <c r="Y200" s="56">
        <v>14.25</v>
      </c>
      <c r="Z200" s="56">
        <v>15.9</v>
      </c>
      <c r="AA200" s="56">
        <v>15.9</v>
      </c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16</v>
      </c>
      <c r="AQ200" s="71">
        <f t="shared" si="10"/>
        <v>14.765625</v>
      </c>
      <c r="AR200" s="71">
        <f>IFERROR(VLOOKUP(A200,Climatologia_TMED!A:U,9+$E$2,FALSE),"")</f>
        <v>13.31035878811257</v>
      </c>
      <c r="AS200" s="71">
        <f t="shared" si="11"/>
        <v>1.4552662118874302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>
        <v>29.35</v>
      </c>
      <c r="O201" s="56">
        <v>29.75</v>
      </c>
      <c r="P201" s="56">
        <v>29.5</v>
      </c>
      <c r="Q201" s="56">
        <v>28.2</v>
      </c>
      <c r="R201" s="56">
        <v>30.45</v>
      </c>
      <c r="S201" s="56">
        <v>29.85</v>
      </c>
      <c r="T201" s="56">
        <v>30.4</v>
      </c>
      <c r="U201" s="56">
        <v>28.8</v>
      </c>
      <c r="V201" s="56">
        <v>29.75</v>
      </c>
      <c r="W201" s="56">
        <v>29.25</v>
      </c>
      <c r="X201" s="56">
        <v>30.7</v>
      </c>
      <c r="Y201" s="56">
        <v>30</v>
      </c>
      <c r="Z201" s="56">
        <v>28.15</v>
      </c>
      <c r="AA201" s="56">
        <v>29.7</v>
      </c>
      <c r="AB201" s="56">
        <v>30.55</v>
      </c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18</v>
      </c>
      <c r="AQ201" s="71">
        <f t="shared" si="10"/>
        <v>29.358333333333331</v>
      </c>
      <c r="AR201" s="71">
        <f>IFERROR(VLOOKUP(A201,Climatologia_TMED!A:U,9+$E$2,FALSE),"")</f>
        <v>26.396486689839168</v>
      </c>
      <c r="AS201" s="71">
        <f t="shared" si="11"/>
        <v>2.9618466434941624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>
        <v>12.85</v>
      </c>
      <c r="N202" s="56">
        <v>13.8</v>
      </c>
      <c r="O202" s="56">
        <v>12.05</v>
      </c>
      <c r="P202" s="56">
        <v>13.05</v>
      </c>
      <c r="Q202" s="56">
        <v>13.1</v>
      </c>
      <c r="R202" s="56">
        <v>13.15</v>
      </c>
      <c r="S202" s="56">
        <v>13.35</v>
      </c>
      <c r="T202" s="56">
        <v>12.95</v>
      </c>
      <c r="U202" s="56">
        <v>13.3</v>
      </c>
      <c r="V202" s="56">
        <v>13.6</v>
      </c>
      <c r="W202" s="56">
        <v>12.85</v>
      </c>
      <c r="X202" s="56">
        <v>14.15</v>
      </c>
      <c r="Y202" s="56">
        <v>13.85</v>
      </c>
      <c r="Z202" s="56">
        <v>12.8</v>
      </c>
      <c r="AA202" s="56">
        <v>13.1</v>
      </c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17</v>
      </c>
      <c r="AQ202" s="71">
        <f t="shared" si="10"/>
        <v>13.294117647058824</v>
      </c>
      <c r="AR202" s="71">
        <f>IFERROR(VLOOKUP(A202,Climatologia_TMED!A:U,9+$E$2,FALSE),"")</f>
        <v>13.08979464177302</v>
      </c>
      <c r="AS202" s="71">
        <f t="shared" si="11"/>
        <v>0.20432300528580427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>
        <v>14.53333333333333</v>
      </c>
      <c r="O203" s="56">
        <v>13.53333333333333</v>
      </c>
      <c r="P203" s="56">
        <v>14.133333333333329</v>
      </c>
      <c r="Q203" s="56">
        <v>13.133333333333329</v>
      </c>
      <c r="R203" s="56">
        <v>14.33333333333333</v>
      </c>
      <c r="S203" s="56">
        <v>13.866666666666671</v>
      </c>
      <c r="T203" s="56">
        <v>14.46666666666667</v>
      </c>
      <c r="U203" s="56">
        <v>14.4</v>
      </c>
      <c r="V203" s="56">
        <v>15.2</v>
      </c>
      <c r="W203" s="56">
        <v>14.33333333333333</v>
      </c>
      <c r="X203" s="56">
        <v>14.6</v>
      </c>
      <c r="Y203" s="56">
        <v>14.4</v>
      </c>
      <c r="Z203" s="56">
        <v>14.06666666666667</v>
      </c>
      <c r="AA203" s="56">
        <v>14.66666666666667</v>
      </c>
      <c r="AB203" s="56">
        <v>13.93333333333333</v>
      </c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18</v>
      </c>
      <c r="AQ203" s="71">
        <f t="shared" si="10"/>
        <v>14.222222222222221</v>
      </c>
      <c r="AR203" s="71">
        <f>IFERROR(VLOOKUP(A203,Climatologia_TMED!A:U,9+$E$2,FALSE),"")</f>
        <v>12.22132350003263</v>
      </c>
      <c r="AS203" s="71">
        <f t="shared" si="11"/>
        <v>2.0008987221895911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>
        <v>16</v>
      </c>
      <c r="O205" s="56">
        <v>14.25</v>
      </c>
      <c r="P205" s="56">
        <v>14.6</v>
      </c>
      <c r="Q205" s="56">
        <v>16.05</v>
      </c>
      <c r="R205" s="56">
        <v>15.85</v>
      </c>
      <c r="S205" s="56">
        <v>16.3</v>
      </c>
      <c r="T205" s="56">
        <v>15.75</v>
      </c>
      <c r="U205" s="56">
        <v>15.25</v>
      </c>
      <c r="V205" s="56">
        <v>15.6</v>
      </c>
      <c r="W205" s="56">
        <v>15.7</v>
      </c>
      <c r="X205" s="56">
        <v>15.2</v>
      </c>
      <c r="Y205" s="56">
        <v>15.45</v>
      </c>
      <c r="Z205" s="56">
        <v>15.35</v>
      </c>
      <c r="AA205" s="56">
        <v>15.1</v>
      </c>
      <c r="AB205" s="56">
        <v>15.45</v>
      </c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18</v>
      </c>
      <c r="AQ205" s="71">
        <f t="shared" si="10"/>
        <v>15.469444444444441</v>
      </c>
      <c r="AR205" s="71">
        <f>IFERROR(VLOOKUP(A205,Climatologia_TMED!A:U,9+$E$2,FALSE),"")</f>
        <v>13.66598918422733</v>
      </c>
      <c r="AS205" s="71">
        <f t="shared" si="11"/>
        <v>1.8034552602171114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>
        <v>14.2</v>
      </c>
      <c r="O206" s="56">
        <v>14</v>
      </c>
      <c r="P206" s="56">
        <v>11.15</v>
      </c>
      <c r="Q206" s="56">
        <v>11.9</v>
      </c>
      <c r="R206" s="56">
        <v>13.2</v>
      </c>
      <c r="S206" s="56">
        <v>15.2</v>
      </c>
      <c r="T206" s="56">
        <v>13.4</v>
      </c>
      <c r="U206" s="56">
        <v>13.5</v>
      </c>
      <c r="V206" s="56">
        <v>15.05</v>
      </c>
      <c r="W206" s="56">
        <v>14.65</v>
      </c>
      <c r="X206" s="56">
        <v>14.2</v>
      </c>
      <c r="Y206" s="56">
        <v>13.3</v>
      </c>
      <c r="Z206" s="56">
        <v>15.25</v>
      </c>
      <c r="AA206" s="56">
        <v>12.9</v>
      </c>
      <c r="AB206" s="56">
        <v>14.85</v>
      </c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18</v>
      </c>
      <c r="AQ206" s="71">
        <f t="shared" si="10"/>
        <v>13.744444444444447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>
        <v>13.266666666666669</v>
      </c>
      <c r="O207" s="56">
        <v>13.8</v>
      </c>
      <c r="P207" s="56"/>
      <c r="Q207" s="56">
        <v>12.6</v>
      </c>
      <c r="R207" s="56">
        <v>13.8</v>
      </c>
      <c r="S207" s="56">
        <v>13.93333333333333</v>
      </c>
      <c r="T207" s="56">
        <v>14</v>
      </c>
      <c r="U207" s="56">
        <v>13.266666666666669</v>
      </c>
      <c r="V207" s="56">
        <v>14.4</v>
      </c>
      <c r="W207" s="56"/>
      <c r="X207" s="56">
        <v>13.733333333333331</v>
      </c>
      <c r="Y207" s="56">
        <v>13.66666666666667</v>
      </c>
      <c r="Z207" s="56">
        <v>15.06666666666667</v>
      </c>
      <c r="AA207" s="56">
        <v>13.866666666666671</v>
      </c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15</v>
      </c>
      <c r="AQ207" s="71">
        <f t="shared" si="10"/>
        <v>13.822222222222221</v>
      </c>
      <c r="AR207" s="71">
        <f>IFERROR(VLOOKUP(A207,Climatologia_TMED!A:U,9+$E$2,FALSE),"")</f>
        <v>13.625609299157309</v>
      </c>
      <c r="AS207" s="71">
        <f t="shared" si="11"/>
        <v>0.19661292306491163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>
        <v>14.4</v>
      </c>
      <c r="O208" s="56">
        <v>13.2</v>
      </c>
      <c r="P208" s="56">
        <v>14.1</v>
      </c>
      <c r="Q208" s="56">
        <v>13.05</v>
      </c>
      <c r="R208" s="56">
        <v>14.33333333333333</v>
      </c>
      <c r="S208" s="56">
        <v>14.55</v>
      </c>
      <c r="T208" s="56">
        <v>14.75</v>
      </c>
      <c r="U208" s="56">
        <v>13.5</v>
      </c>
      <c r="V208" s="56">
        <v>14</v>
      </c>
      <c r="W208" s="56">
        <v>14.35</v>
      </c>
      <c r="X208" s="56">
        <v>14.6</v>
      </c>
      <c r="Y208" s="56">
        <v>13.4</v>
      </c>
      <c r="Z208" s="56">
        <v>13.3</v>
      </c>
      <c r="AA208" s="56">
        <v>15.1</v>
      </c>
      <c r="AB208" s="56">
        <v>13.6</v>
      </c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18</v>
      </c>
      <c r="AQ208" s="71">
        <f t="shared" si="10"/>
        <v>14.071296296296294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>
        <v>11.25</v>
      </c>
      <c r="O209" s="56">
        <v>11.15</v>
      </c>
      <c r="P209" s="56">
        <v>11.6</v>
      </c>
      <c r="Q209" s="56">
        <v>11.35</v>
      </c>
      <c r="R209" s="56">
        <v>11.05</v>
      </c>
      <c r="S209" s="56">
        <v>10.55</v>
      </c>
      <c r="T209" s="56">
        <v>10.9</v>
      </c>
      <c r="U209" s="56">
        <v>10.55</v>
      </c>
      <c r="V209" s="56">
        <v>10.8</v>
      </c>
      <c r="W209" s="56">
        <v>11.45</v>
      </c>
      <c r="X209" s="56">
        <v>11</v>
      </c>
      <c r="Y209" s="56">
        <v>11.25</v>
      </c>
      <c r="Z209" s="56">
        <v>11.4</v>
      </c>
      <c r="AA209" s="56">
        <v>11.4</v>
      </c>
      <c r="AB209" s="56">
        <v>10.95</v>
      </c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18</v>
      </c>
      <c r="AQ209" s="71">
        <f t="shared" si="10"/>
        <v>11.127777777777776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>
        <v>15.2</v>
      </c>
      <c r="O210" s="56">
        <v>15.5</v>
      </c>
      <c r="P210" s="56">
        <v>16.05</v>
      </c>
      <c r="Q210" s="56">
        <v>14.8</v>
      </c>
      <c r="R210" s="56"/>
      <c r="S210" s="56">
        <v>16.850000000000001</v>
      </c>
      <c r="T210" s="56">
        <v>17.2</v>
      </c>
      <c r="U210" s="56">
        <v>16.350000000000001</v>
      </c>
      <c r="V210" s="56">
        <v>16.399999999999999</v>
      </c>
      <c r="W210" s="56">
        <v>15.5</v>
      </c>
      <c r="X210" s="56">
        <v>16.399999999999999</v>
      </c>
      <c r="Y210" s="56">
        <v>16.600000000000001</v>
      </c>
      <c r="Z210" s="56">
        <v>15.8</v>
      </c>
      <c r="AA210" s="56">
        <v>15.3</v>
      </c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16</v>
      </c>
      <c r="AQ210" s="71">
        <f t="shared" si="10"/>
        <v>15.9</v>
      </c>
      <c r="AR210" s="71">
        <f>IFERROR(VLOOKUP(A210,Climatologia_TMED!A:U,9+$E$2,FALSE),"")</f>
        <v>14.4377601063053</v>
      </c>
      <c r="AS210" s="71">
        <f t="shared" si="11"/>
        <v>1.4622398936947008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>
        <v>8.5</v>
      </c>
      <c r="N211" s="56">
        <v>8.1999999999999993</v>
      </c>
      <c r="O211" s="56">
        <v>8.5500000000000007</v>
      </c>
      <c r="P211" s="56">
        <v>8.6</v>
      </c>
      <c r="Q211" s="56">
        <v>7.8000000000000007</v>
      </c>
      <c r="R211" s="56">
        <v>8.3000000000000007</v>
      </c>
      <c r="S211" s="56">
        <v>8</v>
      </c>
      <c r="T211" s="56">
        <v>7.9</v>
      </c>
      <c r="U211" s="56">
        <v>8.65</v>
      </c>
      <c r="V211" s="56">
        <v>9</v>
      </c>
      <c r="W211" s="56">
        <v>8.6999999999999993</v>
      </c>
      <c r="X211" s="56">
        <v>8.85</v>
      </c>
      <c r="Y211" s="56">
        <v>9.1</v>
      </c>
      <c r="Z211" s="56">
        <v>8.4499999999999993</v>
      </c>
      <c r="AA211" s="56">
        <v>8.8000000000000007</v>
      </c>
      <c r="AB211" s="56">
        <v>8.1</v>
      </c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18</v>
      </c>
      <c r="AQ211" s="71">
        <f t="shared" si="10"/>
        <v>8.5083333333333329</v>
      </c>
      <c r="AR211" s="71">
        <f>IFERROR(VLOOKUP(A211,Climatologia_TMED!A:U,9+$E$2,FALSE),"")</f>
        <v>8.3646954462216279</v>
      </c>
      <c r="AS211" s="71">
        <f t="shared" si="11"/>
        <v>0.143637887111705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>
        <v>29.2</v>
      </c>
      <c r="O212" s="56">
        <v>29.15</v>
      </c>
      <c r="P212" s="56">
        <v>29.25</v>
      </c>
      <c r="Q212" s="56">
        <v>29.15</v>
      </c>
      <c r="R212" s="56">
        <v>29.3</v>
      </c>
      <c r="S212" s="56">
        <v>29.35</v>
      </c>
      <c r="T212" s="56">
        <v>28.6</v>
      </c>
      <c r="U212" s="56">
        <v>27.95</v>
      </c>
      <c r="V212" s="56">
        <v>28.55</v>
      </c>
      <c r="W212" s="56">
        <v>28</v>
      </c>
      <c r="X212" s="56">
        <v>28.1</v>
      </c>
      <c r="Y212" s="56">
        <v>25.25</v>
      </c>
      <c r="Z212" s="56">
        <v>26.7</v>
      </c>
      <c r="AA212" s="56">
        <v>26.45</v>
      </c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17</v>
      </c>
      <c r="AQ212" s="71">
        <f t="shared" si="10"/>
        <v>28.291176470588237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2026-09-19T15:35:18Z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2026-09-19T15:35:14Z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d0f61c3b-2d6e-42d6-9678-37f5dd7c182b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