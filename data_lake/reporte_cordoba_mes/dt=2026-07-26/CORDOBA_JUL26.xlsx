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883651A1-2CDB-42EF-8815-1E4E19435BE7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<sst xmlns="http://schemas.openxmlformats.org/spreadsheetml/2006/main" count="247" uniqueCount="52">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</sst>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73.599999999999994</c:v>
                </c:pt>
                <c:pt idx="18">
                  <c:v>109.30000000000001</c:v>
                </c:pt>
                <c:pt idx="19">
                  <c:v>36.799999999999997</c:v>
                </c:pt>
                <c:pt idx="20">
                  <c:v>2.4</c:v>
                </c:pt>
                <c:pt idx="21">
                  <c:v>107.60000000000002</c:v>
                </c:pt>
                <c:pt idx="22">
                  <c:v>103.2</c:v>
                </c:pt>
                <c:pt idx="23">
                  <c:v>0.5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4.25"/>
  <cols>
    <col min="2" max="2" width="16.25" customWidth="1"/>
    <col min="3" max="3" width="20.875" bestFit="1" customWidth="1"/>
    <col min="4" max="4" width="12.25" customWidth="1"/>
    <col min="5" max="35" width="5.875" customWidth="1"/>
    <col min="36" max="36" width="16" bestFit="1" customWidth="1"/>
    <col min="37" max="37" width="15.25" bestFit="1" customWidth="1"/>
  </cols>
  <sheetData>
    <row r="2" spans="1:37" ht="15.7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6" width="4.625" customWidth="1"/>
    <col min="27" max="27" width="5.875" customWidth="1"/>
    <col min="28" max="28" width="5.75" bestFit="1" customWidth="1"/>
    <col min="29" max="35" width="4.625" customWidth="1"/>
    <col min="36" max="36" width="16" bestFit="1" customWidth="1"/>
    <col min="37" max="37" width="14.375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F3" activePane="bottomRight" state="frozen"/>
      <selection pane="topRight" activeCell="E1" sqref="E1"/>
      <selection pane="bottomLeft" activeCell="A3" sqref="A3"/>
      <selection pane="bottomRight" activeCell="U13" sqref="U13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5" width="4.625" customWidth="1"/>
    <col min="26" max="26" width="5.375" bestFit="1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>
        <v>0</v>
      </c>
      <c r="X3" s="25">
        <v>0</v>
      </c>
      <c r="Y3" s="25">
        <v>0</v>
      </c>
      <c r="Z3" s="25">
        <v>7.9</v>
      </c>
      <c r="AA3" s="25">
        <v>64.5</v>
      </c>
      <c r="AB3" s="25"/>
      <c r="AC3" s="25"/>
      <c r="AD3" s="25"/>
      <c r="AE3" s="25"/>
      <c r="AF3" s="25"/>
      <c r="AG3" s="25"/>
      <c r="AH3" s="25"/>
      <c r="AI3" s="34"/>
      <c r="AJ3" s="36">
        <f>SUM(E3:AI3)</f>
        <v>191.3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20.2</v>
      </c>
      <c r="W4" s="25">
        <v>0</v>
      </c>
      <c r="X4" s="25">
        <v>1</v>
      </c>
      <c r="Y4" s="25">
        <v>0</v>
      </c>
      <c r="Z4" s="25">
        <v>31.8</v>
      </c>
      <c r="AA4" s="25">
        <v>6</v>
      </c>
      <c r="AB4" s="25">
        <v>0</v>
      </c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135.19999999999999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>
        <v>47</v>
      </c>
      <c r="X5" s="25">
        <v>16.399999999999999</v>
      </c>
      <c r="Y5" s="25">
        <v>0</v>
      </c>
      <c r="Z5" s="25">
        <v>33.200000000000003</v>
      </c>
      <c r="AA5" s="25">
        <v>1</v>
      </c>
      <c r="AB5" s="25">
        <v>0</v>
      </c>
      <c r="AC5" s="25"/>
      <c r="AD5" s="25"/>
      <c r="AE5" s="25"/>
      <c r="AF5" s="25"/>
      <c r="AG5" s="25"/>
      <c r="AH5" s="25"/>
      <c r="AI5" s="34"/>
      <c r="AJ5" s="36">
        <f t="shared" si="0"/>
        <v>207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>
        <v>0.8</v>
      </c>
      <c r="X6" s="25">
        <v>4.7</v>
      </c>
      <c r="Y6" s="25">
        <v>2.4</v>
      </c>
      <c r="Z6" s="25">
        <v>1.2</v>
      </c>
      <c r="AA6" s="25">
        <v>6.5</v>
      </c>
      <c r="AB6" s="25">
        <v>0.5</v>
      </c>
      <c r="AC6" s="25"/>
      <c r="AD6" s="25"/>
      <c r="AE6" s="25"/>
      <c r="AF6" s="25"/>
      <c r="AG6" s="25"/>
      <c r="AH6" s="25"/>
      <c r="AI6" s="34"/>
      <c r="AJ6" s="36">
        <f t="shared" si="0"/>
        <v>125.80000000000001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>
        <v>3</v>
      </c>
      <c r="X9" s="25">
        <v>1</v>
      </c>
      <c r="Y9" s="25">
        <v>0</v>
      </c>
      <c r="Z9" s="25">
        <v>0</v>
      </c>
      <c r="AA9" s="25">
        <v>1</v>
      </c>
      <c r="AB9" s="25">
        <v>0</v>
      </c>
      <c r="AC9" s="25"/>
      <c r="AD9" s="25"/>
      <c r="AE9" s="25"/>
      <c r="AF9" s="25"/>
      <c r="AG9" s="25"/>
      <c r="AH9" s="25"/>
      <c r="AI9" s="34"/>
      <c r="AJ9" s="36">
        <f t="shared" si="0"/>
        <v>113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/>
      <c r="W11" s="25">
        <v>17.2</v>
      </c>
      <c r="X11" s="25">
        <v>0.4</v>
      </c>
      <c r="Y11" s="25">
        <v>0</v>
      </c>
      <c r="Z11" s="25">
        <v>3.4</v>
      </c>
      <c r="AA11" s="25">
        <v>2</v>
      </c>
      <c r="AB11" s="25">
        <v>0</v>
      </c>
      <c r="AC11" s="25"/>
      <c r="AD11" s="25"/>
      <c r="AE11" s="25"/>
      <c r="AF11" s="25"/>
      <c r="AG11" s="25"/>
      <c r="AH11" s="25"/>
      <c r="AI11" s="34"/>
      <c r="AJ11" s="36">
        <f t="shared" si="0"/>
        <v>153.4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0.4</v>
      </c>
      <c r="X12" s="25">
        <v>9.3000000000000007</v>
      </c>
      <c r="Y12" s="25">
        <v>0</v>
      </c>
      <c r="Z12" s="25">
        <v>1.4</v>
      </c>
      <c r="AA12" s="25">
        <v>17.8</v>
      </c>
      <c r="AB12" s="25">
        <v>0</v>
      </c>
      <c r="AC12" s="25"/>
      <c r="AD12" s="25"/>
      <c r="AE12" s="25"/>
      <c r="AF12" s="25"/>
      <c r="AG12" s="25"/>
      <c r="AH12" s="25"/>
      <c r="AI12" s="34"/>
      <c r="AJ12" s="36">
        <f t="shared" si="0"/>
        <v>79.2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2</v>
      </c>
      <c r="W13" s="25">
        <v>26</v>
      </c>
      <c r="X13" s="25">
        <v>4</v>
      </c>
      <c r="Y13" s="25">
        <v>0</v>
      </c>
      <c r="Z13" s="25">
        <v>24</v>
      </c>
      <c r="AA13" s="25">
        <v>3</v>
      </c>
      <c r="AB13" s="25">
        <v>0</v>
      </c>
      <c r="AC13" s="25"/>
      <c r="AD13" s="25"/>
      <c r="AE13" s="25"/>
      <c r="AF13" s="25"/>
      <c r="AG13" s="25"/>
      <c r="AH13" s="25"/>
      <c r="AI13" s="34"/>
      <c r="AJ13" s="36">
        <f t="shared" si="0"/>
        <v>101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26</v>
      </c>
      <c r="W15" s="25">
        <v>14.9</v>
      </c>
      <c r="X15" s="25">
        <v>0</v>
      </c>
      <c r="Y15" s="25">
        <v>0</v>
      </c>
      <c r="Z15" s="25">
        <v>4.7</v>
      </c>
      <c r="AA15" s="25">
        <v>1.4</v>
      </c>
      <c r="AB15" s="25">
        <v>0</v>
      </c>
      <c r="AC15" s="25"/>
      <c r="AD15" s="25"/>
      <c r="AE15" s="25"/>
      <c r="AF15" s="25"/>
      <c r="AG15" s="25"/>
      <c r="AH15" s="25"/>
      <c r="AI15" s="34"/>
      <c r="AJ15" s="36">
        <f t="shared" si="0"/>
        <v>136.4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73.599999999999994</v>
      </c>
      <c r="W19" s="26">
        <f t="shared" si="1"/>
        <v>109.30000000000001</v>
      </c>
      <c r="X19" s="26">
        <f t="shared" si="1"/>
        <v>36.799999999999997</v>
      </c>
      <c r="Y19" s="26">
        <f t="shared" si="1"/>
        <v>2.4</v>
      </c>
      <c r="Z19" s="26">
        <f t="shared" si="1"/>
        <v>107.60000000000002</v>
      </c>
      <c r="AA19" s="26">
        <f t="shared" si="1"/>
        <v>103.2</v>
      </c>
      <c r="AB19" s="26">
        <f t="shared" si="1"/>
        <v>0.5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Carlos Andres Rodriguez Munoz</cp:lastModifiedBy>
  <dcterms:created xsi:type="dcterms:W3CDTF">2026-02-07T12:28:54Z</dcterms:created>
  <dcterms:modified xsi:type="dcterms:W3CDTF">2026-07-25T15:42:54Z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