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EECBAF4-8745-470B-B942-E3707D7541FA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<sst xmlns="http://schemas.openxmlformats.org/spreadsheetml/2006/main" count="247" uniqueCount="52">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</sst>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4.9000000000000004</c:v>
                </c:pt>
                <c:pt idx="1">
                  <c:v>113.8</c:v>
                </c:pt>
                <c:pt idx="2">
                  <c:v>61.5</c:v>
                </c:pt>
                <c:pt idx="3">
                  <c:v>64.7</c:v>
                </c:pt>
                <c:pt idx="4">
                  <c:v>87.9</c:v>
                </c:pt>
                <c:pt idx="5">
                  <c:v>92.7</c:v>
                </c:pt>
                <c:pt idx="6">
                  <c:v>45.8</c:v>
                </c:pt>
                <c:pt idx="7">
                  <c:v>43.2</c:v>
                </c:pt>
                <c:pt idx="8">
                  <c:v>11.5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50.3</c:v>
                </c:pt>
                <c:pt idx="13">
                  <c:v>35.1</c:v>
                </c:pt>
                <c:pt idx="14">
                  <c:v>120</c:v>
                </c:pt>
                <c:pt idx="15">
                  <c:v>163.5</c:v>
                </c:pt>
                <c:pt idx="16">
                  <c:v>50.800000000000004</c:v>
                </c:pt>
                <c:pt idx="17">
                  <c:v>16.2</c:v>
                </c:pt>
                <c:pt idx="18">
                  <c:v>3.9</c:v>
                </c:pt>
                <c:pt idx="19">
                  <c:v>60.7</c:v>
                </c:pt>
                <c:pt idx="20">
                  <c:v>0</c:v>
                </c:pt>
                <c:pt idx="21">
                  <c:v>117.1</c:v>
                </c:pt>
                <c:pt idx="22">
                  <c:v>0</c:v>
                </c:pt>
                <c:pt idx="23">
                  <c:v>0</c:v>
                </c:pt>
                <c:pt idx="24">
                  <c:v>94.4</c:v>
                </c:pt>
                <c:pt idx="25">
                  <c:v>4.7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9" sqref="AH1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0.3</v>
      </c>
      <c r="H3" s="25">
        <v>0</v>
      </c>
      <c r="I3" s="25">
        <v>0</v>
      </c>
      <c r="J3" s="25">
        <v>16.8</v>
      </c>
      <c r="K3" s="25">
        <v>1.3</v>
      </c>
      <c r="L3" s="25">
        <v>0.4</v>
      </c>
      <c r="M3" s="25">
        <v>0.6</v>
      </c>
      <c r="N3" s="25">
        <v>0</v>
      </c>
      <c r="O3" s="25">
        <v>0</v>
      </c>
      <c r="P3" s="25">
        <v>0</v>
      </c>
      <c r="Q3" s="25">
        <v>15.1</v>
      </c>
      <c r="R3" s="25">
        <v>2.2999999999999998</v>
      </c>
      <c r="S3" s="25">
        <v>14.4</v>
      </c>
      <c r="T3" s="25">
        <v>12.7</v>
      </c>
      <c r="U3" s="25">
        <v>2.2999999999999998</v>
      </c>
      <c r="V3" s="25">
        <v>1.3</v>
      </c>
      <c r="W3" s="25">
        <v>0</v>
      </c>
      <c r="X3" s="25">
        <v>0</v>
      </c>
      <c r="Y3" s="25">
        <v>0</v>
      </c>
      <c r="Z3" s="25">
        <v>4.8</v>
      </c>
      <c r="AA3" s="25">
        <v>0</v>
      </c>
      <c r="AB3" s="25">
        <v>0</v>
      </c>
      <c r="AC3" s="25">
        <v>2.4</v>
      </c>
      <c r="AD3" s="25">
        <v>0</v>
      </c>
      <c r="AE3" s="25">
        <v>0</v>
      </c>
      <c r="AF3" s="25">
        <v>0</v>
      </c>
      <c r="AG3" s="25">
        <v>0</v>
      </c>
      <c r="AH3" s="25"/>
      <c r="AI3" s="34"/>
      <c r="AJ3" s="36">
        <f>SUM(E3:AI3)</f>
        <v>74.699999999999989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/>
      <c r="J4" s="25"/>
      <c r="K4" s="25"/>
      <c r="L4" s="25">
        <v>14.8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17.5</v>
      </c>
      <c r="T4" s="25">
        <v>0</v>
      </c>
      <c r="U4" s="25">
        <v>0</v>
      </c>
      <c r="V4" s="25">
        <v>5.2</v>
      </c>
      <c r="W4" s="25">
        <v>0</v>
      </c>
      <c r="X4" s="25">
        <v>30.3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/>
      <c r="AI4" s="34"/>
      <c r="AJ4" s="36">
        <f t="shared" ref="AJ4:AJ17" si="0">SUM(E4:AI4)</f>
        <v>67.8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0</v>
      </c>
      <c r="F5" s="24">
        <v>16</v>
      </c>
      <c r="G5" s="25">
        <v>0</v>
      </c>
      <c r="H5" s="25">
        <v>55.3</v>
      </c>
      <c r="I5" s="25">
        <v>0</v>
      </c>
      <c r="J5" s="25">
        <v>3.4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3.8</v>
      </c>
      <c r="S5" s="25">
        <v>0</v>
      </c>
      <c r="T5" s="25">
        <v>2</v>
      </c>
      <c r="U5" s="25">
        <v>15.4</v>
      </c>
      <c r="V5" s="25">
        <v>0</v>
      </c>
      <c r="W5" s="25">
        <v>0</v>
      </c>
      <c r="X5" s="25">
        <v>0</v>
      </c>
      <c r="Y5" s="25">
        <v>0</v>
      </c>
      <c r="Z5" s="25">
        <v>11.9</v>
      </c>
      <c r="AA5" s="25">
        <v>0</v>
      </c>
      <c r="AB5" s="25">
        <v>0</v>
      </c>
      <c r="AC5" s="25">
        <v>17.7</v>
      </c>
      <c r="AD5" s="25">
        <v>0</v>
      </c>
      <c r="AE5" s="25">
        <v>0</v>
      </c>
      <c r="AF5" s="25">
        <v>0</v>
      </c>
      <c r="AG5" s="25">
        <v>0</v>
      </c>
      <c r="AH5" s="25"/>
      <c r="AI5" s="34"/>
      <c r="AJ5" s="36">
        <f t="shared" si="0"/>
        <v>125.50000000000001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1.4</v>
      </c>
      <c r="F6" s="24">
        <v>62.7</v>
      </c>
      <c r="G6" s="25">
        <v>8.5</v>
      </c>
      <c r="H6" s="25">
        <v>0</v>
      </c>
      <c r="I6" s="25">
        <v>0</v>
      </c>
      <c r="J6" s="25">
        <v>6.2</v>
      </c>
      <c r="K6" s="25">
        <v>41</v>
      </c>
      <c r="L6" s="25">
        <v>0</v>
      </c>
      <c r="M6" s="25">
        <v>0.8</v>
      </c>
      <c r="N6" s="25">
        <v>0</v>
      </c>
      <c r="O6" s="25">
        <v>0</v>
      </c>
      <c r="P6" s="25">
        <v>10</v>
      </c>
      <c r="Q6" s="25">
        <v>0</v>
      </c>
      <c r="R6" s="25">
        <v>22</v>
      </c>
      <c r="S6" s="25">
        <v>22.1</v>
      </c>
      <c r="T6" s="25">
        <v>28.4</v>
      </c>
      <c r="U6" s="25">
        <v>9.4</v>
      </c>
      <c r="V6" s="25">
        <v>0</v>
      </c>
      <c r="W6" s="25">
        <v>0</v>
      </c>
      <c r="X6" s="25">
        <v>2.2000000000000002</v>
      </c>
      <c r="Y6" s="25">
        <v>0</v>
      </c>
      <c r="Z6" s="25">
        <v>16.8</v>
      </c>
      <c r="AA6" s="25">
        <v>0</v>
      </c>
      <c r="AB6" s="25">
        <v>0</v>
      </c>
      <c r="AC6" s="25">
        <v>26.3</v>
      </c>
      <c r="AD6" s="25">
        <v>1.5</v>
      </c>
      <c r="AE6" s="25">
        <v>0</v>
      </c>
      <c r="AF6" s="25">
        <v>5</v>
      </c>
      <c r="AG6" s="25">
        <v>0</v>
      </c>
      <c r="AH6" s="25"/>
      <c r="AI6" s="34"/>
      <c r="AJ6" s="36">
        <f t="shared" si="0"/>
        <v>264.3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26</v>
      </c>
      <c r="G9" s="25">
        <v>4</v>
      </c>
      <c r="H9" s="25">
        <v>5</v>
      </c>
      <c r="I9" s="25">
        <v>0</v>
      </c>
      <c r="J9" s="25">
        <v>2</v>
      </c>
      <c r="K9" s="25">
        <v>3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7</v>
      </c>
      <c r="S9" s="25">
        <v>1</v>
      </c>
      <c r="T9" s="25">
        <v>0</v>
      </c>
      <c r="U9" s="25">
        <v>0</v>
      </c>
      <c r="V9" s="25">
        <v>4</v>
      </c>
      <c r="W9" s="25">
        <v>0</v>
      </c>
      <c r="X9" s="25">
        <v>26</v>
      </c>
      <c r="Y9" s="25">
        <v>0</v>
      </c>
      <c r="Z9" s="25">
        <v>16</v>
      </c>
      <c r="AA9" s="25">
        <v>0</v>
      </c>
      <c r="AB9" s="25">
        <v>0</v>
      </c>
      <c r="AC9" s="25">
        <v>29</v>
      </c>
      <c r="AD9" s="25">
        <v>0</v>
      </c>
      <c r="AE9" s="25">
        <v>0</v>
      </c>
      <c r="AF9" s="25">
        <v>0</v>
      </c>
      <c r="AG9" s="25">
        <v>0</v>
      </c>
      <c r="AH9" s="25"/>
      <c r="AI9" s="34"/>
      <c r="AJ9" s="36">
        <f t="shared" si="0"/>
        <v>123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</v>
      </c>
      <c r="F10" s="24">
        <v>0</v>
      </c>
      <c r="G10" s="25">
        <v>31.8</v>
      </c>
      <c r="H10" s="25">
        <v>3</v>
      </c>
      <c r="I10" s="25">
        <v>1.7</v>
      </c>
      <c r="J10" s="25">
        <v>23.5</v>
      </c>
      <c r="K10" s="25">
        <v>0</v>
      </c>
      <c r="L10" s="25">
        <v>0</v>
      </c>
      <c r="M10" s="25">
        <v>1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3.2</v>
      </c>
      <c r="T10" s="25">
        <v>48.9</v>
      </c>
      <c r="U10" s="25">
        <v>11.8</v>
      </c>
      <c r="V10" s="25">
        <v>0</v>
      </c>
      <c r="W10" s="25">
        <v>0</v>
      </c>
      <c r="X10" s="25">
        <v>0.2</v>
      </c>
      <c r="Y10" s="25">
        <v>0</v>
      </c>
      <c r="Z10" s="25">
        <v>24.2</v>
      </c>
      <c r="AA10" s="25">
        <v>0</v>
      </c>
      <c r="AB10" s="25">
        <v>0</v>
      </c>
      <c r="AC10" s="25">
        <v>19</v>
      </c>
      <c r="AD10" s="25">
        <v>0</v>
      </c>
      <c r="AE10" s="25">
        <v>0</v>
      </c>
      <c r="AF10" s="25">
        <v>0</v>
      </c>
      <c r="AG10" s="25">
        <v>0</v>
      </c>
      <c r="AH10" s="25"/>
      <c r="AI10" s="34"/>
      <c r="AJ10" s="36">
        <f>SUM(E10:AI10)</f>
        <v>168.29999999999998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4.5999999999999996</v>
      </c>
      <c r="G11" s="25">
        <v>0.5</v>
      </c>
      <c r="H11" s="25">
        <v>1.4</v>
      </c>
      <c r="I11" s="25">
        <v>0</v>
      </c>
      <c r="J11" s="25">
        <v>6.6</v>
      </c>
      <c r="K11" s="25">
        <v>0.5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14.5</v>
      </c>
      <c r="R11" s="25">
        <v>0</v>
      </c>
      <c r="S11" s="25">
        <v>12.8</v>
      </c>
      <c r="T11" s="25"/>
      <c r="U11" s="25">
        <v>3.3</v>
      </c>
      <c r="V11" s="25">
        <v>0</v>
      </c>
      <c r="W11" s="25">
        <v>0</v>
      </c>
      <c r="X11" s="25">
        <v>0</v>
      </c>
      <c r="Y11" s="25">
        <v>0</v>
      </c>
      <c r="Z11" s="25">
        <v>15.3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/>
      <c r="AI11" s="34"/>
      <c r="AJ11" s="36">
        <f t="shared" si="0"/>
        <v>59.5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3.5</v>
      </c>
      <c r="F12" s="24">
        <v>2.5</v>
      </c>
      <c r="G12" s="25">
        <v>0</v>
      </c>
      <c r="H12" s="25">
        <v>0</v>
      </c>
      <c r="I12" s="25">
        <v>0</v>
      </c>
      <c r="J12" s="25"/>
      <c r="K12" s="25">
        <v>0</v>
      </c>
      <c r="L12" s="25">
        <v>26</v>
      </c>
      <c r="M12" s="25">
        <v>0</v>
      </c>
      <c r="N12" s="25">
        <v>0</v>
      </c>
      <c r="O12" s="25">
        <v>0</v>
      </c>
      <c r="P12" s="25">
        <v>1</v>
      </c>
      <c r="Q12" s="25">
        <v>8.6999999999999993</v>
      </c>
      <c r="R12" s="25">
        <v>0</v>
      </c>
      <c r="S12" s="25">
        <v>1</v>
      </c>
      <c r="T12" s="25"/>
      <c r="U12" s="25">
        <v>1.6</v>
      </c>
      <c r="V12" s="25">
        <v>1.2</v>
      </c>
      <c r="W12" s="25">
        <v>0.6</v>
      </c>
      <c r="X12" s="25">
        <v>0</v>
      </c>
      <c r="Y12" s="25"/>
      <c r="Z12" s="25">
        <v>15</v>
      </c>
      <c r="AA12" s="25">
        <v>0</v>
      </c>
      <c r="AB12" s="25">
        <v>0</v>
      </c>
      <c r="AC12" s="25">
        <v>0</v>
      </c>
      <c r="AD12" s="25">
        <v>3.2</v>
      </c>
      <c r="AE12" s="25">
        <v>0</v>
      </c>
      <c r="AF12" s="25">
        <v>0</v>
      </c>
      <c r="AG12" s="25">
        <v>0</v>
      </c>
      <c r="AH12" s="25"/>
      <c r="AI12" s="34"/>
      <c r="AJ12" s="36">
        <f t="shared" si="0"/>
        <v>64.300000000000011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2</v>
      </c>
      <c r="G13" s="25">
        <v>3</v>
      </c>
      <c r="H13" s="25">
        <v>0</v>
      </c>
      <c r="I13" s="25">
        <v>0</v>
      </c>
      <c r="J13" s="25">
        <v>7</v>
      </c>
      <c r="K13" s="25">
        <v>0</v>
      </c>
      <c r="L13" s="25">
        <v>2</v>
      </c>
      <c r="M13" s="25">
        <v>0</v>
      </c>
      <c r="N13" s="25">
        <v>0</v>
      </c>
      <c r="O13" s="25">
        <v>0</v>
      </c>
      <c r="P13" s="25">
        <v>0</v>
      </c>
      <c r="Q13" s="25">
        <v>2</v>
      </c>
      <c r="R13" s="25">
        <v>0</v>
      </c>
      <c r="S13" s="25">
        <v>6</v>
      </c>
      <c r="T13" s="25">
        <v>28</v>
      </c>
      <c r="U13" s="25">
        <v>7</v>
      </c>
      <c r="V13" s="25">
        <v>0</v>
      </c>
      <c r="W13" s="25">
        <v>0</v>
      </c>
      <c r="X13" s="25">
        <v>2</v>
      </c>
      <c r="Y13" s="25">
        <v>0</v>
      </c>
      <c r="Z13" s="25">
        <v>10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/>
      <c r="AI13" s="34"/>
      <c r="AJ13" s="36">
        <f t="shared" si="0"/>
        <v>69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0</v>
      </c>
      <c r="H14" s="25">
        <v>0</v>
      </c>
      <c r="I14" s="25">
        <v>86.2</v>
      </c>
      <c r="J14" s="25">
        <v>6.2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2</v>
      </c>
      <c r="R14" s="25">
        <v>0</v>
      </c>
      <c r="S14" s="25">
        <v>0</v>
      </c>
      <c r="T14" s="25">
        <v>35.200000000000003</v>
      </c>
      <c r="U14" s="25">
        <v>0</v>
      </c>
      <c r="V14" s="25">
        <v>2</v>
      </c>
      <c r="W14" s="25">
        <v>0</v>
      </c>
      <c r="X14" s="25">
        <v>0</v>
      </c>
      <c r="Y14" s="25">
        <v>0</v>
      </c>
      <c r="Z14" s="25">
        <v>2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/>
      <c r="AI14" s="34"/>
      <c r="AJ14" s="36">
        <f>SUM(E14:AI14)</f>
        <v>133.60000000000002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/>
      <c r="G15" s="25">
        <v>13.4</v>
      </c>
      <c r="H15" s="25">
        <v>0</v>
      </c>
      <c r="I15" s="25">
        <v>0</v>
      </c>
      <c r="J15" s="25">
        <v>21</v>
      </c>
      <c r="K15" s="25">
        <v>0</v>
      </c>
      <c r="L15" s="25">
        <v>0</v>
      </c>
      <c r="M15" s="25">
        <v>9.1</v>
      </c>
      <c r="N15" s="25">
        <v>0</v>
      </c>
      <c r="O15" s="25">
        <v>0</v>
      </c>
      <c r="P15" s="25">
        <v>0</v>
      </c>
      <c r="Q15" s="25">
        <v>8</v>
      </c>
      <c r="R15" s="25">
        <v>0</v>
      </c>
      <c r="S15" s="25">
        <v>42</v>
      </c>
      <c r="T15" s="25">
        <v>8.3000000000000007</v>
      </c>
      <c r="U15" s="25">
        <v>0</v>
      </c>
      <c r="V15" s="25">
        <v>2.5</v>
      </c>
      <c r="W15" s="25">
        <v>3.3</v>
      </c>
      <c r="X15" s="25">
        <v>0</v>
      </c>
      <c r="Y15" s="25">
        <v>0</v>
      </c>
      <c r="Z15" s="25">
        <v>1.1000000000000001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/>
      <c r="AI15" s="34"/>
      <c r="AJ15" s="36">
        <f t="shared" si="0"/>
        <v>108.69999999999999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4.9000000000000004</v>
      </c>
      <c r="F19" s="26">
        <f t="shared" ref="F19:AI19" si="1">IF(COUNT(F3:F17)&gt;0,SUM(F3:F17),-1)</f>
        <v>113.8</v>
      </c>
      <c r="G19" s="26">
        <f t="shared" si="1"/>
        <v>61.5</v>
      </c>
      <c r="H19" s="26">
        <f t="shared" si="1"/>
        <v>64.7</v>
      </c>
      <c r="I19" s="26">
        <f t="shared" si="1"/>
        <v>87.9</v>
      </c>
      <c r="J19" s="26">
        <f t="shared" si="1"/>
        <v>92.7</v>
      </c>
      <c r="K19" s="26">
        <f t="shared" si="1"/>
        <v>45.8</v>
      </c>
      <c r="L19" s="26">
        <f t="shared" si="1"/>
        <v>43.2</v>
      </c>
      <c r="M19" s="26">
        <f t="shared" si="1"/>
        <v>11.5</v>
      </c>
      <c r="N19" s="26">
        <f t="shared" si="1"/>
        <v>0</v>
      </c>
      <c r="O19" s="26">
        <f t="shared" si="1"/>
        <v>0</v>
      </c>
      <c r="P19" s="26">
        <f t="shared" si="1"/>
        <v>11</v>
      </c>
      <c r="Q19" s="26">
        <f t="shared" si="1"/>
        <v>50.3</v>
      </c>
      <c r="R19" s="26">
        <f t="shared" si="1"/>
        <v>35.1</v>
      </c>
      <c r="S19" s="26">
        <f t="shared" si="1"/>
        <v>120</v>
      </c>
      <c r="T19" s="26">
        <f t="shared" si="1"/>
        <v>163.5</v>
      </c>
      <c r="U19" s="26">
        <f t="shared" si="1"/>
        <v>50.800000000000004</v>
      </c>
      <c r="V19" s="26">
        <f t="shared" si="1"/>
        <v>16.2</v>
      </c>
      <c r="W19" s="26">
        <f t="shared" si="1"/>
        <v>3.9</v>
      </c>
      <c r="X19" s="26">
        <f t="shared" si="1"/>
        <v>60.7</v>
      </c>
      <c r="Y19" s="26">
        <f t="shared" si="1"/>
        <v>0</v>
      </c>
      <c r="Z19" s="26">
        <f t="shared" si="1"/>
        <v>117.1</v>
      </c>
      <c r="AA19" s="26">
        <f t="shared" si="1"/>
        <v>0</v>
      </c>
      <c r="AB19" s="26">
        <f t="shared" si="1"/>
        <v>0</v>
      </c>
      <c r="AC19" s="26">
        <f t="shared" si="1"/>
        <v>94.4</v>
      </c>
      <c r="AD19" s="26">
        <f t="shared" si="1"/>
        <v>4.7</v>
      </c>
      <c r="AE19" s="26">
        <f t="shared" si="1"/>
        <v>0</v>
      </c>
      <c r="AF19" s="26">
        <f t="shared" si="1"/>
        <v>5</v>
      </c>
      <c r="AG19" s="26">
        <f t="shared" si="1"/>
        <v>0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Jhon Fredy Bermúdez González</cp:lastModifiedBy>
  <dcterms:created xsi:type="dcterms:W3CDTF">2026-02-07T12:28:54Z</dcterms:created>
  <dcterms:modified xsi:type="dcterms:W3CDTF">2026-06-30T15:55:01Z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