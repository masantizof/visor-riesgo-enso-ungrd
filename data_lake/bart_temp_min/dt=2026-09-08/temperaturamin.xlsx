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E5BFA918-9C12-4EBA-9EC7-EE6F36D5ADBD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Temperatura!$A$4:$AW$208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S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W103" i="1" s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W101" i="1" s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W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W87" i="1" s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W85" i="1" s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/>
  <c r="AT78" i="1"/>
  <c r="AR78" i="1"/>
  <c r="AP78" i="1"/>
  <c r="AQ78" i="1" s="1"/>
  <c r="AV77" i="1" a="1"/>
  <c r="AV77" i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W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S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/>
  <c r="AT56" i="1"/>
  <c r="AR56" i="1"/>
  <c r="AP56" i="1"/>
  <c r="AQ56" i="1" s="1"/>
  <c r="AV55" i="1" a="1"/>
  <c r="AV55" i="1" s="1"/>
  <c r="AU55" i="1" a="1"/>
  <c r="AU55" i="1" s="1"/>
  <c r="AT55" i="1"/>
  <c r="AW55" i="1" s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W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W49" i="1" s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/>
  <c r="AU34" i="1" a="1"/>
  <c r="AU34" i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/>
  <c r="AU29" i="1" a="1"/>
  <c r="AU29" i="1" s="1"/>
  <c r="AT29" i="1"/>
  <c r="AR29" i="1"/>
  <c r="AP29" i="1"/>
  <c r="AQ29" i="1" s="1"/>
  <c r="AS29" i="1" s="1"/>
  <c r="AV28" i="1" a="1"/>
  <c r="AV28" i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/>
  <c r="AU23" i="1" a="1"/>
  <c r="AU23" i="1"/>
  <c r="AT23" i="1"/>
  <c r="AR23" i="1"/>
  <c r="AP23" i="1"/>
  <c r="AQ23" i="1" s="1"/>
  <c r="AV22" i="1" a="1"/>
  <c r="AV22" i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/>
  <c r="AU20" i="1" a="1"/>
  <c r="AU20" i="1" s="1"/>
  <c r="AT20" i="1"/>
  <c r="AR20" i="1"/>
  <c r="AP20" i="1"/>
  <c r="AQ20" i="1" s="1"/>
  <c r="AV19" i="1" a="1"/>
  <c r="AV19" i="1"/>
  <c r="AU19" i="1" a="1"/>
  <c r="AU19" i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/>
  <c r="AU16" i="1" a="1"/>
  <c r="AU16" i="1"/>
  <c r="AT16" i="1"/>
  <c r="AR16" i="1"/>
  <c r="AP16" i="1"/>
  <c r="AQ16" i="1" s="1"/>
  <c r="AV15" i="1" a="1"/>
  <c r="AV15" i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/>
  <c r="AT12" i="1"/>
  <c r="AW12" i="1" s="1"/>
  <c r="AR12" i="1"/>
  <c r="AP12" i="1"/>
  <c r="AQ12" i="1" s="1"/>
  <c r="AV11" i="1" a="1"/>
  <c r="AV11" i="1"/>
  <c r="AU11" i="1" a="1"/>
  <c r="AU11" i="1" s="1"/>
  <c r="AT11" i="1"/>
  <c r="AR11" i="1"/>
  <c r="AP11" i="1"/>
  <c r="AQ11" i="1" s="1"/>
  <c r="AV10" i="1" a="1"/>
  <c r="AV10" i="1"/>
  <c r="AU10" i="1" a="1"/>
  <c r="AU10" i="1" s="1"/>
  <c r="AT10" i="1"/>
  <c r="AR10" i="1"/>
  <c r="AP10" i="1"/>
  <c r="AQ10" i="1" s="1"/>
  <c r="AV9" i="1" a="1"/>
  <c r="AV9" i="1" s="1"/>
  <c r="AU9" i="1" a="1"/>
  <c r="AU9" i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/>
  <c r="AU6" i="1" a="1"/>
  <c r="AU6" i="1" s="1"/>
  <c r="AT6" i="1"/>
  <c r="AR6" i="1"/>
  <c r="AP6" i="1"/>
  <c r="AQ6" i="1" s="1"/>
  <c r="AV5" i="1" a="1"/>
  <c r="AV5" i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89" i="1" l="1"/>
  <c r="AW59" i="1"/>
  <c r="AW65" i="1"/>
  <c r="AW47" i="1"/>
  <c r="AS40" i="1"/>
  <c r="AS44" i="1"/>
  <c r="AS102" i="1"/>
  <c r="AS106" i="1"/>
  <c r="AS110" i="1"/>
  <c r="AW161" i="1"/>
  <c r="AW56" i="1"/>
  <c r="AS68" i="1"/>
  <c r="AS72" i="1"/>
  <c r="AS158" i="1"/>
  <c r="AS190" i="1"/>
  <c r="AS202" i="1"/>
  <c r="AS206" i="1"/>
  <c r="AW6" i="1"/>
  <c r="AW44" i="1"/>
  <c r="AS45" i="1"/>
  <c r="AS80" i="1"/>
  <c r="AW91" i="1"/>
  <c r="AS139" i="1"/>
  <c r="AS7" i="1"/>
  <c r="AW34" i="1"/>
  <c r="AS42" i="1"/>
  <c r="AW61" i="1"/>
  <c r="AS100" i="1"/>
  <c r="AS112" i="1"/>
  <c r="AW143" i="1"/>
  <c r="AS34" i="1"/>
  <c r="AW41" i="1"/>
  <c r="AW23" i="1"/>
  <c r="AS46" i="1"/>
  <c r="AS31" i="1"/>
  <c r="AW27" i="1"/>
  <c r="AW81" i="1"/>
  <c r="AS192" i="1"/>
  <c r="AS196" i="1"/>
  <c r="AS204" i="1"/>
  <c r="AS28" i="1"/>
  <c r="AS35" i="1"/>
  <c r="AS43" i="1"/>
  <c r="AS113" i="1"/>
  <c r="AS18" i="1"/>
  <c r="AS47" i="1"/>
  <c r="AS82" i="1"/>
  <c r="AW21" i="1"/>
  <c r="AS6" i="1"/>
  <c r="AW37" i="1"/>
  <c r="AS56" i="1"/>
  <c r="AS63" i="1"/>
  <c r="AS115" i="1"/>
  <c r="AS162" i="1"/>
  <c r="AS166" i="1"/>
  <c r="AS78" i="1"/>
  <c r="AS119" i="1"/>
  <c r="AS170" i="1"/>
  <c r="AS174" i="1"/>
  <c r="AS182" i="1"/>
  <c r="AS131" i="1"/>
  <c r="AS16" i="1"/>
  <c r="AW22" i="1"/>
  <c r="AW38" i="1"/>
  <c r="AS198" i="1"/>
  <c r="AS10" i="1"/>
  <c r="AS13" i="1"/>
  <c r="AS50" i="1"/>
  <c r="AW53" i="1"/>
  <c r="AS67" i="1"/>
  <c r="AS86" i="1"/>
  <c r="AS159" i="1"/>
  <c r="AS163" i="1"/>
  <c r="AW67" i="1"/>
  <c r="AW71" i="1"/>
  <c r="AS97" i="1"/>
  <c r="AS120" i="1"/>
  <c r="AS179" i="1"/>
  <c r="AW75" i="1"/>
  <c r="AW86" i="1"/>
  <c r="AW97" i="1"/>
  <c r="AS105" i="1"/>
  <c r="AS132" i="1"/>
  <c r="AW175" i="1"/>
  <c r="AS199" i="1"/>
  <c r="AS203" i="1"/>
  <c r="AW45" i="1"/>
  <c r="AW13" i="1"/>
  <c r="AW32" i="1"/>
  <c r="AW35" i="1"/>
  <c r="AS20" i="1"/>
  <c r="AW43" i="1"/>
  <c r="AW105" i="1"/>
  <c r="AS152" i="1"/>
  <c r="AS156" i="1"/>
  <c r="AS160" i="1"/>
  <c r="AS164" i="1"/>
  <c r="AW191" i="1"/>
  <c r="AW28" i="1"/>
  <c r="AS11" i="1"/>
  <c r="AS14" i="1"/>
  <c r="AS17" i="1"/>
  <c r="AW83" i="1"/>
  <c r="AS98" i="1"/>
  <c r="AS176" i="1"/>
  <c r="AS180" i="1"/>
  <c r="AW51" i="1"/>
  <c r="AW76" i="1"/>
  <c r="AW58" i="1"/>
  <c r="AS91" i="1"/>
  <c r="AS95" i="1"/>
  <c r="AW121" i="1"/>
  <c r="AW125" i="1"/>
  <c r="AS200" i="1"/>
  <c r="AS208" i="1"/>
  <c r="AW8" i="1"/>
  <c r="AW17" i="1"/>
  <c r="AS27" i="1"/>
  <c r="AS30" i="1"/>
  <c r="AS62" i="1"/>
  <c r="AS77" i="1"/>
  <c r="AS114" i="1"/>
  <c r="AS161" i="1"/>
  <c r="AS165" i="1"/>
  <c r="AW69" i="1"/>
  <c r="AS99" i="1"/>
  <c r="AW145" i="1"/>
  <c r="AW149" i="1"/>
  <c r="AS169" i="1"/>
  <c r="AS173" i="1"/>
  <c r="AW30" i="1"/>
  <c r="AW33" i="1"/>
  <c r="AS9" i="1"/>
  <c r="AS12" i="1"/>
  <c r="AW77" i="1"/>
  <c r="AW84" i="1"/>
  <c r="AS107" i="1"/>
  <c r="AS130" i="1"/>
  <c r="AS134" i="1"/>
  <c r="AS201" i="1"/>
  <c r="AW72" i="1"/>
  <c r="AW90" i="1"/>
  <c r="AW48" i="1"/>
  <c r="AW64" i="1"/>
  <c r="AS187" i="1"/>
  <c r="AS52" i="1"/>
  <c r="AS71" i="1"/>
  <c r="AW80" i="1"/>
  <c r="AS104" i="1"/>
  <c r="AS111" i="1"/>
  <c r="AW129" i="1"/>
  <c r="AW133" i="1"/>
  <c r="AS137" i="1"/>
  <c r="AS141" i="1"/>
  <c r="AS172" i="1"/>
  <c r="AW183" i="1"/>
  <c r="AS191" i="1"/>
  <c r="AW24" i="1"/>
  <c r="AS33" i="1"/>
  <c r="AS36" i="1"/>
  <c r="AS39" i="1"/>
  <c r="AS55" i="1"/>
  <c r="AS58" i="1"/>
  <c r="AS84" i="1"/>
  <c r="AS87" i="1"/>
  <c r="AW93" i="1"/>
  <c r="AS122" i="1"/>
  <c r="AS145" i="1"/>
  <c r="AS149" i="1"/>
  <c r="AS195" i="1"/>
  <c r="AS49" i="1"/>
  <c r="AW111" i="1"/>
  <c r="AW137" i="1"/>
  <c r="AW141" i="1"/>
  <c r="AS153" i="1"/>
  <c r="AS157" i="1"/>
  <c r="AW42" i="1"/>
  <c r="AW7" i="1"/>
  <c r="AW10" i="1"/>
  <c r="AW36" i="1"/>
  <c r="AS19" i="1"/>
  <c r="AW39" i="1"/>
  <c r="AS81" i="1"/>
  <c r="AS101" i="1"/>
  <c r="AS108" i="1"/>
  <c r="AW153" i="1"/>
  <c r="AS188" i="1"/>
  <c r="AW199" i="1"/>
  <c r="AW16" i="1"/>
  <c r="AS22" i="1"/>
  <c r="AW68" i="1"/>
  <c r="AS59" i="1"/>
  <c r="AW78" i="1"/>
  <c r="AS85" i="1"/>
  <c r="AS88" i="1"/>
  <c r="AW119" i="1"/>
  <c r="AS127" i="1"/>
  <c r="AS154" i="1"/>
  <c r="AW169" i="1"/>
  <c r="AS177" i="1"/>
  <c r="AS181" i="1"/>
  <c r="AW207" i="1"/>
  <c r="AW46" i="1"/>
  <c r="AW62" i="1"/>
  <c r="AS8" i="1"/>
  <c r="AW19" i="1"/>
  <c r="AW20" i="1"/>
  <c r="AP2" i="1"/>
  <c r="AW54" i="1"/>
  <c r="AS21" i="1"/>
  <c r="AS66" i="1"/>
  <c r="AS109" i="1"/>
  <c r="AS116" i="1"/>
  <c r="AW127" i="1"/>
  <c r="AS135" i="1"/>
  <c r="AW177" i="1"/>
  <c r="AS185" i="1"/>
  <c r="AS189" i="1"/>
  <c r="AW88" i="1"/>
  <c r="AW66" i="1"/>
  <c r="AW109" i="1"/>
  <c r="AS124" i="1"/>
  <c r="AW135" i="1"/>
  <c r="AS143" i="1"/>
  <c r="AS147" i="1"/>
  <c r="AS193" i="1"/>
  <c r="AS197" i="1"/>
  <c r="AW29" i="1"/>
  <c r="AW9" i="1"/>
  <c r="AW57" i="1"/>
  <c r="AW70" i="1"/>
  <c r="AW15" i="1"/>
  <c r="AW18" i="1"/>
  <c r="AW5" i="1"/>
  <c r="AW25" i="1"/>
  <c r="AW31" i="1"/>
  <c r="AW11" i="1"/>
  <c r="AW14" i="1"/>
  <c r="AS23" i="1"/>
  <c r="AS26" i="1"/>
  <c r="AS41" i="1"/>
  <c r="AW50" i="1"/>
  <c r="AW63" i="1"/>
  <c r="AS76" i="1"/>
  <c r="AS79" i="1"/>
  <c r="AW82" i="1"/>
  <c r="AW95" i="1"/>
  <c r="AS128" i="1"/>
  <c r="AS151" i="1"/>
  <c r="AS155" i="1"/>
  <c r="AS178" i="1"/>
  <c r="AW208" i="1"/>
  <c r="AW26" i="1"/>
  <c r="AS32" i="1"/>
  <c r="AS38" i="1"/>
  <c r="AS51" i="1"/>
  <c r="AS54" i="1"/>
  <c r="AS117" i="1"/>
  <c r="AS136" i="1"/>
  <c r="AW151" i="1"/>
  <c r="AS167" i="1"/>
  <c r="AS186" i="1"/>
  <c r="AS205" i="1"/>
  <c r="AS57" i="1"/>
  <c r="AW60" i="1"/>
  <c r="AW79" i="1"/>
  <c r="AS83" i="1"/>
  <c r="AS92" i="1"/>
  <c r="AS96" i="1"/>
  <c r="AS103" i="1"/>
  <c r="AW113" i="1"/>
  <c r="AS140" i="1"/>
  <c r="AW159" i="1"/>
  <c r="AS171" i="1"/>
  <c r="AS64" i="1"/>
  <c r="AW73" i="1"/>
  <c r="AW117" i="1"/>
  <c r="AS121" i="1"/>
  <c r="AS125" i="1"/>
  <c r="AS144" i="1"/>
  <c r="AS148" i="1"/>
  <c r="AW167" i="1"/>
  <c r="AS175" i="1"/>
  <c r="AS194" i="1"/>
  <c r="AW40" i="1"/>
  <c r="AW94" i="1"/>
  <c r="AW102" i="1"/>
  <c r="AW110" i="1"/>
  <c r="AW118" i="1"/>
  <c r="AW126" i="1"/>
  <c r="AW134" i="1"/>
  <c r="AW142" i="1"/>
  <c r="AW150" i="1"/>
  <c r="AW158" i="1"/>
  <c r="AW166" i="1"/>
  <c r="AW174" i="1"/>
  <c r="AW182" i="1"/>
  <c r="AW190" i="1"/>
  <c r="AW198" i="1"/>
  <c r="AW206" i="1"/>
  <c r="AW185" i="1"/>
  <c r="AW193" i="1"/>
  <c r="AW201" i="1"/>
  <c r="AW100" i="1"/>
  <c r="AW108" i="1"/>
  <c r="AW116" i="1"/>
  <c r="AW124" i="1"/>
  <c r="AW132" i="1"/>
  <c r="AW140" i="1"/>
  <c r="AW148" i="1"/>
  <c r="AW156" i="1"/>
  <c r="AW164" i="1"/>
  <c r="AW172" i="1"/>
  <c r="AW180" i="1"/>
  <c r="AW188" i="1"/>
  <c r="AW196" i="1"/>
  <c r="AW204" i="1"/>
  <c r="AW98" i="1"/>
  <c r="AW106" i="1"/>
  <c r="AW114" i="1"/>
  <c r="AW122" i="1"/>
  <c r="AW130" i="1"/>
  <c r="AW138" i="1"/>
  <c r="AW146" i="1"/>
  <c r="AW154" i="1"/>
  <c r="AW162" i="1"/>
  <c r="AW170" i="1"/>
  <c r="AW178" i="1"/>
  <c r="AW186" i="1"/>
  <c r="AW194" i="1"/>
  <c r="AW202" i="1"/>
  <c r="AW157" i="1"/>
  <c r="AW165" i="1"/>
  <c r="AW173" i="1"/>
  <c r="AW181" i="1"/>
  <c r="AW189" i="1"/>
  <c r="AW197" i="1"/>
  <c r="AW205" i="1"/>
  <c r="AW96" i="1"/>
  <c r="AW104" i="1"/>
  <c r="AW112" i="1"/>
  <c r="AW120" i="1"/>
  <c r="AW128" i="1"/>
  <c r="AW136" i="1"/>
  <c r="AW144" i="1"/>
  <c r="AW152" i="1"/>
  <c r="AW160" i="1"/>
  <c r="AW168" i="1"/>
  <c r="AW176" i="1"/>
  <c r="AW184" i="1"/>
  <c r="AW192" i="1"/>
  <c r="AW200" i="1"/>
  <c r="AW99" i="1"/>
  <c r="AW107" i="1"/>
  <c r="AW115" i="1"/>
  <c r="AW123" i="1"/>
  <c r="AW131" i="1"/>
  <c r="AW139" i="1"/>
  <c r="AW147" i="1"/>
  <c r="AW155" i="1"/>
  <c r="AW163" i="1"/>
  <c r="AW171" i="1"/>
  <c r="AW179" i="1"/>
  <c r="AW187" i="1"/>
  <c r="AW195" i="1"/>
  <c r="AW203" i="1"/>
</calcChain>
</file>

<file path=xl/sharedStrings.xml><?xml version="1.0" encoding="utf-8"?>
<sst xmlns="http://schemas.openxmlformats.org/spreadsheetml/2006/main" count="3543" uniqueCount="1271">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</sst>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8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66" fontId="50" fillId="0" borderId="12" xfId="0" applyNumberFormat="1" applyFont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Q1" zoomScale="80" zoomScaleNormal="80" workbookViewId="0">
      <selection activeCell="AO5" sqref="AO5:AO208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58.7109375" style="74" bestFit="1" customWidth="1"/>
    <col min="10" max="10" width="31" style="74" bestFit="1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78" width="32.42578125" style="74" customWidth="1"/>
    <col min="179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SEPTIEMBRE</v>
      </c>
      <c r="E2" s="82">
        <v>9</v>
      </c>
      <c r="F2" s="82" t="s">
        <v>3</v>
      </c>
      <c r="G2" s="82">
        <v>2026</v>
      </c>
      <c r="H2" s="72" t="s">
        <v>4</v>
      </c>
      <c r="I2" s="72">
        <f>VLOOKUP(E2,Minimos!AS1:AU13,3,FALSE)</f>
        <v>30</v>
      </c>
      <c r="J2" s="72" t="s">
        <v>5</v>
      </c>
      <c r="K2" s="89">
        <f t="shared" ref="K2:AO2" si="0">MIN(K5:K208)</f>
        <v>2</v>
      </c>
      <c r="L2" s="89">
        <f t="shared" si="0"/>
        <v>3</v>
      </c>
      <c r="M2" s="89">
        <f t="shared" si="0"/>
        <v>3.4</v>
      </c>
      <c r="N2" s="89">
        <f t="shared" si="0"/>
        <v>3.8</v>
      </c>
      <c r="O2" s="89">
        <f t="shared" si="0"/>
        <v>2.6</v>
      </c>
      <c r="P2" s="89">
        <f t="shared" si="0"/>
        <v>2.4</v>
      </c>
      <c r="Q2" s="89">
        <f t="shared" si="0"/>
        <v>2.2000000000000002</v>
      </c>
      <c r="R2" s="89">
        <f t="shared" si="0"/>
        <v>3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26.8</v>
      </c>
      <c r="L5" s="51">
        <v>26.5</v>
      </c>
      <c r="M5" s="51">
        <v>28</v>
      </c>
      <c r="N5" s="51">
        <v>27.6</v>
      </c>
      <c r="O5" s="51">
        <v>27.7</v>
      </c>
      <c r="P5" s="51">
        <v>27.4</v>
      </c>
      <c r="Q5" s="51">
        <v>27.4</v>
      </c>
      <c r="R5" s="51">
        <v>26.3</v>
      </c>
      <c r="S5" s="51"/>
      <c r="T5" s="51"/>
      <c r="U5" s="51"/>
      <c r="V5" s="51"/>
      <c r="W5" s="51"/>
      <c r="X5" s="51"/>
      <c r="Y5" s="51"/>
      <c r="Z5" s="111"/>
      <c r="AA5" s="51"/>
      <c r="AB5" s="51"/>
      <c r="AC5" s="116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8</v>
      </c>
      <c r="AQ5" s="89" t="str">
        <f t="shared" ref="AQ5:AQ68" si="2">IF(AP5&gt;14,AVERAGE(K5:AO5),"")</f>
        <v/>
      </c>
      <c r="AR5" s="89">
        <f>IFERROR(VLOOKUP(A5,Climatologia!A:U,9+$E$2,FALSE),"")</f>
        <v>26.01813723632689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26.3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21.2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31677</v>
      </c>
      <c r="AW5" s="92">
        <f t="shared" ref="AW5:AW68" si="5">IF(OR(AT5="",AU5=""),"NA",IFERROR(AT5-AU5,"NA"))</f>
        <v>5.1000000000000014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26.1</v>
      </c>
      <c r="L6" s="51">
        <v>27.4</v>
      </c>
      <c r="M6" s="51">
        <v>28.1</v>
      </c>
      <c r="N6" s="51">
        <v>27.6</v>
      </c>
      <c r="O6" s="51">
        <v>28.1</v>
      </c>
      <c r="P6" s="51">
        <v>26.4</v>
      </c>
      <c r="Q6" s="51">
        <v>27.8</v>
      </c>
      <c r="R6" s="51">
        <v>28.4</v>
      </c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8</v>
      </c>
      <c r="AQ6" s="89" t="str">
        <f t="shared" si="2"/>
        <v/>
      </c>
      <c r="AR6" s="89">
        <f>IFERROR(VLOOKUP(A6,Climatologia!A:U,9+$E$2,FALSE),"")</f>
        <v>25.709567576944131</v>
      </c>
      <c r="AS6" s="89" t="str">
        <f t="shared" si="3"/>
        <v/>
      </c>
      <c r="AT6" s="90">
        <f t="shared" si="4"/>
        <v>26.1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22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31680</v>
      </c>
      <c r="AW6" s="92">
        <f t="shared" si="5"/>
        <v>4.1000000000000014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27.6</v>
      </c>
      <c r="L7" s="51">
        <v>25.8</v>
      </c>
      <c r="M7" s="51">
        <v>26.4</v>
      </c>
      <c r="N7" s="51">
        <v>26.2</v>
      </c>
      <c r="O7" s="51">
        <v>27</v>
      </c>
      <c r="P7" s="51">
        <v>26.2</v>
      </c>
      <c r="Q7" s="51">
        <v>26.2</v>
      </c>
      <c r="R7" s="51">
        <v>26.9</v>
      </c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8</v>
      </c>
      <c r="AQ7" s="89" t="str">
        <f t="shared" si="2"/>
        <v/>
      </c>
      <c r="AR7" s="89">
        <f>IFERROR(VLOOKUP(A7,Climatologia!A:U,9+$E$2,FALSE),"")</f>
        <v>24.686654351395731</v>
      </c>
      <c r="AS7" s="89" t="str">
        <f t="shared" si="3"/>
        <v/>
      </c>
      <c r="AT7" s="90">
        <f t="shared" si="4"/>
        <v>25.8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21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7" s="92">
        <f t="shared" si="5"/>
        <v>4.8000000000000007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26.9</v>
      </c>
      <c r="L8" s="51">
        <v>26.4</v>
      </c>
      <c r="M8" s="51">
        <v>26.3</v>
      </c>
      <c r="N8" s="51">
        <v>26.9</v>
      </c>
      <c r="O8" s="51">
        <v>27.5</v>
      </c>
      <c r="P8" s="51">
        <v>27.7</v>
      </c>
      <c r="Q8" s="51">
        <v>25.4</v>
      </c>
      <c r="R8" s="51">
        <v>28.3</v>
      </c>
      <c r="S8" s="51"/>
      <c r="T8" s="51"/>
      <c r="U8" s="51"/>
      <c r="V8" s="51"/>
      <c r="W8" s="51"/>
      <c r="X8" s="51"/>
      <c r="Y8" s="51"/>
      <c r="Z8" s="111"/>
      <c r="AA8" s="116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8</v>
      </c>
      <c r="AQ8" s="89" t="str">
        <f t="shared" si="2"/>
        <v/>
      </c>
      <c r="AR8" s="89">
        <f>IFERROR(VLOOKUP(A8,Climatologia!A:U,9+$E$2,FALSE),"")</f>
        <v>25.822663111099491</v>
      </c>
      <c r="AS8" s="89" t="str">
        <f t="shared" si="3"/>
        <v/>
      </c>
      <c r="AT8" s="90">
        <f t="shared" si="4"/>
        <v>25.4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30955</v>
      </c>
      <c r="AW8" s="92">
        <f t="shared" si="5"/>
        <v>3.7999999999999972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24.9</v>
      </c>
      <c r="L9" s="51">
        <v>27.1</v>
      </c>
      <c r="M9" s="51">
        <v>25.3</v>
      </c>
      <c r="N9" s="51">
        <v>26</v>
      </c>
      <c r="O9" s="51">
        <v>26.9</v>
      </c>
      <c r="P9" s="51">
        <v>26.3</v>
      </c>
      <c r="Q9" s="51">
        <v>25.7</v>
      </c>
      <c r="R9" s="51">
        <v>26.7</v>
      </c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8</v>
      </c>
      <c r="AQ9" s="89" t="str">
        <f t="shared" si="2"/>
        <v/>
      </c>
      <c r="AR9" s="89">
        <f>IFERROR(VLOOKUP(A9,Climatologia!A:U,9+$E$2,FALSE),"")</f>
        <v>24.328670251361899</v>
      </c>
      <c r="AS9" s="89" t="str">
        <f t="shared" si="3"/>
        <v/>
      </c>
      <c r="AT9" s="90">
        <f t="shared" si="4"/>
        <v>24.9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35333</v>
      </c>
      <c r="AW9" s="92">
        <f t="shared" si="5"/>
        <v>4.5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25.7</v>
      </c>
      <c r="L10" s="51">
        <v>26.7</v>
      </c>
      <c r="M10" s="51">
        <v>28.5</v>
      </c>
      <c r="N10" s="51">
        <v>27.5</v>
      </c>
      <c r="O10" s="51">
        <v>28.7</v>
      </c>
      <c r="P10" s="51">
        <v>28.9</v>
      </c>
      <c r="Q10" s="51">
        <v>29.3</v>
      </c>
      <c r="R10" s="51">
        <v>28.6</v>
      </c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8</v>
      </c>
      <c r="AQ10" s="89" t="str">
        <f t="shared" si="2"/>
        <v/>
      </c>
      <c r="AR10" s="89">
        <f>IFERROR(VLOOKUP(A10,Climatologia!A:U,9+$E$2,FALSE),"")</f>
        <v>24.807709685406738</v>
      </c>
      <c r="AS10" s="89" t="str">
        <f t="shared" si="3"/>
        <v/>
      </c>
      <c r="AT10" s="90">
        <f t="shared" si="4"/>
        <v>25.7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19.2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34599</v>
      </c>
      <c r="AW10" s="92">
        <f t="shared" si="5"/>
        <v>6.5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23.4</v>
      </c>
      <c r="L11" s="51">
        <v>24.4</v>
      </c>
      <c r="M11" s="51">
        <v>24.8</v>
      </c>
      <c r="N11" s="51">
        <v>24.6</v>
      </c>
      <c r="O11" s="51">
        <v>26.8</v>
      </c>
      <c r="P11" s="51">
        <v>26.6</v>
      </c>
      <c r="Q11" s="51">
        <v>26.6</v>
      </c>
      <c r="R11" s="51">
        <v>26.8</v>
      </c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8</v>
      </c>
      <c r="AQ11" s="89" t="str">
        <f t="shared" si="2"/>
        <v/>
      </c>
      <c r="AR11" s="89">
        <f>IFERROR(VLOOKUP(A11,Climatologia!A:U,9+$E$2,FALSE),"")</f>
        <v>23.800122349539521</v>
      </c>
      <c r="AS11" s="89" t="str">
        <f t="shared" si="3"/>
        <v/>
      </c>
      <c r="AT11" s="90">
        <f t="shared" si="4"/>
        <v>23.4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1" s="92">
        <f t="shared" si="5"/>
        <v>3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24.1</v>
      </c>
      <c r="L12" s="51">
        <v>26.3</v>
      </c>
      <c r="M12" s="51">
        <v>25.3</v>
      </c>
      <c r="N12" s="51">
        <v>25.4</v>
      </c>
      <c r="O12" s="51">
        <v>24.9</v>
      </c>
      <c r="P12" s="51">
        <v>26.3</v>
      </c>
      <c r="Q12" s="51">
        <v>24.4</v>
      </c>
      <c r="R12" s="51">
        <v>25.6</v>
      </c>
      <c r="S12" s="51"/>
      <c r="T12" s="51"/>
      <c r="U12" s="51"/>
      <c r="V12" s="51"/>
      <c r="W12" s="51"/>
      <c r="X12" s="51"/>
      <c r="Y12" s="51"/>
      <c r="Z12" s="111"/>
      <c r="AA12" s="116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8</v>
      </c>
      <c r="AQ12" s="89" t="str">
        <f t="shared" si="2"/>
        <v/>
      </c>
      <c r="AR12" s="89">
        <f>IFERROR(VLOOKUP(A12,Climatologia!A:U,9+$E$2,FALSE),"")</f>
        <v>23.168302150308641</v>
      </c>
      <c r="AS12" s="89" t="str">
        <f t="shared" si="3"/>
        <v/>
      </c>
      <c r="AT12" s="90">
        <f t="shared" si="4"/>
        <v>24.1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12" s="92">
        <f t="shared" si="5"/>
        <v>4.3000000000000007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24.2</v>
      </c>
      <c r="L13" s="51">
        <v>24.2</v>
      </c>
      <c r="M13" s="51">
        <v>24.4</v>
      </c>
      <c r="N13" s="51">
        <v>25.2</v>
      </c>
      <c r="O13" s="51">
        <v>24.2</v>
      </c>
      <c r="P13" s="51">
        <v>26</v>
      </c>
      <c r="Q13" s="51">
        <v>26</v>
      </c>
      <c r="R13" s="51">
        <v>24.6</v>
      </c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8</v>
      </c>
      <c r="AQ13" s="89" t="str">
        <f t="shared" si="2"/>
        <v/>
      </c>
      <c r="AR13" s="89">
        <f>IFERROR(VLOOKUP(A13,Climatologia!A:U,9+$E$2,FALSE),"")</f>
        <v>23.052718375560229</v>
      </c>
      <c r="AS13" s="89" t="str">
        <f t="shared" si="3"/>
        <v/>
      </c>
      <c r="AT13" s="90">
        <f t="shared" si="4"/>
        <v>24.2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34597</v>
      </c>
      <c r="AW13" s="92">
        <f t="shared" si="5"/>
        <v>4.1999999999999993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19.8</v>
      </c>
      <c r="L14" s="51">
        <v>18.8</v>
      </c>
      <c r="M14" s="51">
        <v>20.6</v>
      </c>
      <c r="N14" s="51">
        <v>19.399999999999999</v>
      </c>
      <c r="O14" s="51">
        <v>19.899999999999999</v>
      </c>
      <c r="P14" s="51">
        <v>20</v>
      </c>
      <c r="Q14" s="51">
        <v>20</v>
      </c>
      <c r="R14" s="51">
        <v>19.8</v>
      </c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8</v>
      </c>
      <c r="AQ14" s="89" t="str">
        <f t="shared" si="2"/>
        <v/>
      </c>
      <c r="AR14" s="89">
        <f>IFERROR(VLOOKUP(A14,Climatologia!A:U,9+$E$2,FALSE),"")</f>
        <v>18.375069904788941</v>
      </c>
      <c r="AS14" s="89" t="str">
        <f t="shared" si="3"/>
        <v/>
      </c>
      <c r="AT14" s="90">
        <f t="shared" si="4"/>
        <v>18.8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15.6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30940</v>
      </c>
      <c r="AW14" s="92">
        <f t="shared" si="5"/>
        <v>3.2000000000000011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24.4</v>
      </c>
      <c r="L15" s="51">
        <v>25</v>
      </c>
      <c r="M15" s="51">
        <v>23.8</v>
      </c>
      <c r="N15" s="51">
        <v>24.4</v>
      </c>
      <c r="O15" s="51">
        <v>25.7</v>
      </c>
      <c r="P15" s="51">
        <v>27.8</v>
      </c>
      <c r="Q15" s="51">
        <v>24.6</v>
      </c>
      <c r="R15" s="51">
        <v>26.2</v>
      </c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8</v>
      </c>
      <c r="AQ15" s="89" t="str">
        <f t="shared" si="2"/>
        <v/>
      </c>
      <c r="AR15" s="89">
        <f>IFERROR(VLOOKUP(A15,Climatologia!A:U,9+$E$2,FALSE),"")</f>
        <v>23.532452107279699</v>
      </c>
      <c r="AS15" s="89" t="str">
        <f t="shared" si="3"/>
        <v/>
      </c>
      <c r="AT15" s="90">
        <f t="shared" si="4"/>
        <v>23.8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18.600000000000001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" s="92">
        <f t="shared" si="5"/>
        <v>5.1999999999999993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23.1</v>
      </c>
      <c r="L16" s="51">
        <v>25</v>
      </c>
      <c r="M16" s="51">
        <v>25.5</v>
      </c>
      <c r="N16" s="51">
        <v>24.4</v>
      </c>
      <c r="O16" s="51">
        <v>26.2</v>
      </c>
      <c r="P16" s="51">
        <v>24.7</v>
      </c>
      <c r="Q16" s="51">
        <v>25.5</v>
      </c>
      <c r="R16" s="51">
        <v>25.4</v>
      </c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8</v>
      </c>
      <c r="AQ16" s="89" t="str">
        <f t="shared" si="2"/>
        <v/>
      </c>
      <c r="AR16" s="89">
        <f>IFERROR(VLOOKUP(A16,Climatologia!A:U,9+$E$2,FALSE),"")</f>
        <v>23.20104269293925</v>
      </c>
      <c r="AS16" s="89" t="str">
        <f t="shared" si="3"/>
        <v/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34968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</v>
      </c>
      <c r="L17" s="51">
        <v>18.2</v>
      </c>
      <c r="M17" s="51">
        <v>19.600000000000001</v>
      </c>
      <c r="N17" s="51">
        <v>19.899999999999999</v>
      </c>
      <c r="O17" s="51">
        <v>18.7</v>
      </c>
      <c r="P17" s="51">
        <v>18.7</v>
      </c>
      <c r="Q17" s="51">
        <v>18.7</v>
      </c>
      <c r="R17" s="51">
        <v>18.3</v>
      </c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8</v>
      </c>
      <c r="AQ17" s="89" t="str">
        <f t="shared" si="2"/>
        <v/>
      </c>
      <c r="AR17" s="89">
        <f>IFERROR(VLOOKUP(A17,Climatologia!A:U,9+$E$2,FALSE),"")</f>
        <v>17.481532567049811</v>
      </c>
      <c r="AS17" s="89" t="str">
        <f t="shared" si="3"/>
        <v/>
      </c>
      <c r="AT17" s="90">
        <f t="shared" si="4"/>
        <v>18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17" s="92">
        <f t="shared" si="5"/>
        <v>6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13.6</v>
      </c>
      <c r="L18" s="51">
        <v>14</v>
      </c>
      <c r="M18" s="51">
        <v>12</v>
      </c>
      <c r="N18" s="51">
        <v>13.4</v>
      </c>
      <c r="O18" s="51">
        <v>11.6</v>
      </c>
      <c r="P18" s="51">
        <v>10.6</v>
      </c>
      <c r="Q18" s="51">
        <v>10.3</v>
      </c>
      <c r="R18" s="51">
        <v>13</v>
      </c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8</v>
      </c>
      <c r="AQ18" s="89" t="str">
        <f t="shared" si="2"/>
        <v/>
      </c>
      <c r="AR18" s="89">
        <f>IFERROR(VLOOKUP(A18,Climatologia!A:U,9+$E$2,FALSE),"")</f>
        <v>12.499881093935789</v>
      </c>
      <c r="AS18" s="89" t="str">
        <f t="shared" si="3"/>
        <v/>
      </c>
      <c r="AT18" s="90">
        <f t="shared" si="4"/>
        <v>10.3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29852</v>
      </c>
      <c r="AW18" s="92">
        <f t="shared" si="5"/>
        <v>2.9000000000000004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19</v>
      </c>
      <c r="M19" s="51">
        <v>19</v>
      </c>
      <c r="N19" s="51">
        <v>19.100000000000001</v>
      </c>
      <c r="O19" s="51">
        <v>18.8</v>
      </c>
      <c r="P19" s="51">
        <v>19.2</v>
      </c>
      <c r="Q19" s="51">
        <v>18</v>
      </c>
      <c r="R19" s="51">
        <v>17.5</v>
      </c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8</v>
      </c>
      <c r="AQ19" s="89" t="str">
        <f t="shared" si="2"/>
        <v/>
      </c>
      <c r="AR19" s="89">
        <f>IFERROR(VLOOKUP(A19,Climatologia!A:U,9+$E$2,FALSE),"")</f>
        <v>17.517363619777409</v>
      </c>
      <c r="AS19" s="89" t="str">
        <f t="shared" si="3"/>
        <v/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34596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18.899999999999999</v>
      </c>
      <c r="L20" s="51">
        <v>19.2</v>
      </c>
      <c r="M20" s="51">
        <v>19</v>
      </c>
      <c r="N20" s="51">
        <v>17.7</v>
      </c>
      <c r="O20" s="51">
        <v>17.600000000000001</v>
      </c>
      <c r="P20" s="51">
        <v>18.7</v>
      </c>
      <c r="Q20" s="51">
        <v>16.7</v>
      </c>
      <c r="R20" s="51">
        <v>15.4</v>
      </c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8</v>
      </c>
      <c r="AQ20" s="89" t="str">
        <f t="shared" si="2"/>
        <v/>
      </c>
      <c r="AR20" s="89">
        <f>IFERROR(VLOOKUP(A20,Climatologia!A:U,9+$E$2,FALSE),"")</f>
        <v>16.802106227106218</v>
      </c>
      <c r="AS20" s="89" t="str">
        <f t="shared" si="3"/>
        <v/>
      </c>
      <c r="AT20" s="90">
        <f t="shared" si="4"/>
        <v>15.4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31660</v>
      </c>
      <c r="AW20" s="92">
        <f t="shared" si="5"/>
        <v>2.8000000000000007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21.1</v>
      </c>
      <c r="L21" s="51">
        <v>19.600000000000001</v>
      </c>
      <c r="M21" s="51">
        <v>20.9</v>
      </c>
      <c r="N21" s="51">
        <v>21.6</v>
      </c>
      <c r="O21" s="51">
        <v>21.8</v>
      </c>
      <c r="P21" s="51">
        <v>21.9</v>
      </c>
      <c r="Q21" s="51">
        <v>20.8</v>
      </c>
      <c r="R21" s="51">
        <v>21.4</v>
      </c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8</v>
      </c>
      <c r="AQ21" s="89" t="str">
        <f t="shared" si="2"/>
        <v/>
      </c>
      <c r="AR21" s="89">
        <f>IFERROR(VLOOKUP(A21,Climatologia!A:U,9+$E$2,FALSE),"")</f>
        <v>19.232081736909329</v>
      </c>
      <c r="AS21" s="89" t="str">
        <f t="shared" si="3"/>
        <v/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15.4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32765</v>
      </c>
      <c r="AW21" s="92">
        <f t="shared" si="5"/>
        <v>4.2000000000000011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9.6</v>
      </c>
      <c r="L22" s="51">
        <v>9.6</v>
      </c>
      <c r="M22" s="51">
        <v>9.6</v>
      </c>
      <c r="N22" s="51">
        <v>9</v>
      </c>
      <c r="O22" s="51">
        <v>9.6</v>
      </c>
      <c r="P22" s="51">
        <v>7.6</v>
      </c>
      <c r="Q22" s="51">
        <v>7.7</v>
      </c>
      <c r="R22" s="51">
        <v>7.4</v>
      </c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8</v>
      </c>
      <c r="AQ22" s="89" t="str">
        <f t="shared" si="2"/>
        <v/>
      </c>
      <c r="AR22" s="89">
        <f>IFERROR(VLOOKUP(A22,Climatologia!A:U,9+$E$2,FALSE),"")</f>
        <v>7.7788019451812538</v>
      </c>
      <c r="AS22" s="89" t="str">
        <f t="shared" si="3"/>
        <v/>
      </c>
      <c r="AT22" s="90">
        <f t="shared" si="4"/>
        <v>7.4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-0.2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22" s="92">
        <f t="shared" si="5"/>
        <v>7.6000000000000005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19.399999999999999</v>
      </c>
      <c r="L23" s="51">
        <v>19.100000000000001</v>
      </c>
      <c r="M23" s="51">
        <v>20.6</v>
      </c>
      <c r="N23" s="51">
        <v>19.7</v>
      </c>
      <c r="O23" s="51">
        <v>18.899999999999999</v>
      </c>
      <c r="P23" s="51">
        <v>19.3</v>
      </c>
      <c r="Q23" s="51">
        <v>20.399999999999999</v>
      </c>
      <c r="R23" s="51">
        <v>17.399999999999999</v>
      </c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8</v>
      </c>
      <c r="AQ23" s="89" t="str">
        <f t="shared" si="2"/>
        <v/>
      </c>
      <c r="AR23" s="89">
        <f>IFERROR(VLOOKUP(A23,Climatologia!A:U,9+$E$2,FALSE),"")</f>
        <v>18.648510848126229</v>
      </c>
      <c r="AS23" s="89" t="str">
        <f t="shared" si="3"/>
        <v/>
      </c>
      <c r="AT23" s="90">
        <f t="shared" si="4"/>
        <v>17.399999999999999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14.2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28033</v>
      </c>
      <c r="AW23" s="92">
        <f t="shared" si="5"/>
        <v>3.1999999999999993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23.8</v>
      </c>
      <c r="L24" s="51">
        <v>23.8</v>
      </c>
      <c r="M24" s="51">
        <v>22.6</v>
      </c>
      <c r="N24" s="51">
        <v>23</v>
      </c>
      <c r="O24" s="51">
        <v>25.8</v>
      </c>
      <c r="P24" s="51">
        <v>26.6</v>
      </c>
      <c r="Q24" s="51">
        <v>26.8</v>
      </c>
      <c r="R24" s="51">
        <v>23.2</v>
      </c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8</v>
      </c>
      <c r="AQ24" s="89" t="str">
        <f t="shared" si="2"/>
        <v/>
      </c>
      <c r="AR24" s="89">
        <f>IFERROR(VLOOKUP(A24,Climatologia!A:U,9+$E$2,FALSE),"")</f>
        <v>23.155076628352489</v>
      </c>
      <c r="AS24" s="89" t="str">
        <f t="shared" si="3"/>
        <v/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17.600000000000001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34223</v>
      </c>
      <c r="AW24" s="92">
        <f t="shared" si="5"/>
        <v>5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12.6</v>
      </c>
      <c r="L25" s="51">
        <v>15.2</v>
      </c>
      <c r="M25" s="51">
        <v>17.2</v>
      </c>
      <c r="N25" s="51">
        <v>16</v>
      </c>
      <c r="O25" s="51">
        <v>16.8</v>
      </c>
      <c r="P25" s="51">
        <v>17</v>
      </c>
      <c r="Q25" s="51">
        <v>16.8</v>
      </c>
      <c r="R25" s="51">
        <v>16.5</v>
      </c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8</v>
      </c>
      <c r="AQ25" s="89" t="str">
        <f t="shared" si="2"/>
        <v/>
      </c>
      <c r="AR25" s="89">
        <f>IFERROR(VLOOKUP(A25,Climatologia!A:U,9+$E$2,FALSE),"")</f>
        <v>14.47676179151804</v>
      </c>
      <c r="AS25" s="89" t="str">
        <f t="shared" si="3"/>
        <v/>
      </c>
      <c r="AT25" s="90">
        <f t="shared" si="4"/>
        <v>12.6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30937</v>
      </c>
      <c r="AW25" s="92">
        <f t="shared" si="5"/>
        <v>2.1999999999999993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2</v>
      </c>
      <c r="L26" s="51">
        <v>5.2</v>
      </c>
      <c r="M26" s="51">
        <v>6.4</v>
      </c>
      <c r="N26" s="51">
        <v>7.2</v>
      </c>
      <c r="O26" s="51">
        <v>7.6</v>
      </c>
      <c r="P26" s="51">
        <v>2.6</v>
      </c>
      <c r="Q26" s="51">
        <v>5</v>
      </c>
      <c r="R26" s="51">
        <v>4</v>
      </c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8</v>
      </c>
      <c r="AQ26" s="89" t="str">
        <f t="shared" si="2"/>
        <v/>
      </c>
      <c r="AR26" s="89">
        <f>IFERROR(VLOOKUP(A26,Climatologia!A:U,9+$E$2,FALSE),"")</f>
        <v>4.5924256837098687</v>
      </c>
      <c r="AS26" s="89" t="str">
        <f t="shared" si="3"/>
        <v/>
      </c>
      <c r="AT26" s="90">
        <f t="shared" si="4"/>
        <v>2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-1.4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41168</v>
      </c>
      <c r="AW26" s="92">
        <f t="shared" si="5"/>
        <v>3.4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24.2</v>
      </c>
      <c r="L27" s="51">
        <v>24.4</v>
      </c>
      <c r="M27" s="51">
        <v>25.1</v>
      </c>
      <c r="N27" s="51">
        <v>24.3</v>
      </c>
      <c r="O27" s="51">
        <v>24.6</v>
      </c>
      <c r="P27" s="51">
        <v>23.6</v>
      </c>
      <c r="Q27" s="51">
        <v>24.1</v>
      </c>
      <c r="R27" s="51">
        <v>24.8</v>
      </c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8</v>
      </c>
      <c r="AQ27" s="89" t="str">
        <f t="shared" si="2"/>
        <v/>
      </c>
      <c r="AR27" s="89">
        <f>IFERROR(VLOOKUP(A27,Climatologia!A:U,9+$E$2,FALSE),"")</f>
        <v>23.200678160919541</v>
      </c>
      <c r="AS27" s="89" t="str">
        <f t="shared" si="3"/>
        <v/>
      </c>
      <c r="AT27" s="90">
        <f t="shared" si="4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20.2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30220</v>
      </c>
      <c r="AW27" s="92">
        <f t="shared" si="5"/>
        <v>3.4000000000000021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24.2</v>
      </c>
      <c r="L28" s="51">
        <v>24.3</v>
      </c>
      <c r="M28" s="51">
        <v>22.4</v>
      </c>
      <c r="N28" s="51">
        <v>23.2</v>
      </c>
      <c r="O28" s="51">
        <v>23.3</v>
      </c>
      <c r="P28" s="51">
        <v>24.3</v>
      </c>
      <c r="Q28" s="51">
        <v>21.4</v>
      </c>
      <c r="R28" s="51">
        <v>22.8</v>
      </c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8</v>
      </c>
      <c r="AQ28" s="89" t="str">
        <f t="shared" si="2"/>
        <v/>
      </c>
      <c r="AR28" s="89">
        <f>IFERROR(VLOOKUP(A28,Climatologia!A:U,9+$E$2,FALSE),"")</f>
        <v>22.923426719914591</v>
      </c>
      <c r="AS28" s="89" t="str">
        <f t="shared" si="3"/>
        <v/>
      </c>
      <c r="AT28" s="90">
        <f t="shared" si="4"/>
        <v>21.4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19.399999999999999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39703</v>
      </c>
      <c r="AW28" s="92">
        <f t="shared" si="5"/>
        <v>2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25.8</v>
      </c>
      <c r="L29" s="51">
        <v>26</v>
      </c>
      <c r="M29" s="51">
        <v>25</v>
      </c>
      <c r="N29" s="51">
        <v>25.6</v>
      </c>
      <c r="O29" s="51">
        <v>25.2</v>
      </c>
      <c r="P29" s="51">
        <v>24.8</v>
      </c>
      <c r="Q29" s="51">
        <v>25</v>
      </c>
      <c r="R29" s="51">
        <v>25.4</v>
      </c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8</v>
      </c>
      <c r="AQ29" s="89" t="str">
        <f t="shared" si="2"/>
        <v/>
      </c>
      <c r="AR29" s="89">
        <f>IFERROR(VLOOKUP(A29,Climatologia!A:U,9+$E$2,FALSE),"")</f>
        <v>23.916765755053511</v>
      </c>
      <c r="AS29" s="89" t="str">
        <f t="shared" si="3"/>
        <v/>
      </c>
      <c r="AT29" s="90">
        <f t="shared" si="4"/>
        <v>24.8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19.5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35320</v>
      </c>
      <c r="AW29" s="92">
        <f t="shared" si="5"/>
        <v>5.3000000000000007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22.4</v>
      </c>
      <c r="L30" s="51">
        <v>21.7</v>
      </c>
      <c r="M30" s="51">
        <v>21</v>
      </c>
      <c r="N30" s="51">
        <v>22.2</v>
      </c>
      <c r="O30" s="51">
        <v>20.8</v>
      </c>
      <c r="P30" s="51">
        <v>21.8</v>
      </c>
      <c r="Q30" s="51">
        <v>21.4</v>
      </c>
      <c r="R30" s="51">
        <v>21.3</v>
      </c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8</v>
      </c>
      <c r="AQ30" s="89" t="str">
        <f t="shared" si="2"/>
        <v/>
      </c>
      <c r="AR30" s="89">
        <f>IFERROR(VLOOKUP(A30,Climatologia!A:U,9+$E$2,FALSE),"")</f>
        <v>20.68482758620689</v>
      </c>
      <c r="AS30" s="89" t="str">
        <f t="shared" si="3"/>
        <v/>
      </c>
      <c r="AT30" s="90">
        <f t="shared" si="4"/>
        <v>20.8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30" s="92">
        <f t="shared" si="5"/>
        <v>3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24</v>
      </c>
      <c r="L31" s="108">
        <v>23.4</v>
      </c>
      <c r="M31" s="108">
        <v>23.3</v>
      </c>
      <c r="N31" s="108">
        <v>24.2</v>
      </c>
      <c r="O31" s="108">
        <v>24.5</v>
      </c>
      <c r="P31" s="108">
        <v>22.5</v>
      </c>
      <c r="Q31" s="108">
        <v>24</v>
      </c>
      <c r="R31" s="108">
        <v>21.6</v>
      </c>
      <c r="S31" s="108"/>
      <c r="T31" s="108"/>
      <c r="U31" s="108"/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8</v>
      </c>
      <c r="AQ31" s="89" t="str">
        <f t="shared" si="2"/>
        <v/>
      </c>
      <c r="AR31" s="89">
        <f>IFERROR(VLOOKUP(A31,Climatologia!A:U,9+$E$2,FALSE),"")</f>
        <v>22.350396614879379</v>
      </c>
      <c r="AS31" s="89" t="str">
        <f t="shared" si="3"/>
        <v/>
      </c>
      <c r="AT31" s="90">
        <f t="shared" si="4"/>
        <v>21.6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16.399999999999999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29481</v>
      </c>
      <c r="AW31" s="92">
        <f t="shared" si="5"/>
        <v>5.2000000000000028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14.8</v>
      </c>
      <c r="L32" s="51">
        <v>15.2</v>
      </c>
      <c r="M32" s="51">
        <v>14.8</v>
      </c>
      <c r="N32" s="51">
        <v>15</v>
      </c>
      <c r="O32" s="51">
        <v>14.2</v>
      </c>
      <c r="P32" s="51">
        <v>13.8</v>
      </c>
      <c r="Q32" s="51">
        <v>14</v>
      </c>
      <c r="R32" s="51">
        <v>14.2</v>
      </c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8</v>
      </c>
      <c r="AQ32" s="89" t="str">
        <f t="shared" si="2"/>
        <v/>
      </c>
      <c r="AR32" s="89">
        <f>IFERROR(VLOOKUP(A32,Climatologia!A:U,9+$E$2,FALSE),"")</f>
        <v>13.518105175598549</v>
      </c>
      <c r="AS32" s="89" t="str">
        <f t="shared" si="3"/>
        <v/>
      </c>
      <c r="AT32" s="90">
        <f t="shared" si="4"/>
        <v>13.8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36067</v>
      </c>
      <c r="AW32" s="92">
        <f t="shared" si="5"/>
        <v>5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23.367963593239459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29482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15.8</v>
      </c>
      <c r="M34" s="51">
        <v>16.8</v>
      </c>
      <c r="N34" s="51">
        <v>16.600000000000001</v>
      </c>
      <c r="O34" s="51">
        <v>16.8</v>
      </c>
      <c r="P34" s="51">
        <v>15</v>
      </c>
      <c r="Q34" s="51">
        <v>14.8</v>
      </c>
      <c r="R34" s="51">
        <v>15.8</v>
      </c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8</v>
      </c>
      <c r="AQ34" s="89" t="str">
        <f t="shared" si="2"/>
        <v/>
      </c>
      <c r="AR34" s="89">
        <f>IFERROR(VLOOKUP(A34,Climatologia!A:U,9+$E$2,FALSE),"")</f>
        <v>15.0297619047619</v>
      </c>
      <c r="AS34" s="89" t="str">
        <f t="shared" si="3"/>
        <v/>
      </c>
      <c r="AT34" s="90">
        <f t="shared" si="4"/>
        <v>14.8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37888</v>
      </c>
      <c r="AW34" s="92">
        <f t="shared" si="5"/>
        <v>4.8000000000000007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14.4</v>
      </c>
      <c r="L35" s="51">
        <v>14.8</v>
      </c>
      <c r="M35" s="51">
        <v>15.2</v>
      </c>
      <c r="N35" s="51">
        <v>15.6</v>
      </c>
      <c r="O35" s="51">
        <v>15.4</v>
      </c>
      <c r="P35" s="51">
        <v>15.2</v>
      </c>
      <c r="Q35" s="51">
        <v>14.8</v>
      </c>
      <c r="R35" s="51">
        <v>15</v>
      </c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8</v>
      </c>
      <c r="AQ35" s="89" t="str">
        <f t="shared" si="2"/>
        <v/>
      </c>
      <c r="AR35" s="89">
        <f>IFERROR(VLOOKUP(A35,Climatologia!A:U,9+$E$2,FALSE),"")</f>
        <v>13.05107074438971</v>
      </c>
      <c r="AS35" s="89" t="str">
        <f t="shared" si="3"/>
        <v/>
      </c>
      <c r="AT35" s="90">
        <f t="shared" si="4"/>
        <v>14.4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8.6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36797</v>
      </c>
      <c r="AW35" s="92">
        <f t="shared" si="5"/>
        <v>5.8000000000000007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20.2</v>
      </c>
      <c r="L36" s="51">
        <v>20.399999999999999</v>
      </c>
      <c r="M36" s="51">
        <v>17</v>
      </c>
      <c r="N36" s="51">
        <v>19.399999999999999</v>
      </c>
      <c r="O36" s="51">
        <v>18.399999999999999</v>
      </c>
      <c r="P36" s="51">
        <v>17.399999999999999</v>
      </c>
      <c r="Q36" s="51">
        <v>17.399999999999999</v>
      </c>
      <c r="R36" s="120">
        <v>13</v>
      </c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8</v>
      </c>
      <c r="AQ36" s="89" t="str">
        <f t="shared" si="2"/>
        <v/>
      </c>
      <c r="AR36" s="89">
        <f>IFERROR(VLOOKUP(A36,Climatologia!A:U,9+$E$2,FALSE),"")</f>
        <v>19.576900580794259</v>
      </c>
      <c r="AS36" s="89" t="str">
        <f t="shared" si="3"/>
        <v/>
      </c>
      <c r="AT36" s="90">
        <f t="shared" si="4"/>
        <v>13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40081</v>
      </c>
      <c r="AW36" s="92">
        <f t="shared" si="5"/>
        <v>-3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9</v>
      </c>
      <c r="M37" s="51">
        <v>8.4</v>
      </c>
      <c r="N37" s="51">
        <v>9.8000000000000007</v>
      </c>
      <c r="O37" s="51">
        <v>10.6</v>
      </c>
      <c r="P37" s="51">
        <v>10.199999999999999</v>
      </c>
      <c r="Q37" s="51">
        <v>8.4</v>
      </c>
      <c r="R37" s="51">
        <v>8.8000000000000007</v>
      </c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8</v>
      </c>
      <c r="AQ37" s="89" t="str">
        <f t="shared" si="2"/>
        <v/>
      </c>
      <c r="AR37" s="89">
        <f>IFERROR(VLOOKUP(A37,Climatologia!A:U,9+$E$2,FALSE),"")</f>
        <v>9.8631470471660734</v>
      </c>
      <c r="AS37" s="89" t="str">
        <f t="shared" si="3"/>
        <v/>
      </c>
      <c r="AT37" s="90">
        <f t="shared" si="4"/>
        <v>8.4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</v>
      </c>
      <c r="L38" s="51">
        <v>16.399999999999999</v>
      </c>
      <c r="M38" s="51">
        <v>17</v>
      </c>
      <c r="N38" s="51">
        <v>16.600000000000001</v>
      </c>
      <c r="O38" s="51">
        <v>17.399999999999999</v>
      </c>
      <c r="P38" s="51">
        <v>17.8</v>
      </c>
      <c r="Q38" s="51">
        <v>17.399999999999999</v>
      </c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7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44444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18.2</v>
      </c>
      <c r="L39" s="51">
        <v>18.8</v>
      </c>
      <c r="M39" s="51">
        <v>20</v>
      </c>
      <c r="N39" s="51">
        <v>20</v>
      </c>
      <c r="O39" s="51">
        <v>19.600000000000001</v>
      </c>
      <c r="P39" s="51">
        <v>19.2</v>
      </c>
      <c r="Q39" s="51">
        <v>18.8</v>
      </c>
      <c r="R39" s="51">
        <v>19.399999999999999</v>
      </c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8</v>
      </c>
      <c r="AQ39" s="89" t="str">
        <f t="shared" si="2"/>
        <v/>
      </c>
      <c r="AR39" s="89">
        <f>IFERROR(VLOOKUP(A39,Climatologia!A:U,9+$E$2,FALSE),"")</f>
        <v>17.370087470001259</v>
      </c>
      <c r="AS39" s="89" t="str">
        <f t="shared" si="3"/>
        <v/>
      </c>
      <c r="AT39" s="90">
        <f t="shared" si="4"/>
        <v>18.2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13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33494</v>
      </c>
      <c r="AW39" s="92">
        <f t="shared" si="5"/>
        <v>5.1999999999999993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14.6</v>
      </c>
      <c r="L40" s="51">
        <v>15.2</v>
      </c>
      <c r="M40" s="51">
        <v>14.8</v>
      </c>
      <c r="N40" s="51">
        <v>15</v>
      </c>
      <c r="O40" s="51">
        <v>14.2</v>
      </c>
      <c r="P40" s="51">
        <v>13</v>
      </c>
      <c r="Q40" s="51">
        <v>14</v>
      </c>
      <c r="R40" s="51">
        <v>13</v>
      </c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8</v>
      </c>
      <c r="AQ40" s="89" t="str">
        <f t="shared" si="2"/>
        <v/>
      </c>
      <c r="AR40" s="89">
        <f>IFERROR(VLOOKUP(A40,Climatologia!A:U,9+$E$2,FALSE),"")</f>
        <v>13.01098388839768</v>
      </c>
      <c r="AS40" s="89" t="str">
        <f t="shared" si="3"/>
        <v/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9.1999999999999993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37508</v>
      </c>
      <c r="AW40" s="92">
        <f t="shared" si="5"/>
        <v>3.8000000000000007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22.6</v>
      </c>
      <c r="L41" s="51">
        <v>25.4</v>
      </c>
      <c r="M41" s="51">
        <v>25.2</v>
      </c>
      <c r="N41" s="51">
        <v>26</v>
      </c>
      <c r="O41" s="51">
        <v>26.8</v>
      </c>
      <c r="P41" s="51">
        <v>25</v>
      </c>
      <c r="Q41" s="51">
        <v>22.4</v>
      </c>
      <c r="R41" s="51">
        <v>25.6</v>
      </c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8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37523</v>
      </c>
      <c r="AW41" s="92">
        <f t="shared" si="5"/>
        <v>4.7999999999999972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</v>
      </c>
      <c r="L42" s="51">
        <v>26.2</v>
      </c>
      <c r="M42" s="51">
        <v>24.6</v>
      </c>
      <c r="N42" s="51">
        <v>26.2</v>
      </c>
      <c r="O42" s="51">
        <v>27</v>
      </c>
      <c r="P42" s="51">
        <v>27.2</v>
      </c>
      <c r="Q42" s="51">
        <v>24.6</v>
      </c>
      <c r="R42" s="51">
        <v>26.6</v>
      </c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8</v>
      </c>
      <c r="AQ42" s="89" t="str">
        <f t="shared" si="2"/>
        <v/>
      </c>
      <c r="AR42" s="89">
        <f>IFERROR(VLOOKUP(A42,Climatologia!A:U,9+$E$2,FALSE),"")</f>
        <v>24.10281124033644</v>
      </c>
      <c r="AS42" s="89" t="str">
        <f t="shared" si="3"/>
        <v/>
      </c>
      <c r="AT42" s="90">
        <f t="shared" si="4"/>
        <v>24.6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22.4</v>
      </c>
      <c r="L43" s="51">
        <v>23.8</v>
      </c>
      <c r="M43" s="51">
        <v>26.6</v>
      </c>
      <c r="N43" s="51">
        <v>22.8</v>
      </c>
      <c r="O43" s="51">
        <v>24.9</v>
      </c>
      <c r="P43" s="51">
        <v>26</v>
      </c>
      <c r="Q43" s="51">
        <v>24.6</v>
      </c>
      <c r="R43" s="51">
        <v>24.6</v>
      </c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8</v>
      </c>
      <c r="AQ43" s="89" t="str">
        <f t="shared" si="2"/>
        <v/>
      </c>
      <c r="AR43" s="89">
        <f>IFERROR(VLOOKUP(A43,Climatologia!A:U,9+$E$2,FALSE),"")</f>
        <v>23.744525938089151</v>
      </c>
      <c r="AS43" s="89" t="str">
        <f t="shared" si="3"/>
        <v/>
      </c>
      <c r="AT43" s="90">
        <f t="shared" si="4"/>
        <v>22.4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39712</v>
      </c>
      <c r="AW43" s="92">
        <f t="shared" si="5"/>
        <v>3.3999999999999986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23.4</v>
      </c>
      <c r="L44" s="51">
        <v>23.6</v>
      </c>
      <c r="M44" s="51">
        <v>24.2</v>
      </c>
      <c r="N44" s="51">
        <v>24</v>
      </c>
      <c r="O44" s="51">
        <v>25</v>
      </c>
      <c r="P44" s="51">
        <v>25.4</v>
      </c>
      <c r="Q44" s="51">
        <v>24.2</v>
      </c>
      <c r="R44" s="51">
        <v>25</v>
      </c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8</v>
      </c>
      <c r="AQ44" s="89" t="str">
        <f t="shared" si="2"/>
        <v/>
      </c>
      <c r="AR44" s="89">
        <f>IFERROR(VLOOKUP(A44,Climatologia!A:U,9+$E$2,FALSE),"")</f>
        <v>22.988656597627109</v>
      </c>
      <c r="AS44" s="89" t="str">
        <f t="shared" si="3"/>
        <v/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33118</v>
      </c>
      <c r="AW44" s="92">
        <f t="shared" si="5"/>
        <v>6.1999999999999993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23.250966831086199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17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29850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22.241141302681989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32760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23</v>
      </c>
      <c r="L47" s="51">
        <v>24.8</v>
      </c>
      <c r="M47" s="51">
        <v>23</v>
      </c>
      <c r="N47" s="51">
        <v>23.8</v>
      </c>
      <c r="O47" s="51">
        <v>26</v>
      </c>
      <c r="P47" s="51">
        <v>26.4</v>
      </c>
      <c r="Q47" s="51">
        <v>25.6</v>
      </c>
      <c r="R47" s="51">
        <v>25.4</v>
      </c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8</v>
      </c>
      <c r="AQ47" s="89" t="str">
        <f t="shared" si="2"/>
        <v/>
      </c>
      <c r="AR47" s="89">
        <f>IFERROR(VLOOKUP(A47,Climatologia!A:U,9+$E$2,FALSE),"")</f>
        <v>22.692015599343179</v>
      </c>
      <c r="AS47" s="89" t="str">
        <f t="shared" si="3"/>
        <v/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22.870691637545079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19.2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32762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23.264589393806901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33126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18.399999999999999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43732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22.6</v>
      </c>
      <c r="L51" s="51">
        <v>24.6</v>
      </c>
      <c r="M51" s="51">
        <v>23</v>
      </c>
      <c r="N51" s="51">
        <v>24.8</v>
      </c>
      <c r="O51" s="51">
        <v>26.2</v>
      </c>
      <c r="P51" s="51">
        <v>26.4</v>
      </c>
      <c r="Q51" s="51">
        <v>24.8</v>
      </c>
      <c r="R51" s="51">
        <v>25.8</v>
      </c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8</v>
      </c>
      <c r="AQ51" s="89" t="str">
        <f t="shared" si="2"/>
        <v/>
      </c>
      <c r="AR51" s="89">
        <f>IFERROR(VLOOKUP(A51,Climatologia!A:U,9+$E$2,FALSE),"")</f>
        <v>23.050863235049139</v>
      </c>
      <c r="AS51" s="89" t="str">
        <f t="shared" si="3"/>
        <v/>
      </c>
      <c r="AT51" s="90">
        <f t="shared" si="4"/>
        <v>22.6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18.2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32755</v>
      </c>
      <c r="AW51" s="92">
        <f t="shared" si="5"/>
        <v>4.4000000000000021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24</v>
      </c>
      <c r="L52" s="51">
        <v>25.6</v>
      </c>
      <c r="M52" s="51">
        <v>24.2</v>
      </c>
      <c r="N52" s="51">
        <v>24</v>
      </c>
      <c r="O52" s="51">
        <v>24</v>
      </c>
      <c r="P52" s="51">
        <v>23.8</v>
      </c>
      <c r="Q52" s="51">
        <v>24.6</v>
      </c>
      <c r="R52" s="51">
        <v>24.4</v>
      </c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119"/>
      <c r="AI52" s="119"/>
      <c r="AJ52" s="119"/>
      <c r="AK52" s="119"/>
      <c r="AL52" s="51"/>
      <c r="AM52" s="51"/>
      <c r="AN52" s="51"/>
      <c r="AO52" s="51"/>
      <c r="AP52" s="88">
        <f t="shared" si="1"/>
        <v>8</v>
      </c>
      <c r="AQ52" s="89" t="str">
        <f t="shared" si="2"/>
        <v/>
      </c>
      <c r="AR52" s="89">
        <f>IFERROR(VLOOKUP(A52,Climatologia!A:U,9+$E$2,FALSE),"")</f>
        <v>22.452709359605912</v>
      </c>
      <c r="AS52" s="89" t="str">
        <f t="shared" si="3"/>
        <v/>
      </c>
      <c r="AT52" s="90">
        <f t="shared" si="4"/>
        <v>23.8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52" s="92">
        <f t="shared" si="5"/>
        <v>5.6000000000000014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25.6</v>
      </c>
      <c r="L53" s="51">
        <v>25.6</v>
      </c>
      <c r="M53" s="51">
        <v>23.2</v>
      </c>
      <c r="N53" s="51">
        <v>24.2</v>
      </c>
      <c r="O53" s="51">
        <v>26.2</v>
      </c>
      <c r="P53" s="51">
        <v>25.4</v>
      </c>
      <c r="Q53" s="51">
        <v>23.2</v>
      </c>
      <c r="R53" s="51">
        <v>24.8</v>
      </c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8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20.2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36046</v>
      </c>
      <c r="AW53" s="92">
        <f t="shared" si="5"/>
        <v>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31296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41536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24.120038760462609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25</v>
      </c>
      <c r="L57" s="51">
        <v>25.2</v>
      </c>
      <c r="M57" s="51">
        <v>23.6</v>
      </c>
      <c r="N57" s="51">
        <v>24.4</v>
      </c>
      <c r="O57" s="51">
        <v>25.2</v>
      </c>
      <c r="P57" s="51">
        <v>25</v>
      </c>
      <c r="Q57" s="51">
        <v>24.6</v>
      </c>
      <c r="R57" s="51">
        <v>25.4</v>
      </c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8</v>
      </c>
      <c r="AQ57" s="89" t="str">
        <f t="shared" si="2"/>
        <v/>
      </c>
      <c r="AR57" s="89">
        <f>IFERROR(VLOOKUP(A57,Climatologia!A:U,9+$E$2,FALSE),"")</f>
        <v>23.7254865927842</v>
      </c>
      <c r="AS57" s="89" t="str">
        <f t="shared" si="3"/>
        <v/>
      </c>
      <c r="AT57" s="90">
        <f t="shared" si="4"/>
        <v>23.6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17.2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28734</v>
      </c>
      <c r="AW57" s="92">
        <f t="shared" si="5"/>
        <v>6.4000000000000021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24.6</v>
      </c>
      <c r="L58" s="51">
        <v>23.6</v>
      </c>
      <c r="M58" s="51"/>
      <c r="N58" s="51">
        <v>23.6</v>
      </c>
      <c r="O58" s="51">
        <v>22.2</v>
      </c>
      <c r="P58" s="51">
        <v>21.8</v>
      </c>
      <c r="Q58" s="51">
        <v>22.4</v>
      </c>
      <c r="R58" s="51">
        <v>23.4</v>
      </c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7</v>
      </c>
      <c r="AQ58" s="89" t="str">
        <f t="shared" si="2"/>
        <v/>
      </c>
      <c r="AR58" s="89">
        <f>IFERROR(VLOOKUP(A58,Climatologia!A:U,9+$E$2,FALSE),"")</f>
        <v>21.37518499513471</v>
      </c>
      <c r="AS58" s="89" t="str">
        <f t="shared" si="3"/>
        <v/>
      </c>
      <c r="AT58" s="90">
        <f t="shared" si="4"/>
        <v>21.8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31302</v>
      </c>
      <c r="AW58" s="92">
        <f t="shared" si="5"/>
        <v>6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22.62268199233716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18.2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29842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22.4</v>
      </c>
      <c r="L60" s="51">
        <v>23</v>
      </c>
      <c r="M60" s="51">
        <v>21.8</v>
      </c>
      <c r="N60" s="51">
        <v>22.8</v>
      </c>
      <c r="O60" s="51">
        <v>21.4</v>
      </c>
      <c r="P60" s="51">
        <v>20.6</v>
      </c>
      <c r="Q60" s="51"/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6</v>
      </c>
      <c r="AQ60" s="89" t="str">
        <f t="shared" si="2"/>
        <v/>
      </c>
      <c r="AR60" s="89">
        <f>IFERROR(VLOOKUP(A60,Climatologia!A:U,9+$E$2,FALSE),"")</f>
        <v>21.711950830140491</v>
      </c>
      <c r="AS60" s="89" t="str">
        <f t="shared" si="3"/>
        <v/>
      </c>
      <c r="AT60" s="90">
        <f t="shared" si="4"/>
        <v>20.6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17.100000000000001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30568</v>
      </c>
      <c r="AW60" s="92">
        <f t="shared" si="5"/>
        <v>3.5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19.32154907161804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22.15150467164079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18.5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33488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23.6</v>
      </c>
      <c r="L63" s="51">
        <v>22.6</v>
      </c>
      <c r="M63" s="51">
        <v>23</v>
      </c>
      <c r="N63" s="51">
        <v>21.2</v>
      </c>
      <c r="O63" s="51">
        <v>21.6</v>
      </c>
      <c r="P63" s="51">
        <v>20.399999999999999</v>
      </c>
      <c r="Q63" s="51">
        <v>21.6</v>
      </c>
      <c r="R63" s="51">
        <v>22</v>
      </c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8</v>
      </c>
      <c r="AQ63" s="89" t="str">
        <f t="shared" si="2"/>
        <v/>
      </c>
      <c r="AR63" s="89">
        <f>IFERROR(VLOOKUP(A63,Climatologia!A:U,9+$E$2,FALSE),"")</f>
        <v>22.363032714412022</v>
      </c>
      <c r="AS63" s="89" t="str">
        <f t="shared" si="3"/>
        <v/>
      </c>
      <c r="AT63" s="90">
        <f t="shared" si="4"/>
        <v>20.399999999999999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63" s="92">
        <f t="shared" si="5"/>
        <v>2.5999999999999979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23.2</v>
      </c>
      <c r="L64" s="51">
        <v>24</v>
      </c>
      <c r="M64" s="51">
        <v>23</v>
      </c>
      <c r="N64" s="51">
        <v>23.8</v>
      </c>
      <c r="O64" s="51">
        <v>22</v>
      </c>
      <c r="P64" s="51">
        <v>21.8</v>
      </c>
      <c r="Q64" s="51">
        <v>22.8</v>
      </c>
      <c r="R64" s="51">
        <v>21.8</v>
      </c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8</v>
      </c>
      <c r="AQ64" s="89" t="str">
        <f t="shared" si="2"/>
        <v/>
      </c>
      <c r="AR64" s="89">
        <f>IFERROR(VLOOKUP(A64,Climatologia!A:U,9+$E$2,FALSE),"")</f>
        <v>22.055755336617409</v>
      </c>
      <c r="AS64" s="89" t="str">
        <f t="shared" si="3"/>
        <v/>
      </c>
      <c r="AT64" s="90">
        <f t="shared" si="4"/>
        <v>21.8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33493</v>
      </c>
      <c r="AW64" s="92">
        <f t="shared" si="5"/>
        <v>3.9000000000000021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24</v>
      </c>
      <c r="L65" s="51">
        <v>22.2</v>
      </c>
      <c r="M65" s="51">
        <v>22.2</v>
      </c>
      <c r="N65" s="51">
        <v>22.8</v>
      </c>
      <c r="O65" s="51">
        <v>22.8</v>
      </c>
      <c r="P65" s="51">
        <v>22.4</v>
      </c>
      <c r="Q65" s="51">
        <v>23.2</v>
      </c>
      <c r="R65" s="51">
        <v>22</v>
      </c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8</v>
      </c>
      <c r="AQ65" s="89" t="str">
        <f t="shared" si="2"/>
        <v/>
      </c>
      <c r="AR65" s="89">
        <f>IFERROR(VLOOKUP(A65,Climatologia!A:U,9+$E$2,FALSE),"")</f>
        <v>21.68406544285855</v>
      </c>
      <c r="AS65" s="89" t="str">
        <f t="shared" si="3"/>
        <v/>
      </c>
      <c r="AT65" s="90">
        <f t="shared" si="4"/>
        <v>22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39330</v>
      </c>
      <c r="AW65" s="92">
        <f t="shared" si="5"/>
        <v>4</v>
      </c>
    </row>
    <row r="66" spans="1:49" ht="14.25" customHeight="1" x14ac:dyDescent="0.2">
      <c r="A66" s="48">
        <v>35035020</v>
      </c>
      <c r="B66" s="52" t="s">
        <v>94</v>
      </c>
      <c r="C66" s="52" t="s">
        <v>150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95</v>
      </c>
      <c r="J66" s="55" t="s">
        <v>96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20.68482758620689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17.8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163</v>
      </c>
      <c r="C67" s="52" t="s">
        <v>150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95</v>
      </c>
      <c r="J67" s="55" t="s">
        <v>164</v>
      </c>
      <c r="K67" s="51">
        <v>21.4</v>
      </c>
      <c r="L67" s="51">
        <v>22</v>
      </c>
      <c r="M67" s="51">
        <v>20.8</v>
      </c>
      <c r="N67" s="51">
        <v>21.6</v>
      </c>
      <c r="O67" s="51">
        <v>21</v>
      </c>
      <c r="P67" s="51">
        <v>20.6</v>
      </c>
      <c r="Q67" s="51">
        <v>21.2</v>
      </c>
      <c r="R67" s="51">
        <v>20</v>
      </c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8</v>
      </c>
      <c r="AQ67" s="89" t="str">
        <f t="shared" si="2"/>
        <v/>
      </c>
      <c r="AR67" s="89">
        <f>IFERROR(VLOOKUP(A67,Climatologia!A:U,9+$E$2,FALSE),"")</f>
        <v>21.265392804773391</v>
      </c>
      <c r="AS67" s="89" t="str">
        <f t="shared" si="3"/>
        <v/>
      </c>
      <c r="AT67" s="90">
        <f t="shared" si="4"/>
        <v>20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18.2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30931</v>
      </c>
      <c r="AW67" s="92">
        <f t="shared" si="5"/>
        <v>1.8000000000000007</v>
      </c>
    </row>
    <row r="68" spans="1:49" ht="14.25" customHeight="1" x14ac:dyDescent="0.2">
      <c r="A68" s="48">
        <v>35095110</v>
      </c>
      <c r="B68" s="52" t="s">
        <v>165</v>
      </c>
      <c r="C68" s="52" t="s">
        <v>150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166</v>
      </c>
      <c r="J68" s="55" t="s">
        <v>167</v>
      </c>
      <c r="K68" s="51">
        <v>20.2</v>
      </c>
      <c r="L68" s="51">
        <v>21.4</v>
      </c>
      <c r="M68" s="51">
        <v>21.6</v>
      </c>
      <c r="N68" s="51">
        <v>22</v>
      </c>
      <c r="O68" s="51">
        <v>21.8</v>
      </c>
      <c r="P68" s="51">
        <v>20</v>
      </c>
      <c r="Q68" s="51">
        <v>20.100000000000001</v>
      </c>
      <c r="R68" s="51">
        <v>21.1</v>
      </c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8</v>
      </c>
      <c r="AQ68" s="89" t="str">
        <f t="shared" si="2"/>
        <v/>
      </c>
      <c r="AR68" s="89">
        <f>IFERROR(VLOOKUP(A68,Climatologia!A:U,9+$E$2,FALSE),"")</f>
        <v>21.303087027914611</v>
      </c>
      <c r="AS68" s="89" t="str">
        <f t="shared" si="3"/>
        <v/>
      </c>
      <c r="AT68" s="90">
        <f t="shared" si="4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168</v>
      </c>
      <c r="C69" s="52" t="s">
        <v>150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95</v>
      </c>
      <c r="J69" s="55" t="s">
        <v>169</v>
      </c>
      <c r="K69" s="51">
        <v>23.6</v>
      </c>
      <c r="L69" s="51">
        <v>22.6</v>
      </c>
      <c r="M69" s="51">
        <v>22.4</v>
      </c>
      <c r="N69" s="51">
        <v>23.8</v>
      </c>
      <c r="O69" s="51">
        <v>22.8</v>
      </c>
      <c r="P69" s="51">
        <v>22.8</v>
      </c>
      <c r="Q69" s="51">
        <v>21.4</v>
      </c>
      <c r="R69" s="51">
        <v>22.8</v>
      </c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8</v>
      </c>
      <c r="AQ69" s="89" t="str">
        <f t="shared" ref="AQ69:AQ132" si="7">IF(AP69&gt;14,AVERAGE(K69:AO69),"")</f>
        <v/>
      </c>
      <c r="AR69" s="89">
        <f>IFERROR(VLOOKUP(A69,Climatologia!A:U,9+$E$2,FALSE),"")</f>
        <v>21.233794084615539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21.4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18.399999999999999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35323</v>
      </c>
      <c r="AW69" s="92">
        <f t="shared" ref="AW69:AW132" si="10">IF(OR(AT69="",AU69=""),"NA",IFERROR(AT69-AU69,"NA"))</f>
        <v>3</v>
      </c>
    </row>
    <row r="70" spans="1:49" ht="14.25" customHeight="1" x14ac:dyDescent="0.2">
      <c r="A70" s="48">
        <v>35225030</v>
      </c>
      <c r="B70" s="52" t="s">
        <v>170</v>
      </c>
      <c r="C70" s="52" t="s">
        <v>150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166</v>
      </c>
      <c r="J70" s="55" t="s">
        <v>171</v>
      </c>
      <c r="K70" s="51">
        <v>24.2</v>
      </c>
      <c r="L70" s="51">
        <v>22.3</v>
      </c>
      <c r="M70" s="51">
        <v>24</v>
      </c>
      <c r="N70" s="51">
        <v>23.3</v>
      </c>
      <c r="O70" s="51">
        <v>24</v>
      </c>
      <c r="P70" s="51"/>
      <c r="Q70" s="51">
        <v>23</v>
      </c>
      <c r="R70" s="51">
        <v>23.4</v>
      </c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7</v>
      </c>
      <c r="AQ70" s="89" t="str">
        <f t="shared" si="7"/>
        <v/>
      </c>
      <c r="AR70" s="89">
        <f>IFERROR(VLOOKUP(A70,Climatologia!A:U,9+$E$2,FALSE),"")</f>
        <v>22.62335339263911</v>
      </c>
      <c r="AS70" s="89" t="str">
        <f t="shared" si="8"/>
        <v/>
      </c>
      <c r="AT70" s="90">
        <f t="shared" si="9"/>
        <v>22.3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70" s="92">
        <f t="shared" si="10"/>
        <v>8.3000000000000007</v>
      </c>
    </row>
    <row r="71" spans="1:49" ht="14.25" customHeight="1" x14ac:dyDescent="0.2">
      <c r="A71" s="48">
        <v>42075010</v>
      </c>
      <c r="B71" s="52" t="s">
        <v>172</v>
      </c>
      <c r="C71" s="52" t="s">
        <v>150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173</v>
      </c>
      <c r="J71" s="55" t="s">
        <v>174</v>
      </c>
      <c r="K71" s="51">
        <v>23.3</v>
      </c>
      <c r="L71" s="51">
        <v>23.3</v>
      </c>
      <c r="M71" s="51">
        <v>22.3</v>
      </c>
      <c r="N71" s="51">
        <v>21.3</v>
      </c>
      <c r="O71" s="51">
        <v>21.3</v>
      </c>
      <c r="P71" s="51">
        <v>21.3</v>
      </c>
      <c r="Q71" s="51">
        <v>21.2</v>
      </c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7</v>
      </c>
      <c r="AQ71" s="89" t="str">
        <f t="shared" si="7"/>
        <v/>
      </c>
      <c r="AR71" s="89">
        <f>IFERROR(VLOOKUP(A71,Climatologia!A:U,9+$E$2,FALSE),"")</f>
        <v>21.58913993796752</v>
      </c>
      <c r="AS71" s="89" t="str">
        <f t="shared" si="8"/>
        <v/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17.2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37136</v>
      </c>
      <c r="AW71" s="92">
        <f t="shared" si="10"/>
        <v>4</v>
      </c>
    </row>
    <row r="72" spans="1:49" ht="14.25" customHeight="1" x14ac:dyDescent="0.2">
      <c r="A72" s="48">
        <v>3502500006</v>
      </c>
      <c r="B72" s="52" t="s">
        <v>175</v>
      </c>
      <c r="C72" s="52" t="s">
        <v>150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95</v>
      </c>
      <c r="J72" s="55" t="s">
        <v>176</v>
      </c>
      <c r="K72" s="51">
        <v>20.8</v>
      </c>
      <c r="L72" s="51">
        <v>21.8</v>
      </c>
      <c r="M72" s="51">
        <v>20.8</v>
      </c>
      <c r="N72" s="51">
        <v>20.8</v>
      </c>
      <c r="O72" s="51">
        <v>21</v>
      </c>
      <c r="P72" s="51">
        <v>20.8</v>
      </c>
      <c r="Q72" s="51"/>
      <c r="R72" s="51">
        <v>20.6</v>
      </c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7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44091</v>
      </c>
      <c r="AW72" s="92">
        <f t="shared" si="10"/>
        <v>1.6000000000000014</v>
      </c>
    </row>
    <row r="73" spans="1:49" ht="14.25" customHeight="1" x14ac:dyDescent="0.2">
      <c r="A73" s="48">
        <v>21025030</v>
      </c>
      <c r="B73" s="52" t="s">
        <v>177</v>
      </c>
      <c r="C73" s="52" t="s">
        <v>178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79</v>
      </c>
      <c r="J73" s="55" t="s">
        <v>179</v>
      </c>
      <c r="K73" s="51">
        <v>18.2</v>
      </c>
      <c r="L73" s="51">
        <v>16.399999999999999</v>
      </c>
      <c r="M73" s="51">
        <v>17.2</v>
      </c>
      <c r="N73" s="51">
        <v>18.2</v>
      </c>
      <c r="O73" s="51">
        <v>17.2</v>
      </c>
      <c r="P73" s="51">
        <v>17.399999999999999</v>
      </c>
      <c r="Q73" s="51">
        <v>17</v>
      </c>
      <c r="R73" s="51">
        <v>17.2</v>
      </c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8</v>
      </c>
      <c r="AQ73" s="89" t="str">
        <f t="shared" si="7"/>
        <v/>
      </c>
      <c r="AR73" s="89">
        <f>IFERROR(VLOOKUP(A73,Climatologia!A:U,9+$E$2,FALSE),"")</f>
        <v>16.856863660477451</v>
      </c>
      <c r="AS73" s="89" t="str">
        <f t="shared" si="8"/>
        <v/>
      </c>
      <c r="AT73" s="90">
        <f t="shared" si="9"/>
        <v>16.399999999999999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14.2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37510</v>
      </c>
      <c r="AW73" s="92">
        <f t="shared" si="10"/>
        <v>2.1999999999999993</v>
      </c>
    </row>
    <row r="74" spans="1:49" ht="14.25" customHeight="1" x14ac:dyDescent="0.2">
      <c r="A74" s="48">
        <v>21055030</v>
      </c>
      <c r="B74" s="52" t="s">
        <v>180</v>
      </c>
      <c r="C74" s="52" t="s">
        <v>178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181</v>
      </c>
      <c r="J74" s="55" t="s">
        <v>182</v>
      </c>
      <c r="K74" s="51">
        <v>11.2</v>
      </c>
      <c r="L74" s="51">
        <v>11.2</v>
      </c>
      <c r="M74" s="51">
        <v>13</v>
      </c>
      <c r="N74" s="51">
        <v>12.2</v>
      </c>
      <c r="O74" s="51">
        <v>12.4</v>
      </c>
      <c r="P74" s="51">
        <v>12.2</v>
      </c>
      <c r="Q74" s="51">
        <v>12</v>
      </c>
      <c r="R74" s="51">
        <v>11.6</v>
      </c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8</v>
      </c>
      <c r="AQ74" s="89" t="str">
        <f t="shared" si="7"/>
        <v/>
      </c>
      <c r="AR74" s="89">
        <f>IFERROR(VLOOKUP(A74,Climatologia!A:U,9+$E$2,FALSE),"")</f>
        <v>11.565427904789971</v>
      </c>
      <c r="AS74" s="89" t="str">
        <f t="shared" si="8"/>
        <v/>
      </c>
      <c r="AT74" s="90">
        <f t="shared" si="9"/>
        <v>11.2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34218</v>
      </c>
      <c r="AW74" s="92">
        <f t="shared" si="10"/>
        <v>3.1999999999999993</v>
      </c>
    </row>
    <row r="75" spans="1:49" ht="14.25" customHeight="1" x14ac:dyDescent="0.2">
      <c r="A75" s="48">
        <v>21065040</v>
      </c>
      <c r="B75" s="52" t="s">
        <v>183</v>
      </c>
      <c r="C75" s="52" t="s">
        <v>178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79</v>
      </c>
      <c r="J75" s="55" t="s">
        <v>184</v>
      </c>
      <c r="K75" s="51">
        <v>14.2</v>
      </c>
      <c r="L75" s="51">
        <v>14</v>
      </c>
      <c r="M75" s="51">
        <v>17.2</v>
      </c>
      <c r="N75" s="51">
        <v>16.2</v>
      </c>
      <c r="O75" s="51">
        <v>17.2</v>
      </c>
      <c r="P75" s="51">
        <v>17</v>
      </c>
      <c r="Q75" s="51">
        <v>15.2</v>
      </c>
      <c r="R75" s="51"/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7</v>
      </c>
      <c r="AQ75" s="89" t="str">
        <f t="shared" si="7"/>
        <v/>
      </c>
      <c r="AR75" s="89">
        <f>IFERROR(VLOOKUP(A75,Climatologia!A:U,9+$E$2,FALSE),"")</f>
        <v>15.41515998624619</v>
      </c>
      <c r="AS75" s="89" t="str">
        <f t="shared" si="8"/>
        <v/>
      </c>
      <c r="AT75" s="90">
        <f t="shared" si="9"/>
        <v>14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30571</v>
      </c>
      <c r="AW75" s="92">
        <f t="shared" si="10"/>
        <v>2.5999999999999996</v>
      </c>
    </row>
    <row r="76" spans="1:49" ht="14.25" customHeight="1" x14ac:dyDescent="0.2">
      <c r="A76" s="48">
        <v>21115100</v>
      </c>
      <c r="B76" s="52" t="s">
        <v>185</v>
      </c>
      <c r="C76" s="52" t="s">
        <v>178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79</v>
      </c>
      <c r="J76" s="55" t="s">
        <v>80</v>
      </c>
      <c r="K76" s="51">
        <v>18</v>
      </c>
      <c r="L76" s="51">
        <v>16</v>
      </c>
      <c r="M76" s="51">
        <v>15.8</v>
      </c>
      <c r="N76" s="51">
        <v>18.2</v>
      </c>
      <c r="O76" s="51">
        <v>17.8</v>
      </c>
      <c r="P76" s="51">
        <v>18</v>
      </c>
      <c r="Q76" s="51">
        <v>17</v>
      </c>
      <c r="R76" s="51">
        <v>15.4</v>
      </c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116"/>
      <c r="AM76" s="51"/>
      <c r="AN76" s="51"/>
      <c r="AO76" s="51"/>
      <c r="AP76" s="88">
        <f t="shared" si="6"/>
        <v>8</v>
      </c>
      <c r="AQ76" s="89" t="str">
        <f t="shared" si="7"/>
        <v/>
      </c>
      <c r="AR76" s="89">
        <f>IFERROR(VLOOKUP(A76,Climatologia!A:U,9+$E$2,FALSE),"")</f>
        <v>18.656310283027459</v>
      </c>
      <c r="AS76" s="89" t="str">
        <f t="shared" si="8"/>
        <v/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33873</v>
      </c>
      <c r="AW76" s="92">
        <f t="shared" si="10"/>
        <v>0.80000000000000071</v>
      </c>
    </row>
    <row r="77" spans="1:49" ht="14.25" customHeight="1" x14ac:dyDescent="0.2">
      <c r="A77" s="48">
        <v>21135030</v>
      </c>
      <c r="B77" s="52" t="s">
        <v>186</v>
      </c>
      <c r="C77" s="52" t="s">
        <v>178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70</v>
      </c>
      <c r="J77" s="55" t="s">
        <v>187</v>
      </c>
      <c r="K77" s="51">
        <v>26</v>
      </c>
      <c r="L77" s="51">
        <v>25.8</v>
      </c>
      <c r="M77" s="51">
        <v>24</v>
      </c>
      <c r="N77" s="51">
        <v>27.8</v>
      </c>
      <c r="O77" s="51">
        <v>28.8</v>
      </c>
      <c r="P77" s="51">
        <v>28.8</v>
      </c>
      <c r="Q77" s="51">
        <v>29</v>
      </c>
      <c r="R77" s="51">
        <v>24</v>
      </c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8</v>
      </c>
      <c r="AQ77" s="89" t="str">
        <f t="shared" si="7"/>
        <v/>
      </c>
      <c r="AR77" s="89">
        <f>IFERROR(VLOOKUP(A77,Climatologia!A:U,9+$E$2,FALSE),"")</f>
        <v>24.258489020705198</v>
      </c>
      <c r="AS77" s="89" t="str">
        <f t="shared" si="8"/>
        <v/>
      </c>
      <c r="AT77" s="90">
        <f t="shared" si="9"/>
        <v>24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18.600000000000001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29833</v>
      </c>
      <c r="AW77" s="92">
        <f t="shared" si="10"/>
        <v>5.3999999999999986</v>
      </c>
    </row>
    <row r="78" spans="1:49" ht="14.25" customHeight="1" x14ac:dyDescent="0.2">
      <c r="A78" s="48">
        <v>21145040</v>
      </c>
      <c r="B78" s="52" t="s">
        <v>188</v>
      </c>
      <c r="C78" s="52" t="s">
        <v>178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79</v>
      </c>
      <c r="J78" s="55" t="s">
        <v>189</v>
      </c>
      <c r="K78" s="51">
        <v>24.6</v>
      </c>
      <c r="L78" s="51">
        <v>23.6</v>
      </c>
      <c r="M78" s="51">
        <v>22.6</v>
      </c>
      <c r="N78" s="51">
        <v>24.8</v>
      </c>
      <c r="O78" s="51">
        <v>24.8</v>
      </c>
      <c r="P78" s="51">
        <v>27.8</v>
      </c>
      <c r="Q78" s="51">
        <v>27.4</v>
      </c>
      <c r="R78" s="51">
        <v>24.6</v>
      </c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8</v>
      </c>
      <c r="AQ78" s="89" t="str">
        <f t="shared" si="7"/>
        <v/>
      </c>
      <c r="AR78" s="89">
        <f>IFERROR(VLOOKUP(A78,Climatologia!A:U,9+$E$2,FALSE),"")</f>
        <v>23.486005023711911</v>
      </c>
      <c r="AS78" s="89" t="str">
        <f t="shared" si="8"/>
        <v/>
      </c>
      <c r="AT78" s="90">
        <f t="shared" si="9"/>
        <v>22.6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29099</v>
      </c>
      <c r="AW78" s="92">
        <f t="shared" si="10"/>
        <v>4.6000000000000014</v>
      </c>
    </row>
    <row r="79" spans="1:49" ht="14.25" customHeight="1" x14ac:dyDescent="0.2">
      <c r="A79" s="48">
        <v>21145080</v>
      </c>
      <c r="B79" s="52" t="s">
        <v>190</v>
      </c>
      <c r="C79" s="52" t="s">
        <v>178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79</v>
      </c>
      <c r="J79" s="55" t="s">
        <v>191</v>
      </c>
      <c r="K79" s="51">
        <v>14.8</v>
      </c>
      <c r="L79" s="51">
        <v>15</v>
      </c>
      <c r="M79" s="51">
        <v>14.4</v>
      </c>
      <c r="N79" s="51">
        <v>14.2</v>
      </c>
      <c r="O79" s="51">
        <v>14.2</v>
      </c>
      <c r="P79" s="51">
        <v>15.2</v>
      </c>
      <c r="Q79" s="51">
        <v>14.4</v>
      </c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7</v>
      </c>
      <c r="AQ79" s="89" t="str">
        <f t="shared" si="7"/>
        <v/>
      </c>
      <c r="AR79" s="89">
        <f>IFERROR(VLOOKUP(A79,Climatologia!A:U,9+$E$2,FALSE),"")</f>
        <v>15.67780219897565</v>
      </c>
      <c r="AS79" s="89" t="str">
        <f t="shared" si="8"/>
        <v/>
      </c>
      <c r="AT79" s="90">
        <f t="shared" si="9"/>
        <v>14.2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192</v>
      </c>
      <c r="C80" s="52" t="s">
        <v>178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193</v>
      </c>
      <c r="J80" s="55" t="s">
        <v>194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20.9214094475129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17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195</v>
      </c>
      <c r="C81" s="52" t="s">
        <v>178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193</v>
      </c>
      <c r="J81" s="55" t="s">
        <v>196</v>
      </c>
      <c r="K81" s="51">
        <v>23.6</v>
      </c>
      <c r="L81" s="51">
        <v>23.2</v>
      </c>
      <c r="M81" s="51">
        <v>23.2</v>
      </c>
      <c r="N81" s="51">
        <v>23.8</v>
      </c>
      <c r="O81" s="51">
        <v>23.6</v>
      </c>
      <c r="P81" s="51">
        <v>23.4</v>
      </c>
      <c r="Q81" s="51">
        <v>23</v>
      </c>
      <c r="R81" s="51">
        <v>23</v>
      </c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8</v>
      </c>
      <c r="AQ81" s="89" t="str">
        <f t="shared" si="7"/>
        <v/>
      </c>
      <c r="AR81" s="89">
        <f>IFERROR(VLOOKUP(A81,Climatologia!A:U,9+$E$2,FALSE),"")</f>
        <v>22.145798455144551</v>
      </c>
      <c r="AS81" s="89" t="str">
        <f t="shared" si="8"/>
        <v/>
      </c>
      <c r="AT81" s="90">
        <f t="shared" si="9"/>
        <v>23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1" s="92">
        <f t="shared" si="10"/>
        <v>5.3999999999999986</v>
      </c>
    </row>
    <row r="82" spans="1:49" ht="14.25" customHeight="1" x14ac:dyDescent="0.2">
      <c r="A82" s="48">
        <v>15045010</v>
      </c>
      <c r="B82" s="52" t="s">
        <v>197</v>
      </c>
      <c r="C82" s="52" t="s">
        <v>198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40</v>
      </c>
      <c r="J82" s="55" t="s">
        <v>41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29125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199</v>
      </c>
      <c r="C83" s="52" t="s">
        <v>198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40</v>
      </c>
      <c r="J83" s="55" t="s">
        <v>199</v>
      </c>
      <c r="K83" s="51">
        <v>27.2</v>
      </c>
      <c r="L83" s="51">
        <v>26.8</v>
      </c>
      <c r="M83" s="51">
        <v>27</v>
      </c>
      <c r="N83" s="51">
        <v>27.4</v>
      </c>
      <c r="O83" s="51">
        <v>28</v>
      </c>
      <c r="P83" s="51">
        <v>28.8</v>
      </c>
      <c r="Q83" s="51">
        <v>29.4</v>
      </c>
      <c r="R83" s="51">
        <v>28.6</v>
      </c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8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26.8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17.8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31662</v>
      </c>
      <c r="AW83" s="92">
        <f t="shared" si="10"/>
        <v>9</v>
      </c>
    </row>
    <row r="84" spans="1:49" ht="14.25" customHeight="1" x14ac:dyDescent="0.2">
      <c r="A84" s="48">
        <v>15085030</v>
      </c>
      <c r="B84" s="52" t="s">
        <v>200</v>
      </c>
      <c r="C84" s="52" t="s">
        <v>198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40</v>
      </c>
      <c r="J84" s="55" t="s">
        <v>201</v>
      </c>
      <c r="K84" s="51">
        <v>25.4</v>
      </c>
      <c r="L84" s="51">
        <v>26.8</v>
      </c>
      <c r="M84" s="51">
        <v>27.2</v>
      </c>
      <c r="N84" s="51">
        <v>26</v>
      </c>
      <c r="O84" s="51">
        <v>27.6</v>
      </c>
      <c r="P84" s="51">
        <v>27</v>
      </c>
      <c r="Q84" s="51">
        <v>27.8</v>
      </c>
      <c r="R84" s="51">
        <v>27.2</v>
      </c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8</v>
      </c>
      <c r="AQ84" s="89" t="str">
        <f t="shared" si="7"/>
        <v/>
      </c>
      <c r="AR84" s="89">
        <f>IFERROR(VLOOKUP(A84,Climatologia!A:U,9+$E$2,FALSE),"")</f>
        <v>23.18181172727245</v>
      </c>
      <c r="AS84" s="89" t="str">
        <f t="shared" si="8"/>
        <v/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33120</v>
      </c>
      <c r="AW84" s="92">
        <f t="shared" si="10"/>
        <v>10.199999999999999</v>
      </c>
    </row>
    <row r="85" spans="1:49" ht="14.25" customHeight="1" x14ac:dyDescent="0.2">
      <c r="A85" s="48">
        <v>25025002</v>
      </c>
      <c r="B85" s="52" t="s">
        <v>202</v>
      </c>
      <c r="C85" s="52" t="s">
        <v>198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31</v>
      </c>
      <c r="J85" s="55" t="s">
        <v>203</v>
      </c>
      <c r="K85" s="51">
        <v>23.6</v>
      </c>
      <c r="L85" s="51">
        <v>25.2</v>
      </c>
      <c r="M85" s="51">
        <v>23.6</v>
      </c>
      <c r="N85" s="51">
        <v>26.6</v>
      </c>
      <c r="O85" s="51">
        <v>24.8</v>
      </c>
      <c r="P85" s="51">
        <v>24.6</v>
      </c>
      <c r="Q85" s="51">
        <v>24.4</v>
      </c>
      <c r="R85" s="51">
        <v>24.7</v>
      </c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8</v>
      </c>
      <c r="AQ85" s="89" t="str">
        <f t="shared" si="7"/>
        <v/>
      </c>
      <c r="AR85" s="89">
        <f>IFERROR(VLOOKUP(A85,Climatologia!A:U,9+$E$2,FALSE),"")</f>
        <v>22.978702810599369</v>
      </c>
      <c r="AS85" s="89" t="str">
        <f t="shared" si="8"/>
        <v/>
      </c>
      <c r="AT85" s="90">
        <f t="shared" si="9"/>
        <v>23.6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38244</v>
      </c>
      <c r="AW85" s="92">
        <f t="shared" si="10"/>
        <v>5.6000000000000014</v>
      </c>
    </row>
    <row r="86" spans="1:49" ht="14.25" customHeight="1" x14ac:dyDescent="0.2">
      <c r="A86" s="48">
        <v>28015070</v>
      </c>
      <c r="B86" s="52" t="s">
        <v>204</v>
      </c>
      <c r="C86" s="52" t="s">
        <v>198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40</v>
      </c>
      <c r="J86" s="55" t="s">
        <v>205</v>
      </c>
      <c r="K86" s="51">
        <v>20</v>
      </c>
      <c r="L86" s="51">
        <v>19.8</v>
      </c>
      <c r="M86" s="51">
        <v>21.8</v>
      </c>
      <c r="N86" s="51">
        <v>20</v>
      </c>
      <c r="O86" s="51">
        <v>21.8</v>
      </c>
      <c r="P86" s="51">
        <v>21.6</v>
      </c>
      <c r="Q86" s="51">
        <v>20.6</v>
      </c>
      <c r="R86" s="51">
        <v>20.399999999999999</v>
      </c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8</v>
      </c>
      <c r="AQ86" s="89" t="str">
        <f t="shared" si="7"/>
        <v/>
      </c>
      <c r="AR86" s="89">
        <f>IFERROR(VLOOKUP(A86,Climatologia!A:U,9+$E$2,FALSE),"")</f>
        <v>22.3738564692013</v>
      </c>
      <c r="AS86" s="89" t="str">
        <f t="shared" si="8"/>
        <v/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86" s="92">
        <f t="shared" si="10"/>
        <v>1.3000000000000007</v>
      </c>
    </row>
    <row r="87" spans="1:49" ht="14.25" customHeight="1" x14ac:dyDescent="0.2">
      <c r="A87" s="48">
        <v>28035010</v>
      </c>
      <c r="B87" s="52" t="s">
        <v>206</v>
      </c>
      <c r="C87" s="52" t="s">
        <v>198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23.4</v>
      </c>
      <c r="L87" s="51"/>
      <c r="M87" s="51">
        <v>24.2</v>
      </c>
      <c r="N87" s="51">
        <v>24</v>
      </c>
      <c r="O87" s="51">
        <v>26.6</v>
      </c>
      <c r="P87" s="51">
        <v>25</v>
      </c>
      <c r="Q87" s="51">
        <v>24.2</v>
      </c>
      <c r="R87" s="51">
        <v>25.2</v>
      </c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7</v>
      </c>
      <c r="AQ87" s="89" t="str">
        <f t="shared" si="7"/>
        <v/>
      </c>
      <c r="AR87" s="89">
        <f>IFERROR(VLOOKUP(A87,Climatologia!A:U,9+$E$2,FALSE),"")</f>
        <v>23.309072933771219</v>
      </c>
      <c r="AS87" s="89" t="str">
        <f t="shared" si="8"/>
        <v/>
      </c>
      <c r="AT87" s="90">
        <f t="shared" si="9"/>
        <v>23.4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31684</v>
      </c>
      <c r="AW87" s="92">
        <f t="shared" si="10"/>
        <v>5.3999999999999986</v>
      </c>
    </row>
    <row r="88" spans="1:49" ht="14.25" customHeight="1" x14ac:dyDescent="0.2">
      <c r="A88" s="48">
        <v>28035020</v>
      </c>
      <c r="B88" s="52" t="s">
        <v>207</v>
      </c>
      <c r="C88" s="52" t="s">
        <v>198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43</v>
      </c>
      <c r="J88" s="55" t="s">
        <v>44</v>
      </c>
      <c r="K88" s="51">
        <v>24</v>
      </c>
      <c r="L88" s="51">
        <v>24.2</v>
      </c>
      <c r="M88" s="51">
        <v>23.6</v>
      </c>
      <c r="N88" s="51">
        <v>22.8</v>
      </c>
      <c r="O88" s="51">
        <v>25.6</v>
      </c>
      <c r="P88" s="51">
        <v>25</v>
      </c>
      <c r="Q88" s="51">
        <v>23.4</v>
      </c>
      <c r="R88" s="51">
        <v>26.6</v>
      </c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8</v>
      </c>
      <c r="AQ88" s="89" t="str">
        <f t="shared" si="7"/>
        <v/>
      </c>
      <c r="AR88" s="89">
        <f>IFERROR(VLOOKUP(A88,Climatologia!A:U,9+$E$2,FALSE),"")</f>
        <v>22.641522648439089</v>
      </c>
      <c r="AS88" s="89" t="str">
        <f t="shared" si="8"/>
        <v/>
      </c>
      <c r="AT88" s="90">
        <f t="shared" si="9"/>
        <v>22.8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17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29469</v>
      </c>
      <c r="AW88" s="92">
        <f t="shared" si="10"/>
        <v>5.8000000000000007</v>
      </c>
    </row>
    <row r="89" spans="1:49" s="118" customFormat="1" ht="14.25" customHeight="1" x14ac:dyDescent="0.2">
      <c r="A89" s="48">
        <v>25025330</v>
      </c>
      <c r="B89" s="52" t="s">
        <v>208</v>
      </c>
      <c r="C89" s="52" t="s">
        <v>198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43</v>
      </c>
      <c r="J89" s="55" t="s">
        <v>209</v>
      </c>
      <c r="K89" s="116">
        <v>24.8</v>
      </c>
      <c r="L89" s="116">
        <v>26.4</v>
      </c>
      <c r="M89" s="116">
        <v>24.2</v>
      </c>
      <c r="N89" s="116">
        <v>25.8</v>
      </c>
      <c r="O89" s="116">
        <v>25.6</v>
      </c>
      <c r="P89" s="116">
        <v>26.2</v>
      </c>
      <c r="Q89" s="116">
        <v>25.2</v>
      </c>
      <c r="R89" s="116">
        <v>26.2</v>
      </c>
      <c r="S89" s="116"/>
      <c r="T89" s="116"/>
      <c r="U89" s="116"/>
      <c r="V89" s="116"/>
      <c r="W89" s="116"/>
      <c r="X89" s="116"/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8</v>
      </c>
      <c r="AQ89" s="89" t="str">
        <f t="shared" si="7"/>
        <v/>
      </c>
      <c r="AR89" s="89">
        <f>IFERROR(VLOOKUP(A89,Climatologia!A:U,9+$E$2,FALSE),"")</f>
        <v>22.80732142857142</v>
      </c>
      <c r="AS89" s="89" t="str">
        <f t="shared" si="8"/>
        <v/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34231</v>
      </c>
      <c r="AW89" s="92">
        <f t="shared" si="10"/>
        <v>10</v>
      </c>
    </row>
    <row r="90" spans="1:49" ht="14.25" customHeight="1" x14ac:dyDescent="0.2">
      <c r="A90" s="48">
        <v>23125100</v>
      </c>
      <c r="B90" s="52" t="s">
        <v>210</v>
      </c>
      <c r="C90" s="52" t="s">
        <v>211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212</v>
      </c>
      <c r="J90" s="55" t="s">
        <v>210</v>
      </c>
      <c r="K90" s="51">
        <v>11.2</v>
      </c>
      <c r="L90" s="51">
        <v>10.199999999999999</v>
      </c>
      <c r="M90" s="51">
        <v>11</v>
      </c>
      <c r="N90" s="51">
        <v>11</v>
      </c>
      <c r="O90" s="51">
        <v>13.2</v>
      </c>
      <c r="P90" s="51">
        <v>11.6</v>
      </c>
      <c r="Q90" s="51">
        <v>11.8</v>
      </c>
      <c r="R90" s="51">
        <v>10.4</v>
      </c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8</v>
      </c>
      <c r="AQ90" s="89" t="str">
        <f t="shared" si="7"/>
        <v/>
      </c>
      <c r="AR90" s="89">
        <f>IFERROR(VLOOKUP(A90,Climatologia!A:U,9+$E$2,FALSE),"")</f>
        <v>11.04377011494253</v>
      </c>
      <c r="AS90" s="89" t="str">
        <f t="shared" si="8"/>
        <v/>
      </c>
      <c r="AT90" s="90">
        <f t="shared" si="9"/>
        <v>10.199999999999999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36787</v>
      </c>
      <c r="AW90" s="92">
        <f t="shared" si="10"/>
        <v>5.9999999999999991</v>
      </c>
    </row>
    <row r="91" spans="1:49" ht="14.25" customHeight="1" x14ac:dyDescent="0.2">
      <c r="A91" s="48">
        <v>23125140</v>
      </c>
      <c r="B91" s="52" t="s">
        <v>213</v>
      </c>
      <c r="C91" s="52" t="s">
        <v>211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212</v>
      </c>
      <c r="J91" s="55" t="s">
        <v>214</v>
      </c>
      <c r="K91" s="51">
        <v>19.2</v>
      </c>
      <c r="L91" s="51">
        <v>18.600000000000001</v>
      </c>
      <c r="M91" s="51">
        <v>19</v>
      </c>
      <c r="N91" s="51">
        <v>19.2</v>
      </c>
      <c r="O91" s="51">
        <v>19</v>
      </c>
      <c r="P91" s="51">
        <v>19.399999999999999</v>
      </c>
      <c r="Q91" s="51">
        <v>17.600000000000001</v>
      </c>
      <c r="R91" s="51">
        <v>18.399999999999999</v>
      </c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8</v>
      </c>
      <c r="AQ91" s="89" t="str">
        <f t="shared" si="7"/>
        <v/>
      </c>
      <c r="AR91" s="89">
        <f>IFERROR(VLOOKUP(A91,Climatologia!A:U,9+$E$2,FALSE),"")</f>
        <v>17.65629355956942</v>
      </c>
      <c r="AS91" s="89" t="str">
        <f t="shared" si="8"/>
        <v/>
      </c>
      <c r="AT91" s="90">
        <f t="shared" si="9"/>
        <v>17.600000000000001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14.2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91" s="92">
        <f t="shared" si="10"/>
        <v>3.4000000000000021</v>
      </c>
    </row>
    <row r="92" spans="1:49" ht="14.25" customHeight="1" x14ac:dyDescent="0.2">
      <c r="A92" s="48">
        <v>24015090</v>
      </c>
      <c r="B92" s="52" t="s">
        <v>215</v>
      </c>
      <c r="C92" s="52" t="s">
        <v>211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212</v>
      </c>
      <c r="J92" s="55" t="s">
        <v>216</v>
      </c>
      <c r="K92" s="51">
        <v>12.2</v>
      </c>
      <c r="L92" s="51">
        <v>10.199999999999999</v>
      </c>
      <c r="M92" s="51">
        <v>10.199999999999999</v>
      </c>
      <c r="N92" s="51">
        <v>10.8</v>
      </c>
      <c r="O92" s="51"/>
      <c r="P92" s="51"/>
      <c r="Q92" s="51">
        <v>12</v>
      </c>
      <c r="R92" s="51">
        <v>9</v>
      </c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6</v>
      </c>
      <c r="AQ92" s="89" t="str">
        <f t="shared" si="7"/>
        <v/>
      </c>
      <c r="AR92" s="89">
        <f>IFERROR(VLOOKUP(A92,Climatologia!A:U,9+$E$2,FALSE),"")</f>
        <v>11.22937715871128</v>
      </c>
      <c r="AS92" s="89" t="str">
        <f t="shared" si="8"/>
        <v/>
      </c>
      <c r="AT92" s="90">
        <f t="shared" si="9"/>
        <v>9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7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2" s="92">
        <f t="shared" si="10"/>
        <v>2</v>
      </c>
    </row>
    <row r="93" spans="1:49" ht="14.25" customHeight="1" x14ac:dyDescent="0.2">
      <c r="A93" s="48">
        <v>24015220</v>
      </c>
      <c r="B93" s="52" t="s">
        <v>217</v>
      </c>
      <c r="C93" s="52" t="s">
        <v>211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212</v>
      </c>
      <c r="J93" s="55" t="s">
        <v>218</v>
      </c>
      <c r="K93" s="51">
        <v>9.4</v>
      </c>
      <c r="L93" s="51">
        <v>10.4</v>
      </c>
      <c r="M93" s="51">
        <v>9.6</v>
      </c>
      <c r="N93" s="51">
        <v>9.4</v>
      </c>
      <c r="O93" s="51">
        <v>10</v>
      </c>
      <c r="P93" s="51">
        <v>8.8000000000000007</v>
      </c>
      <c r="Q93" s="51">
        <v>8.1999999999999993</v>
      </c>
      <c r="R93" s="51">
        <v>6</v>
      </c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8</v>
      </c>
      <c r="AQ93" s="89" t="str">
        <f t="shared" si="7"/>
        <v/>
      </c>
      <c r="AR93" s="89">
        <f>IFERROR(VLOOKUP(A93,Climatologia!A:U,9+$E$2,FALSE),"")</f>
        <v>8.2655190007037298</v>
      </c>
      <c r="AS93" s="89" t="str">
        <f t="shared" si="8"/>
        <v/>
      </c>
      <c r="AT93" s="90">
        <f t="shared" si="9"/>
        <v>6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1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3" s="92">
        <f t="shared" si="10"/>
        <v>5</v>
      </c>
    </row>
    <row r="94" spans="1:49" ht="14.25" customHeight="1" x14ac:dyDescent="0.2">
      <c r="A94" s="48">
        <v>24015300</v>
      </c>
      <c r="B94" s="52" t="s">
        <v>219</v>
      </c>
      <c r="C94" s="52" t="s">
        <v>211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212</v>
      </c>
      <c r="J94" s="55" t="s">
        <v>220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10.537256571653121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221</v>
      </c>
      <c r="C95" s="52" t="s">
        <v>211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212</v>
      </c>
      <c r="J95" s="55" t="s">
        <v>222</v>
      </c>
      <c r="K95" s="51">
        <v>7.2</v>
      </c>
      <c r="L95" s="51">
        <v>6.2</v>
      </c>
      <c r="M95" s="51">
        <v>4.4000000000000004</v>
      </c>
      <c r="N95" s="51">
        <v>4.2</v>
      </c>
      <c r="O95" s="51">
        <v>7.2</v>
      </c>
      <c r="P95" s="51">
        <v>8.4</v>
      </c>
      <c r="Q95" s="51">
        <v>2.2000000000000002</v>
      </c>
      <c r="R95" s="51">
        <v>4.4000000000000004</v>
      </c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8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>
        <f t="shared" si="9"/>
        <v>2.2000000000000002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0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45190</v>
      </c>
      <c r="AW95" s="92">
        <f t="shared" si="10"/>
        <v>2.2000000000000002</v>
      </c>
    </row>
    <row r="96" spans="1:49" ht="14.25" customHeight="1" x14ac:dyDescent="0.2">
      <c r="A96" s="48">
        <v>24035040</v>
      </c>
      <c r="B96" s="52" t="s">
        <v>223</v>
      </c>
      <c r="C96" s="52" t="s">
        <v>211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212</v>
      </c>
      <c r="J96" s="55" t="s">
        <v>224</v>
      </c>
      <c r="K96" s="51">
        <v>3.2</v>
      </c>
      <c r="L96" s="51">
        <v>6.4</v>
      </c>
      <c r="M96" s="51">
        <v>5.6</v>
      </c>
      <c r="N96" s="51">
        <v>6.8</v>
      </c>
      <c r="O96" s="51">
        <v>4.4000000000000004</v>
      </c>
      <c r="P96" s="51">
        <v>6.2</v>
      </c>
      <c r="Q96" s="51">
        <v>5</v>
      </c>
      <c r="R96" s="51">
        <v>7</v>
      </c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8</v>
      </c>
      <c r="AQ96" s="89" t="str">
        <f t="shared" si="7"/>
        <v/>
      </c>
      <c r="AR96" s="89">
        <f>IFERROR(VLOOKUP(A96,Climatologia!A:U,9+$E$2,FALSE),"")</f>
        <v>6.9772719899777336</v>
      </c>
      <c r="AS96" s="89" t="str">
        <f t="shared" si="8"/>
        <v/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0.4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36424</v>
      </c>
      <c r="AW96" s="92">
        <f t="shared" si="10"/>
        <v>2.8000000000000003</v>
      </c>
    </row>
    <row r="97" spans="1:49" ht="14.25" customHeight="1" x14ac:dyDescent="0.2">
      <c r="A97" s="48">
        <v>24035070</v>
      </c>
      <c r="B97" s="52" t="s">
        <v>225</v>
      </c>
      <c r="C97" s="52" t="s">
        <v>211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212</v>
      </c>
      <c r="J97" s="55" t="s">
        <v>226</v>
      </c>
      <c r="K97" s="51">
        <v>7.9</v>
      </c>
      <c r="L97" s="51">
        <v>9</v>
      </c>
      <c r="M97" s="51">
        <v>9.6</v>
      </c>
      <c r="N97" s="51">
        <v>8</v>
      </c>
      <c r="O97" s="51">
        <v>7.6</v>
      </c>
      <c r="P97" s="51">
        <v>8</v>
      </c>
      <c r="Q97" s="51">
        <v>7</v>
      </c>
      <c r="R97" s="51">
        <v>7.4</v>
      </c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8</v>
      </c>
      <c r="AQ97" s="89" t="str">
        <f t="shared" si="7"/>
        <v/>
      </c>
      <c r="AR97" s="89">
        <f>IFERROR(VLOOKUP(A97,Climatologia!A:U,9+$E$2,FALSE),"")</f>
        <v>8.3739754437240048</v>
      </c>
      <c r="AS97" s="89" t="str">
        <f t="shared" si="8"/>
        <v/>
      </c>
      <c r="AT97" s="90">
        <f t="shared" si="9"/>
        <v>7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3.6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39332</v>
      </c>
      <c r="AW97" s="92">
        <f t="shared" si="10"/>
        <v>3.4</v>
      </c>
    </row>
    <row r="98" spans="1:49" ht="14.25" customHeight="1" x14ac:dyDescent="0.2">
      <c r="A98" s="48">
        <v>24035120</v>
      </c>
      <c r="B98" s="52" t="s">
        <v>227</v>
      </c>
      <c r="C98" s="52" t="s">
        <v>211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212</v>
      </c>
      <c r="J98" s="55" t="s">
        <v>228</v>
      </c>
      <c r="K98" s="51">
        <v>4.8</v>
      </c>
      <c r="L98" s="51">
        <v>7</v>
      </c>
      <c r="M98" s="51">
        <v>4.8</v>
      </c>
      <c r="N98" s="51">
        <v>5.4</v>
      </c>
      <c r="O98" s="51">
        <v>3.8</v>
      </c>
      <c r="P98" s="51">
        <v>7.8</v>
      </c>
      <c r="Q98" s="51">
        <v>4.8</v>
      </c>
      <c r="R98" s="51">
        <v>3</v>
      </c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8</v>
      </c>
      <c r="AQ98" s="89" t="str">
        <f t="shared" si="7"/>
        <v/>
      </c>
      <c r="AR98" s="89">
        <f>IFERROR(VLOOKUP(A98,Climatologia!A:U,9+$E$2,FALSE),"")</f>
        <v>6.2010253961478679</v>
      </c>
      <c r="AS98" s="89" t="str">
        <f t="shared" si="8"/>
        <v/>
      </c>
      <c r="AT98" s="90">
        <f t="shared" si="9"/>
        <v>3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-0.2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98" s="92">
        <f t="shared" si="10"/>
        <v>3.2</v>
      </c>
    </row>
    <row r="99" spans="1:49" ht="14.25" customHeight="1" x14ac:dyDescent="0.2">
      <c r="A99" s="48">
        <v>24035130</v>
      </c>
      <c r="B99" s="52" t="s">
        <v>229</v>
      </c>
      <c r="C99" s="52" t="s">
        <v>211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212</v>
      </c>
      <c r="J99" s="55" t="s">
        <v>230</v>
      </c>
      <c r="K99" s="51">
        <v>7</v>
      </c>
      <c r="L99" s="51">
        <v>8.8000000000000007</v>
      </c>
      <c r="M99" s="51">
        <v>9.8000000000000007</v>
      </c>
      <c r="N99" s="51">
        <v>10.199999999999999</v>
      </c>
      <c r="O99" s="51">
        <v>9.6</v>
      </c>
      <c r="P99" s="51">
        <v>10.6</v>
      </c>
      <c r="Q99" s="51">
        <v>7.6</v>
      </c>
      <c r="R99" s="51">
        <v>5.4</v>
      </c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8</v>
      </c>
      <c r="AQ99" s="89" t="str">
        <f t="shared" si="7"/>
        <v/>
      </c>
      <c r="AR99" s="89">
        <f>IFERROR(VLOOKUP(A99,Climatologia!A:U,9+$E$2,FALSE),"")</f>
        <v>8.159618451306919</v>
      </c>
      <c r="AS99" s="89" t="str">
        <f t="shared" si="8"/>
        <v/>
      </c>
      <c r="AT99" s="90">
        <f t="shared" si="9"/>
        <v>5.4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2.9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99" s="92">
        <f t="shared" si="10"/>
        <v>2.5000000000000004</v>
      </c>
    </row>
    <row r="100" spans="1:49" ht="14.25" customHeight="1" x14ac:dyDescent="0.2">
      <c r="A100" s="48">
        <v>24035250</v>
      </c>
      <c r="B100" s="52" t="s">
        <v>231</v>
      </c>
      <c r="C100" s="52" t="s">
        <v>211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212</v>
      </c>
      <c r="J100" s="55" t="s">
        <v>232</v>
      </c>
      <c r="K100" s="51">
        <v>6.4</v>
      </c>
      <c r="L100" s="51"/>
      <c r="M100" s="51">
        <v>7</v>
      </c>
      <c r="N100" s="51">
        <v>7.2</v>
      </c>
      <c r="O100" s="51"/>
      <c r="P100" s="51">
        <v>7.8</v>
      </c>
      <c r="Q100" s="51"/>
      <c r="R100" s="51">
        <v>6.2</v>
      </c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5</v>
      </c>
      <c r="AQ100" s="89" t="str">
        <f t="shared" si="7"/>
        <v/>
      </c>
      <c r="AR100" s="89">
        <f>IFERROR(VLOOKUP(A100,Climatologia!A:U,9+$E$2,FALSE),"")</f>
        <v>6.6991656023839923</v>
      </c>
      <c r="AS100" s="89" t="str">
        <f t="shared" si="8"/>
        <v/>
      </c>
      <c r="AT100" s="90">
        <f t="shared" si="9"/>
        <v>6.2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233</v>
      </c>
      <c r="C101" s="52" t="s">
        <v>211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49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17.818800331214131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14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36068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234</v>
      </c>
      <c r="C102" s="52" t="s">
        <v>211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212</v>
      </c>
      <c r="J102" s="55" t="s">
        <v>234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10.55201043605182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4.8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30944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235</v>
      </c>
      <c r="C103" s="52" t="s">
        <v>211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212</v>
      </c>
      <c r="J103" s="55" t="s">
        <v>235</v>
      </c>
      <c r="K103" s="51">
        <v>11</v>
      </c>
      <c r="L103" s="51">
        <v>13</v>
      </c>
      <c r="M103" s="51">
        <v>12</v>
      </c>
      <c r="N103" s="51">
        <v>12.2</v>
      </c>
      <c r="O103" s="51">
        <v>10.199999999999999</v>
      </c>
      <c r="P103" s="51">
        <v>12</v>
      </c>
      <c r="Q103" s="51">
        <v>11</v>
      </c>
      <c r="R103" s="51">
        <v>11.2</v>
      </c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8</v>
      </c>
      <c r="AQ103" s="89" t="str">
        <f t="shared" si="7"/>
        <v/>
      </c>
      <c r="AR103" s="89">
        <f>IFERROR(VLOOKUP(A103,Climatologia!A:U,9+$E$2,FALSE),"")</f>
        <v>11.245521419341051</v>
      </c>
      <c r="AS103" s="89" t="str">
        <f t="shared" si="8"/>
        <v/>
      </c>
      <c r="AT103" s="90">
        <f t="shared" si="9"/>
        <v>10.199999999999999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33131</v>
      </c>
      <c r="AW103" s="92">
        <f t="shared" si="10"/>
        <v>3.5999999999999996</v>
      </c>
    </row>
    <row r="104" spans="1:49" ht="14.25" customHeight="1" x14ac:dyDescent="0.2">
      <c r="A104" s="48">
        <v>24035420</v>
      </c>
      <c r="B104" s="52" t="s">
        <v>236</v>
      </c>
      <c r="C104" s="52" t="s">
        <v>211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212</v>
      </c>
      <c r="J104" s="55" t="s">
        <v>236</v>
      </c>
      <c r="K104" s="51">
        <v>2.2000000000000002</v>
      </c>
      <c r="L104" s="109">
        <v>5.4</v>
      </c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2</v>
      </c>
      <c r="AQ104" s="89" t="str">
        <f t="shared" si="7"/>
        <v/>
      </c>
      <c r="AR104" s="89">
        <f>IFERROR(VLOOKUP(A104,Climatologia!A:U,9+$E$2,FALSE),"")</f>
        <v>5.5502937420178808</v>
      </c>
      <c r="AS104" s="89" t="str">
        <f t="shared" si="8"/>
        <v/>
      </c>
      <c r="AT104" s="90">
        <f t="shared" si="9"/>
        <v>2.2000000000000002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0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04" s="92">
        <f t="shared" si="10"/>
        <v>2.2000000000000002</v>
      </c>
    </row>
    <row r="105" spans="1:49" ht="14.25" customHeight="1" x14ac:dyDescent="0.2">
      <c r="A105" s="48">
        <v>24035430</v>
      </c>
      <c r="B105" s="52" t="s">
        <v>237</v>
      </c>
      <c r="C105" s="52" t="s">
        <v>211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212</v>
      </c>
      <c r="J105" s="55" t="s">
        <v>238</v>
      </c>
      <c r="K105" s="51">
        <v>4.5999999999999996</v>
      </c>
      <c r="L105" s="51">
        <v>8.4</v>
      </c>
      <c r="M105" s="51">
        <v>3.4</v>
      </c>
      <c r="N105" s="51">
        <v>3.8</v>
      </c>
      <c r="O105" s="51">
        <v>2.6</v>
      </c>
      <c r="P105" s="51">
        <v>2.4</v>
      </c>
      <c r="Q105" s="51">
        <v>3.6</v>
      </c>
      <c r="R105" s="51">
        <v>5.6</v>
      </c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8</v>
      </c>
      <c r="AQ105" s="89" t="str">
        <f t="shared" si="7"/>
        <v/>
      </c>
      <c r="AR105" s="89">
        <f>IFERROR(VLOOKUP(A105,Climatologia!A:U,9+$E$2,FALSE),"")</f>
        <v>6.577004617349445</v>
      </c>
      <c r="AS105" s="89" t="str">
        <f t="shared" si="8"/>
        <v/>
      </c>
      <c r="AT105" s="90">
        <f t="shared" si="9"/>
        <v>2.4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-0.4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05" s="92">
        <f t="shared" si="10"/>
        <v>2.8</v>
      </c>
    </row>
    <row r="106" spans="1:49" ht="14.25" customHeight="1" x14ac:dyDescent="0.2">
      <c r="A106" s="48">
        <v>35075010</v>
      </c>
      <c r="B106" s="52" t="s">
        <v>239</v>
      </c>
      <c r="C106" s="52" t="s">
        <v>211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212</v>
      </c>
      <c r="J106" s="55" t="s">
        <v>240</v>
      </c>
      <c r="K106" s="51">
        <v>10</v>
      </c>
      <c r="L106" s="51">
        <v>9.8000000000000007</v>
      </c>
      <c r="M106" s="51">
        <v>10.4</v>
      </c>
      <c r="N106" s="51">
        <v>10.4</v>
      </c>
      <c r="O106" s="51">
        <v>10.6</v>
      </c>
      <c r="P106" s="51">
        <v>9.4</v>
      </c>
      <c r="Q106" s="51">
        <v>9.8000000000000007</v>
      </c>
      <c r="R106" s="51">
        <v>9.6</v>
      </c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8</v>
      </c>
      <c r="AQ106" s="89" t="str">
        <f t="shared" si="7"/>
        <v/>
      </c>
      <c r="AR106" s="89">
        <f>IFERROR(VLOOKUP(A106,Climatologia!A:U,9+$E$2,FALSE),"")</f>
        <v>9.5729657311464695</v>
      </c>
      <c r="AS106" s="89" t="str">
        <f t="shared" si="8"/>
        <v/>
      </c>
      <c r="AT106" s="90">
        <f t="shared" si="9"/>
        <v>9.4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3.8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38238</v>
      </c>
      <c r="AW106" s="92">
        <f t="shared" si="10"/>
        <v>5.6000000000000005</v>
      </c>
    </row>
    <row r="107" spans="1:49" ht="14.25" customHeight="1" x14ac:dyDescent="0.2">
      <c r="A107" s="48">
        <v>35075020</v>
      </c>
      <c r="B107" s="52" t="s">
        <v>241</v>
      </c>
      <c r="C107" s="52" t="s">
        <v>211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212</v>
      </c>
      <c r="J107" s="55" t="s">
        <v>241</v>
      </c>
      <c r="K107" s="51"/>
      <c r="L107" s="51">
        <v>13.6</v>
      </c>
      <c r="M107" s="51">
        <v>13.6</v>
      </c>
      <c r="N107" s="51">
        <v>14.4</v>
      </c>
      <c r="O107" s="51">
        <v>13.8</v>
      </c>
      <c r="P107" s="51">
        <v>13.6</v>
      </c>
      <c r="Q107" s="51"/>
      <c r="R107" s="51">
        <v>14</v>
      </c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6</v>
      </c>
      <c r="AQ107" s="89" t="str">
        <f t="shared" si="7"/>
        <v/>
      </c>
      <c r="AR107" s="89">
        <f>IFERROR(VLOOKUP(A107,Climatologia!A:U,9+$E$2,FALSE),"")</f>
        <v>13.60304714989444</v>
      </c>
      <c r="AS107" s="89" t="str">
        <f t="shared" si="8"/>
        <v/>
      </c>
      <c r="AT107" s="90">
        <f t="shared" si="9"/>
        <v>13.6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7.3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31294</v>
      </c>
      <c r="AW107" s="92">
        <f t="shared" si="10"/>
        <v>6.3</v>
      </c>
    </row>
    <row r="108" spans="1:49" ht="14.25" customHeight="1" x14ac:dyDescent="0.2">
      <c r="A108" s="48">
        <v>35075030</v>
      </c>
      <c r="B108" s="52" t="s">
        <v>242</v>
      </c>
      <c r="C108" s="52" t="s">
        <v>211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212</v>
      </c>
      <c r="J108" s="55" t="s">
        <v>243</v>
      </c>
      <c r="K108" s="51">
        <v>9.8000000000000007</v>
      </c>
      <c r="L108" s="51">
        <v>11.6</v>
      </c>
      <c r="M108" s="51">
        <v>12.8</v>
      </c>
      <c r="N108" s="51">
        <v>11</v>
      </c>
      <c r="O108" s="51">
        <v>11</v>
      </c>
      <c r="P108" s="51">
        <v>9.6</v>
      </c>
      <c r="Q108" s="51">
        <v>10.6</v>
      </c>
      <c r="R108" s="51">
        <v>9.1999999999999993</v>
      </c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8</v>
      </c>
      <c r="AQ108" s="89" t="str">
        <f t="shared" si="7"/>
        <v/>
      </c>
      <c r="AR108" s="89">
        <f>IFERROR(VLOOKUP(A108,Climatologia!A:U,9+$E$2,FALSE),"")</f>
        <v>11.188895457033389</v>
      </c>
      <c r="AS108" s="89" t="str">
        <f t="shared" si="8"/>
        <v/>
      </c>
      <c r="AT108" s="90">
        <f t="shared" si="9"/>
        <v>9.1999999999999993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1.2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34216</v>
      </c>
      <c r="AW108" s="92">
        <f t="shared" si="10"/>
        <v>7.9999999999999991</v>
      </c>
    </row>
    <row r="109" spans="1:49" ht="14.25" customHeight="1" x14ac:dyDescent="0.2">
      <c r="A109" s="48">
        <v>35075040</v>
      </c>
      <c r="B109" s="52" t="s">
        <v>244</v>
      </c>
      <c r="C109" s="52" t="s">
        <v>211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212</v>
      </c>
      <c r="J109" s="55" t="s">
        <v>245</v>
      </c>
      <c r="K109" s="51">
        <v>14.2</v>
      </c>
      <c r="L109" s="51">
        <v>15.4</v>
      </c>
      <c r="M109" s="51">
        <v>14</v>
      </c>
      <c r="N109" s="51">
        <v>15.4</v>
      </c>
      <c r="O109" s="51">
        <v>14</v>
      </c>
      <c r="P109" s="51">
        <v>14.2</v>
      </c>
      <c r="Q109" s="51">
        <v>14.2</v>
      </c>
      <c r="R109" s="51">
        <v>14.8</v>
      </c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8</v>
      </c>
      <c r="AQ109" s="89" t="str">
        <f t="shared" si="7"/>
        <v/>
      </c>
      <c r="AR109" s="89">
        <f>IFERROR(VLOOKUP(A109,Climatologia!A:U,9+$E$2,FALSE),"")</f>
        <v>13.358971566848149</v>
      </c>
      <c r="AS109" s="89" t="str">
        <f t="shared" si="8"/>
        <v/>
      </c>
      <c r="AT109" s="90">
        <f t="shared" si="9"/>
        <v>14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9.4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30567</v>
      </c>
      <c r="AW109" s="92">
        <f t="shared" si="10"/>
        <v>4.5999999999999996</v>
      </c>
    </row>
    <row r="110" spans="1:49" ht="14.25" customHeight="1" x14ac:dyDescent="0.2">
      <c r="A110" s="48">
        <v>35085040</v>
      </c>
      <c r="B110" s="52" t="s">
        <v>246</v>
      </c>
      <c r="C110" s="52" t="s">
        <v>211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212</v>
      </c>
      <c r="J110" s="55" t="s">
        <v>247</v>
      </c>
      <c r="K110" s="51">
        <v>15.4</v>
      </c>
      <c r="L110" s="51">
        <v>15.4</v>
      </c>
      <c r="M110" s="51">
        <v>15.2</v>
      </c>
      <c r="N110" s="51">
        <v>15.2</v>
      </c>
      <c r="O110" s="51">
        <v>14.8</v>
      </c>
      <c r="P110" s="51">
        <v>14.6</v>
      </c>
      <c r="Q110" s="51">
        <v>15.4</v>
      </c>
      <c r="R110" s="51">
        <v>15.2</v>
      </c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8</v>
      </c>
      <c r="AQ110" s="89" t="str">
        <f t="shared" si="7"/>
        <v/>
      </c>
      <c r="AR110" s="89">
        <f>IFERROR(VLOOKUP(A110,Climatologia!A:U,9+$E$2,FALSE),"")</f>
        <v>13.685588761174969</v>
      </c>
      <c r="AS110" s="89" t="str">
        <f t="shared" si="8"/>
        <v/>
      </c>
      <c r="AT110" s="90">
        <f t="shared" si="9"/>
        <v>14.6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39340</v>
      </c>
      <c r="AW110" s="92">
        <f t="shared" si="10"/>
        <v>6.6</v>
      </c>
    </row>
    <row r="111" spans="1:49" ht="14.25" customHeight="1" x14ac:dyDescent="0.2">
      <c r="A111" s="48">
        <v>35085050</v>
      </c>
      <c r="B111" s="52" t="s">
        <v>248</v>
      </c>
      <c r="C111" s="52" t="s">
        <v>211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212</v>
      </c>
      <c r="J111" s="55" t="s">
        <v>248</v>
      </c>
      <c r="K111" s="51">
        <v>17.600000000000001</v>
      </c>
      <c r="L111" s="51">
        <v>18.600000000000001</v>
      </c>
      <c r="M111" s="51">
        <v>17.8</v>
      </c>
      <c r="N111" s="51">
        <v>19.2</v>
      </c>
      <c r="O111" s="51"/>
      <c r="P111" s="51"/>
      <c r="Q111" s="51">
        <v>17.399999999999999</v>
      </c>
      <c r="R111" s="51">
        <v>19.2</v>
      </c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6</v>
      </c>
      <c r="AQ111" s="89" t="str">
        <f t="shared" si="7"/>
        <v/>
      </c>
      <c r="AR111" s="89">
        <f>IFERROR(VLOOKUP(A111,Climatologia!A:U,9+$E$2,FALSE),"")</f>
        <v>16.876051428203631</v>
      </c>
      <c r="AS111" s="89" t="str">
        <f t="shared" si="8"/>
        <v/>
      </c>
      <c r="AT111" s="90">
        <f t="shared" si="9"/>
        <v>17.399999999999999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13.4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35697</v>
      </c>
      <c r="AW111" s="92">
        <f t="shared" si="10"/>
        <v>3.9999999999999982</v>
      </c>
    </row>
    <row r="112" spans="1:49" ht="14.25" customHeight="1" x14ac:dyDescent="0.2">
      <c r="A112" s="48">
        <v>35195030</v>
      </c>
      <c r="B112" s="52" t="s">
        <v>249</v>
      </c>
      <c r="C112" s="52" t="s">
        <v>211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166</v>
      </c>
      <c r="J112" s="55" t="s">
        <v>249</v>
      </c>
      <c r="K112" s="51">
        <v>24.8</v>
      </c>
      <c r="L112" s="51">
        <v>21.6</v>
      </c>
      <c r="M112" s="51">
        <v>23.6</v>
      </c>
      <c r="N112" s="51">
        <v>24</v>
      </c>
      <c r="O112" s="51">
        <v>23.2</v>
      </c>
      <c r="P112" s="51">
        <v>21</v>
      </c>
      <c r="Q112" s="51">
        <v>23.2</v>
      </c>
      <c r="R112" s="51">
        <v>23.8</v>
      </c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8</v>
      </c>
      <c r="AQ112" s="89" t="str">
        <f t="shared" si="7"/>
        <v/>
      </c>
      <c r="AR112" s="89">
        <f>IFERROR(VLOOKUP(A112,Climatologia!A:U,9+$E$2,FALSE),"")</f>
        <v>22.868438849358391</v>
      </c>
      <c r="AS112" s="89" t="str">
        <f t="shared" si="8"/>
        <v/>
      </c>
      <c r="AT112" s="90">
        <f t="shared" si="9"/>
        <v>21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250</v>
      </c>
      <c r="C113" s="52" t="s">
        <v>211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212</v>
      </c>
      <c r="J113" s="55" t="s">
        <v>251</v>
      </c>
      <c r="K113" s="51">
        <v>14.4</v>
      </c>
      <c r="L113" s="51">
        <v>14.6</v>
      </c>
      <c r="M113" s="51">
        <v>16.5</v>
      </c>
      <c r="N113" s="51">
        <v>14.2</v>
      </c>
      <c r="O113" s="51">
        <v>15.5</v>
      </c>
      <c r="P113" s="51">
        <v>14.2</v>
      </c>
      <c r="Q113" s="51">
        <v>16.5</v>
      </c>
      <c r="R113" s="51">
        <v>15.8</v>
      </c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8</v>
      </c>
      <c r="AQ113" s="89" t="str">
        <f t="shared" si="7"/>
        <v/>
      </c>
      <c r="AR113" s="89">
        <f>IFERROR(VLOOKUP(A113,Climatologia!A:U,9+$E$2,FALSE),"")</f>
        <v>15.184620689655169</v>
      </c>
      <c r="AS113" s="89" t="str">
        <f t="shared" si="8"/>
        <v/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8.4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34593</v>
      </c>
      <c r="AW113" s="92">
        <f t="shared" si="10"/>
        <v>5.7999999999999989</v>
      </c>
    </row>
    <row r="114" spans="1:49" ht="14.25" customHeight="1" x14ac:dyDescent="0.2">
      <c r="A114" s="48">
        <v>35215020</v>
      </c>
      <c r="B114" s="52" t="s">
        <v>252</v>
      </c>
      <c r="C114" s="52" t="s">
        <v>211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166</v>
      </c>
      <c r="J114" s="55" t="s">
        <v>253</v>
      </c>
      <c r="K114" s="51">
        <v>21.4</v>
      </c>
      <c r="L114" s="51">
        <v>18.399999999999999</v>
      </c>
      <c r="M114" s="51">
        <v>19.2</v>
      </c>
      <c r="N114" s="51">
        <v>19.399999999999999</v>
      </c>
      <c r="O114" s="51">
        <v>19</v>
      </c>
      <c r="P114" s="51">
        <v>17.600000000000001</v>
      </c>
      <c r="Q114" s="51">
        <v>19.399999999999999</v>
      </c>
      <c r="R114" s="51">
        <v>20</v>
      </c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8</v>
      </c>
      <c r="AQ114" s="89" t="str">
        <f t="shared" si="7"/>
        <v/>
      </c>
      <c r="AR114" s="89">
        <f>IFERROR(VLOOKUP(A114,Climatologia!A:U,9+$E$2,FALSE),"")</f>
        <v>22.39663970483894</v>
      </c>
      <c r="AS114" s="89" t="str">
        <f t="shared" si="8"/>
        <v/>
      </c>
      <c r="AT114" s="90">
        <f t="shared" si="9"/>
        <v>17.600000000000001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30947</v>
      </c>
      <c r="AW114" s="92">
        <f t="shared" si="10"/>
        <v>-0.39999999999999858</v>
      </c>
    </row>
    <row r="115" spans="1:49" ht="14.25" customHeight="1" x14ac:dyDescent="0.2">
      <c r="A115" s="48">
        <v>35235040</v>
      </c>
      <c r="B115" s="52" t="s">
        <v>254</v>
      </c>
      <c r="C115" s="52" t="s">
        <v>211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166</v>
      </c>
      <c r="J115" s="55" t="s">
        <v>255</v>
      </c>
      <c r="K115" s="51"/>
      <c r="L115" s="51">
        <v>21.6</v>
      </c>
      <c r="M115" s="51"/>
      <c r="N115" s="51"/>
      <c r="O115" s="51"/>
      <c r="P115" s="51">
        <v>22</v>
      </c>
      <c r="Q115" s="51">
        <v>21.8</v>
      </c>
      <c r="R115" s="51">
        <v>22</v>
      </c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4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21.6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256</v>
      </c>
      <c r="C116" s="52" t="s">
        <v>211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166</v>
      </c>
      <c r="J116" s="55" t="s">
        <v>257</v>
      </c>
      <c r="K116" s="51">
        <v>20.2</v>
      </c>
      <c r="L116" s="51">
        <v>19.399999999999999</v>
      </c>
      <c r="M116" s="51">
        <v>20.2</v>
      </c>
      <c r="N116" s="51">
        <v>21.2</v>
      </c>
      <c r="O116" s="51">
        <v>22.4</v>
      </c>
      <c r="P116" s="51">
        <v>20.2</v>
      </c>
      <c r="Q116" s="51">
        <v>20.2</v>
      </c>
      <c r="R116" s="51">
        <v>21.2</v>
      </c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8</v>
      </c>
      <c r="AQ116" s="89" t="str">
        <f t="shared" si="7"/>
        <v/>
      </c>
      <c r="AR116" s="89">
        <f>IFERROR(VLOOKUP(A116,Climatologia!A:U,9+$E$2,FALSE),"")</f>
        <v>18.540485312899111</v>
      </c>
      <c r="AS116" s="89" t="str">
        <f t="shared" si="8"/>
        <v/>
      </c>
      <c r="AT116" s="90">
        <f t="shared" si="9"/>
        <v>19.399999999999999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14.5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41901</v>
      </c>
      <c r="AW116" s="92">
        <f t="shared" si="10"/>
        <v>4.8999999999999986</v>
      </c>
    </row>
    <row r="117" spans="1:49" ht="14.25" customHeight="1" x14ac:dyDescent="0.2">
      <c r="A117" s="48">
        <v>36015010</v>
      </c>
      <c r="B117" s="52" t="s">
        <v>258</v>
      </c>
      <c r="C117" s="52" t="s">
        <v>211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166</v>
      </c>
      <c r="J117" s="55" t="s">
        <v>258</v>
      </c>
      <c r="K117" s="51">
        <v>22.2</v>
      </c>
      <c r="L117" s="51"/>
      <c r="M117" s="51">
        <v>22.4</v>
      </c>
      <c r="N117" s="51">
        <v>22.2</v>
      </c>
      <c r="O117" s="51">
        <v>22</v>
      </c>
      <c r="P117" s="51">
        <v>22.2</v>
      </c>
      <c r="Q117" s="51"/>
      <c r="R117" s="51">
        <v>24.2</v>
      </c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6</v>
      </c>
      <c r="AQ117" s="89" t="str">
        <f t="shared" si="7"/>
        <v/>
      </c>
      <c r="AR117" s="89">
        <f>IFERROR(VLOOKUP(A117,Climatologia!A:U,9+$E$2,FALSE),"")</f>
        <v>22.374270023718299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39345</v>
      </c>
      <c r="AW117" s="92">
        <f t="shared" si="10"/>
        <v>4</v>
      </c>
    </row>
    <row r="118" spans="1:49" ht="14.25" customHeight="1" x14ac:dyDescent="0.2">
      <c r="A118" s="48">
        <v>36025010</v>
      </c>
      <c r="B118" s="52" t="s">
        <v>259</v>
      </c>
      <c r="C118" s="52" t="s">
        <v>211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90</v>
      </c>
      <c r="J118" s="55" t="s">
        <v>259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21.63752371829958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40790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260</v>
      </c>
      <c r="C119" s="52" t="s">
        <v>261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181</v>
      </c>
      <c r="J119" s="55" t="s">
        <v>262</v>
      </c>
      <c r="K119" s="51">
        <v>4.5999999999999996</v>
      </c>
      <c r="L119" s="51">
        <v>7.4</v>
      </c>
      <c r="M119" s="51">
        <v>9.6</v>
      </c>
      <c r="N119" s="51">
        <v>8</v>
      </c>
      <c r="O119" s="51">
        <v>9.1999999999999993</v>
      </c>
      <c r="P119" s="51">
        <v>7.6</v>
      </c>
      <c r="Q119" s="51">
        <v>8.8000000000000007</v>
      </c>
      <c r="R119" s="51">
        <v>8.6</v>
      </c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8</v>
      </c>
      <c r="AQ119" s="89" t="str">
        <f t="shared" si="7"/>
        <v/>
      </c>
      <c r="AR119" s="89">
        <f>IFERROR(VLOOKUP(A119,Climatologia!A:U,9+$E$2,FALSE),"")</f>
        <v>5.3443424510780826</v>
      </c>
      <c r="AS119" s="89" t="str">
        <f t="shared" si="8"/>
        <v/>
      </c>
      <c r="AT119" s="90">
        <f t="shared" si="9"/>
        <v>4.5999999999999996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-1.6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41529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263</v>
      </c>
      <c r="C120" s="52" t="s">
        <v>261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264</v>
      </c>
      <c r="J120" s="55" t="s">
        <v>265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19.974118469865591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16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266</v>
      </c>
      <c r="C121" s="52" t="s">
        <v>261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264</v>
      </c>
      <c r="J121" s="55" t="s">
        <v>267</v>
      </c>
      <c r="K121" s="51">
        <v>8.3000000000000007</v>
      </c>
      <c r="L121" s="51">
        <v>9.3000000000000007</v>
      </c>
      <c r="M121" s="51">
        <v>10.5</v>
      </c>
      <c r="N121" s="51">
        <v>12.9</v>
      </c>
      <c r="O121" s="51">
        <v>12.4</v>
      </c>
      <c r="P121" s="51">
        <v>12.7</v>
      </c>
      <c r="Q121" s="51">
        <v>10.4</v>
      </c>
      <c r="R121" s="51">
        <v>11.5</v>
      </c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8</v>
      </c>
      <c r="AQ121" s="89" t="str">
        <f t="shared" si="7"/>
        <v/>
      </c>
      <c r="AR121" s="89">
        <f>IFERROR(VLOOKUP(A121,Climatologia!A:U,9+$E$2,FALSE),"")</f>
        <v>10.619220882169749</v>
      </c>
      <c r="AS121" s="89" t="str">
        <f t="shared" si="8"/>
        <v/>
      </c>
      <c r="AT121" s="90">
        <f t="shared" si="9"/>
        <v>8.3000000000000007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3.4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33139</v>
      </c>
      <c r="AW121" s="92">
        <f t="shared" si="10"/>
        <v>4.9000000000000004</v>
      </c>
    </row>
    <row r="122" spans="1:49" ht="14.25" customHeight="1" x14ac:dyDescent="0.2">
      <c r="A122" s="48">
        <v>47015080</v>
      </c>
      <c r="B122" s="52" t="s">
        <v>268</v>
      </c>
      <c r="C122" s="52" t="s">
        <v>261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82</v>
      </c>
      <c r="J122" s="55" t="s">
        <v>269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13.27264042872071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37144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270</v>
      </c>
      <c r="C123" s="52" t="s">
        <v>261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82</v>
      </c>
      <c r="J123" s="55" t="s">
        <v>271</v>
      </c>
      <c r="K123" s="51">
        <v>5.4</v>
      </c>
      <c r="L123" s="51">
        <v>6.8</v>
      </c>
      <c r="M123" s="51">
        <v>9.8000000000000007</v>
      </c>
      <c r="N123" s="51">
        <v>7.8</v>
      </c>
      <c r="O123" s="51">
        <v>9.1999999999999993</v>
      </c>
      <c r="P123" s="51">
        <v>7.2</v>
      </c>
      <c r="Q123" s="51">
        <v>7</v>
      </c>
      <c r="R123" s="51">
        <v>5.8</v>
      </c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8</v>
      </c>
      <c r="AQ123" s="89" t="str">
        <f t="shared" si="7"/>
        <v/>
      </c>
      <c r="AR123" s="89">
        <f>IFERROR(VLOOKUP(A123,Climatologia!A:U,9+$E$2,FALSE),"")</f>
        <v>7.3917414401264976</v>
      </c>
      <c r="AS123" s="89" t="str">
        <f t="shared" si="8"/>
        <v/>
      </c>
      <c r="AT123" s="90">
        <f t="shared" si="9"/>
        <v>5.4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33484</v>
      </c>
      <c r="AW123" s="92">
        <f t="shared" si="10"/>
        <v>4.2</v>
      </c>
    </row>
    <row r="124" spans="1:49" ht="14.25" customHeight="1" x14ac:dyDescent="0.2">
      <c r="A124" s="48">
        <v>47035020</v>
      </c>
      <c r="B124" s="52" t="s">
        <v>272</v>
      </c>
      <c r="C124" s="52" t="s">
        <v>261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264</v>
      </c>
      <c r="J124" s="55" t="s">
        <v>273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20.95607142857143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17.399999999999999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35681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274</v>
      </c>
      <c r="C125" s="52" t="s">
        <v>261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82</v>
      </c>
      <c r="J125" s="55" t="s">
        <v>275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23.01698412698412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276</v>
      </c>
      <c r="C126" s="52" t="s">
        <v>261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181</v>
      </c>
      <c r="J126" s="55" t="s">
        <v>277</v>
      </c>
      <c r="K126" s="51">
        <v>11.4</v>
      </c>
      <c r="L126" s="51">
        <v>12.6</v>
      </c>
      <c r="M126" s="51">
        <v>13.9</v>
      </c>
      <c r="N126" s="51">
        <v>13.8</v>
      </c>
      <c r="O126" s="51">
        <v>13.7</v>
      </c>
      <c r="P126" s="51">
        <v>13.2</v>
      </c>
      <c r="Q126" s="51">
        <v>12.6</v>
      </c>
      <c r="R126" s="51">
        <v>12.8</v>
      </c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8</v>
      </c>
      <c r="AQ126" s="89" t="str">
        <f t="shared" si="7"/>
        <v/>
      </c>
      <c r="AR126" s="89">
        <f>IFERROR(VLOOKUP(A126,Climatologia!A:U,9+$E$2,FALSE),"")</f>
        <v>11.326784072249589</v>
      </c>
      <c r="AS126" s="89" t="str">
        <f t="shared" si="8"/>
        <v/>
      </c>
      <c r="AT126" s="90">
        <f t="shared" si="9"/>
        <v>11.4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4.7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44805</v>
      </c>
      <c r="AW126" s="92">
        <f t="shared" si="10"/>
        <v>6.7</v>
      </c>
    </row>
    <row r="127" spans="1:49" ht="14.25" customHeight="1" x14ac:dyDescent="0.2">
      <c r="A127" s="48">
        <v>52025020</v>
      </c>
      <c r="B127" s="52" t="s">
        <v>278</v>
      </c>
      <c r="C127" s="52" t="s">
        <v>261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181</v>
      </c>
      <c r="J127" s="55" t="s">
        <v>34</v>
      </c>
      <c r="K127" s="51">
        <v>13.4</v>
      </c>
      <c r="L127" s="51">
        <v>14.4</v>
      </c>
      <c r="M127" s="51">
        <v>15.8</v>
      </c>
      <c r="N127" s="51">
        <v>15.4</v>
      </c>
      <c r="O127" s="51">
        <v>15.2</v>
      </c>
      <c r="P127" s="51">
        <v>15.6</v>
      </c>
      <c r="Q127" s="51">
        <v>15.4</v>
      </c>
      <c r="R127" s="51">
        <v>15.6</v>
      </c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8</v>
      </c>
      <c r="AQ127" s="89" t="str">
        <f t="shared" si="7"/>
        <v/>
      </c>
      <c r="AR127" s="89">
        <f>IFERROR(VLOOKUP(A127,Climatologia!A:U,9+$E$2,FALSE),"")</f>
        <v>13.24615019157088</v>
      </c>
      <c r="AS127" s="89" t="str">
        <f t="shared" si="8"/>
        <v/>
      </c>
      <c r="AT127" s="90">
        <f t="shared" si="9"/>
        <v>13.4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8.1999999999999993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29113</v>
      </c>
      <c r="AW127" s="92">
        <f t="shared" si="10"/>
        <v>5.2000000000000011</v>
      </c>
    </row>
    <row r="128" spans="1:49" ht="14.25" customHeight="1" x14ac:dyDescent="0.2">
      <c r="A128" s="48">
        <v>52025090</v>
      </c>
      <c r="B128" s="52" t="s">
        <v>279</v>
      </c>
      <c r="C128" s="52" t="s">
        <v>261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181</v>
      </c>
      <c r="J128" s="55" t="s">
        <v>280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14.9793962585034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10.199999999999999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32764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281</v>
      </c>
      <c r="C129" s="52" t="s">
        <v>261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82</v>
      </c>
      <c r="J129" s="55" t="s">
        <v>271</v>
      </c>
      <c r="K129" s="51">
        <v>8.8000000000000007</v>
      </c>
      <c r="L129" s="51">
        <v>10.199999999999999</v>
      </c>
      <c r="M129" s="51">
        <v>10.8</v>
      </c>
      <c r="N129" s="51">
        <v>9.6</v>
      </c>
      <c r="O129" s="51">
        <v>11.4</v>
      </c>
      <c r="P129" s="51">
        <v>9.1999999999999993</v>
      </c>
      <c r="Q129" s="51">
        <v>8.8000000000000007</v>
      </c>
      <c r="R129" s="51">
        <v>9.8000000000000007</v>
      </c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8</v>
      </c>
      <c r="AQ129" s="89" t="str">
        <f t="shared" si="7"/>
        <v/>
      </c>
      <c r="AR129" s="89">
        <f>IFERROR(VLOOKUP(A129,Climatologia!A:U,9+$E$2,FALSE),"")</f>
        <v>9.1450862068965524</v>
      </c>
      <c r="AS129" s="89" t="str">
        <f t="shared" si="8"/>
        <v/>
      </c>
      <c r="AT129" s="90">
        <f t="shared" si="9"/>
        <v>8.8000000000000007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29" s="92">
        <f t="shared" si="10"/>
        <v>4.8000000000000007</v>
      </c>
    </row>
    <row r="130" spans="1:49" ht="14.25" customHeight="1" x14ac:dyDescent="0.2">
      <c r="A130" s="48">
        <v>52045030</v>
      </c>
      <c r="B130" s="52" t="s">
        <v>282</v>
      </c>
      <c r="C130" s="52" t="s">
        <v>261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82</v>
      </c>
      <c r="J130" s="55" t="s">
        <v>282</v>
      </c>
      <c r="K130" s="51">
        <v>9.4</v>
      </c>
      <c r="L130" s="51">
        <v>13</v>
      </c>
      <c r="M130" s="51">
        <v>12.6</v>
      </c>
      <c r="N130" s="51">
        <v>13</v>
      </c>
      <c r="O130" s="51">
        <v>12.4</v>
      </c>
      <c r="P130" s="51">
        <v>11.8</v>
      </c>
      <c r="Q130" s="51">
        <v>12.2</v>
      </c>
      <c r="R130" s="51">
        <v>9.8000000000000007</v>
      </c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8</v>
      </c>
      <c r="AQ130" s="89" t="str">
        <f t="shared" si="7"/>
        <v/>
      </c>
      <c r="AR130" s="89">
        <f>IFERROR(VLOOKUP(A130,Climatologia!A:U,9+$E$2,FALSE),"")</f>
        <v>10.51523938340441</v>
      </c>
      <c r="AS130" s="89" t="str">
        <f t="shared" si="8"/>
        <v/>
      </c>
      <c r="AT130" s="90">
        <f t="shared" si="9"/>
        <v>9.4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7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35683</v>
      </c>
      <c r="AW130" s="92">
        <f t="shared" si="10"/>
        <v>2.4000000000000004</v>
      </c>
    </row>
    <row r="131" spans="1:49" ht="14.25" customHeight="1" x14ac:dyDescent="0.2">
      <c r="A131" s="48">
        <v>52045040</v>
      </c>
      <c r="B131" s="52" t="s">
        <v>283</v>
      </c>
      <c r="C131" s="52" t="s">
        <v>261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82</v>
      </c>
      <c r="J131" s="55" t="s">
        <v>283</v>
      </c>
      <c r="K131" s="51">
        <v>14.6</v>
      </c>
      <c r="L131" s="51">
        <v>15.2</v>
      </c>
      <c r="M131" s="51">
        <v>14.8</v>
      </c>
      <c r="N131" s="51">
        <v>16</v>
      </c>
      <c r="O131" s="51">
        <v>15.6</v>
      </c>
      <c r="P131" s="51">
        <v>15.4</v>
      </c>
      <c r="Q131" s="51">
        <v>15.2</v>
      </c>
      <c r="R131" s="51">
        <v>15</v>
      </c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8</v>
      </c>
      <c r="AQ131" s="89" t="str">
        <f t="shared" si="7"/>
        <v/>
      </c>
      <c r="AR131" s="89">
        <f>IFERROR(VLOOKUP(A131,Climatologia!A:U,9+$E$2,FALSE),"")</f>
        <v>14.537346512473739</v>
      </c>
      <c r="AS131" s="89" t="str">
        <f t="shared" si="8"/>
        <v/>
      </c>
      <c r="AT131" s="90">
        <f t="shared" si="9"/>
        <v>14.6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10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30952</v>
      </c>
      <c r="AW131" s="92">
        <f t="shared" si="10"/>
        <v>4.5999999999999996</v>
      </c>
    </row>
    <row r="132" spans="1:49" ht="14.25" customHeight="1" x14ac:dyDescent="0.2">
      <c r="A132" s="48">
        <v>52045090</v>
      </c>
      <c r="B132" s="52" t="s">
        <v>284</v>
      </c>
      <c r="C132" s="52" t="s">
        <v>261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82</v>
      </c>
      <c r="J132" s="55" t="s">
        <v>285</v>
      </c>
      <c r="K132" s="51">
        <v>2.2000000000000002</v>
      </c>
      <c r="L132" s="51">
        <v>3</v>
      </c>
      <c r="M132" s="51">
        <v>6.2</v>
      </c>
      <c r="N132" s="51">
        <v>6.4</v>
      </c>
      <c r="O132" s="51">
        <v>6</v>
      </c>
      <c r="P132" s="51">
        <v>6.4</v>
      </c>
      <c r="Q132" s="51">
        <v>6.2</v>
      </c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7</v>
      </c>
      <c r="AQ132" s="89" t="str">
        <f t="shared" si="7"/>
        <v/>
      </c>
      <c r="AR132" s="89">
        <f>IFERROR(VLOOKUP(A132,Climatologia!A:U,9+$E$2,FALSE),"")</f>
        <v>5.9172796934865914</v>
      </c>
      <c r="AS132" s="89" t="str">
        <f t="shared" si="8"/>
        <v/>
      </c>
      <c r="AT132" s="90">
        <f t="shared" si="9"/>
        <v>2.2000000000000002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40069</v>
      </c>
      <c r="AW132" s="92">
        <f t="shared" si="10"/>
        <v>1.0000000000000002</v>
      </c>
    </row>
    <row r="133" spans="1:49" ht="14.25" customHeight="1" x14ac:dyDescent="0.2">
      <c r="A133" s="48">
        <v>52055030</v>
      </c>
      <c r="B133" s="52" t="s">
        <v>286</v>
      </c>
      <c r="C133" s="52" t="s">
        <v>261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82</v>
      </c>
      <c r="J133" s="55" t="s">
        <v>287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15.46328945133345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8.6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288</v>
      </c>
      <c r="C134" s="52" t="s">
        <v>261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82</v>
      </c>
      <c r="J134" s="55" t="s">
        <v>289</v>
      </c>
      <c r="K134" s="51">
        <v>14.2</v>
      </c>
      <c r="L134" s="51">
        <v>16</v>
      </c>
      <c r="M134" s="51">
        <v>15.8</v>
      </c>
      <c r="N134" s="51">
        <v>16.2</v>
      </c>
      <c r="O134" s="51">
        <v>15.4</v>
      </c>
      <c r="P134" s="51">
        <v>17</v>
      </c>
      <c r="Q134" s="51">
        <v>15</v>
      </c>
      <c r="R134" s="51">
        <v>14.8</v>
      </c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8</v>
      </c>
      <c r="AQ134" s="89" t="str">
        <f t="shared" si="12"/>
        <v/>
      </c>
      <c r="AR134" s="89">
        <f>IFERROR(VLOOKUP(A134,Climatologia!A:U,9+$E$2,FALSE),"")</f>
        <v>13.931554654444071</v>
      </c>
      <c r="AS134" s="89" t="str">
        <f t="shared" si="13"/>
        <v/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10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33485</v>
      </c>
      <c r="AW134" s="92">
        <f t="shared" si="15"/>
        <v>4.1999999999999993</v>
      </c>
    </row>
    <row r="135" spans="1:49" ht="14.25" customHeight="1" x14ac:dyDescent="0.2">
      <c r="A135" s="48">
        <v>52055090</v>
      </c>
      <c r="B135" s="52" t="s">
        <v>290</v>
      </c>
      <c r="C135" s="52" t="s">
        <v>261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82</v>
      </c>
      <c r="J135" s="55" t="s">
        <v>291</v>
      </c>
      <c r="K135" s="51">
        <v>8.4</v>
      </c>
      <c r="L135" s="51">
        <v>9</v>
      </c>
      <c r="M135" s="51">
        <v>12</v>
      </c>
      <c r="N135" s="51">
        <v>12</v>
      </c>
      <c r="O135" s="51"/>
      <c r="P135" s="51"/>
      <c r="Q135" s="51">
        <v>10</v>
      </c>
      <c r="R135" s="51">
        <v>10.8</v>
      </c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6</v>
      </c>
      <c r="AQ135" s="89" t="str">
        <f t="shared" si="12"/>
        <v/>
      </c>
      <c r="AR135" s="89">
        <f>IFERROR(VLOOKUP(A135,Climatologia!A:U,9+$E$2,FALSE),"")</f>
        <v>9.2348212445501403</v>
      </c>
      <c r="AS135" s="89" t="str">
        <f t="shared" si="13"/>
        <v/>
      </c>
      <c r="AT135" s="90">
        <f t="shared" si="14"/>
        <v>8.4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5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36039</v>
      </c>
      <c r="AW135" s="92">
        <f t="shared" si="15"/>
        <v>3.4000000000000004</v>
      </c>
    </row>
    <row r="136" spans="1:49" ht="14.25" customHeight="1" x14ac:dyDescent="0.2">
      <c r="A136" s="48">
        <v>52055200</v>
      </c>
      <c r="B136" s="52" t="s">
        <v>292</v>
      </c>
      <c r="C136" s="52" t="s">
        <v>261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82</v>
      </c>
      <c r="J136" s="55" t="s">
        <v>292</v>
      </c>
      <c r="K136" s="51">
        <v>10.4</v>
      </c>
      <c r="L136" s="51">
        <v>12</v>
      </c>
      <c r="M136" s="51">
        <v>13.8</v>
      </c>
      <c r="N136" s="51">
        <v>9.1999999999999993</v>
      </c>
      <c r="O136" s="51">
        <v>16</v>
      </c>
      <c r="P136" s="51">
        <v>14.4</v>
      </c>
      <c r="Q136" s="51">
        <v>11.6</v>
      </c>
      <c r="R136" s="51">
        <v>12</v>
      </c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8</v>
      </c>
      <c r="AQ136" s="89" t="str">
        <f t="shared" si="12"/>
        <v/>
      </c>
      <c r="AR136" s="89">
        <f>IFERROR(VLOOKUP(A136,Climatologia!A:U,9+$E$2,FALSE),"")</f>
        <v>12.205965517241379</v>
      </c>
      <c r="AS136" s="89" t="str">
        <f t="shared" si="13"/>
        <v/>
      </c>
      <c r="AT136" s="90">
        <f t="shared" si="14"/>
        <v>9.1999999999999993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44100</v>
      </c>
      <c r="AW136" s="92">
        <f t="shared" si="15"/>
        <v>1.1999999999999993</v>
      </c>
    </row>
    <row r="137" spans="1:49" ht="14.25" customHeight="1" x14ac:dyDescent="0.2">
      <c r="A137" s="48">
        <v>52055210</v>
      </c>
      <c r="B137" s="52" t="s">
        <v>293</v>
      </c>
      <c r="C137" s="52" t="s">
        <v>261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82</v>
      </c>
      <c r="J137" s="55" t="s">
        <v>271</v>
      </c>
      <c r="K137" s="51">
        <v>6.4</v>
      </c>
      <c r="L137" s="51">
        <v>9.1999999999999993</v>
      </c>
      <c r="M137" s="51">
        <v>10.8</v>
      </c>
      <c r="N137" s="51">
        <v>9</v>
      </c>
      <c r="O137" s="51">
        <v>10.8</v>
      </c>
      <c r="P137" s="51">
        <v>8</v>
      </c>
      <c r="Q137" s="51">
        <v>7.2</v>
      </c>
      <c r="R137" s="51">
        <v>8.6</v>
      </c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8</v>
      </c>
      <c r="AQ137" s="89" t="str">
        <f t="shared" si="12"/>
        <v/>
      </c>
      <c r="AR137" s="89">
        <f>IFERROR(VLOOKUP(A137,Climatologia!A:U,9+$E$2,FALSE),"")</f>
        <v>8.3700583367250037</v>
      </c>
      <c r="AS137" s="89" t="str">
        <f t="shared" si="13"/>
        <v/>
      </c>
      <c r="AT137" s="90">
        <f t="shared" si="14"/>
        <v>6.4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2.8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37" s="92">
        <f t="shared" si="15"/>
        <v>3.6000000000000005</v>
      </c>
    </row>
    <row r="138" spans="1:49" ht="14.25" customHeight="1" x14ac:dyDescent="0.2">
      <c r="A138" s="48">
        <v>52055220</v>
      </c>
      <c r="B138" s="52" t="s">
        <v>294</v>
      </c>
      <c r="C138" s="52" t="s">
        <v>261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82</v>
      </c>
      <c r="J138" s="55" t="s">
        <v>295</v>
      </c>
      <c r="K138" s="51">
        <v>6</v>
      </c>
      <c r="L138" s="51">
        <v>6.2</v>
      </c>
      <c r="M138" s="51">
        <v>8.4</v>
      </c>
      <c r="N138" s="51">
        <v>8</v>
      </c>
      <c r="O138" s="51">
        <v>8.4</v>
      </c>
      <c r="P138" s="51">
        <v>5.6</v>
      </c>
      <c r="Q138" s="51">
        <v>6.2</v>
      </c>
      <c r="R138" s="51">
        <v>6</v>
      </c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8</v>
      </c>
      <c r="AQ138" s="89" t="str">
        <f t="shared" si="12"/>
        <v/>
      </c>
      <c r="AR138" s="89">
        <f>IFERROR(VLOOKUP(A138,Climatologia!A:U,9+$E$2,FALSE),"")</f>
        <v>6.6653428458184703</v>
      </c>
      <c r="AS138" s="89" t="str">
        <f t="shared" si="13"/>
        <v/>
      </c>
      <c r="AT138" s="90">
        <f t="shared" si="14"/>
        <v>5.6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2.2000000000000002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39715</v>
      </c>
      <c r="AW138" s="92">
        <f t="shared" si="15"/>
        <v>3.3999999999999995</v>
      </c>
    </row>
    <row r="139" spans="1:49" ht="14.25" customHeight="1" x14ac:dyDescent="0.2">
      <c r="A139" s="48">
        <v>53045040</v>
      </c>
      <c r="B139" s="52" t="s">
        <v>296</v>
      </c>
      <c r="C139" s="52" t="s">
        <v>261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181</v>
      </c>
      <c r="J139" s="55" t="s">
        <v>297</v>
      </c>
      <c r="K139" s="51">
        <v>23.8</v>
      </c>
      <c r="L139" s="51">
        <v>23.6</v>
      </c>
      <c r="M139" s="51">
        <v>24.2</v>
      </c>
      <c r="N139" s="51">
        <v>25.4</v>
      </c>
      <c r="O139" s="51">
        <v>24.6</v>
      </c>
      <c r="P139" s="51">
        <v>24.2</v>
      </c>
      <c r="Q139" s="51">
        <v>24</v>
      </c>
      <c r="R139" s="51">
        <v>24.2</v>
      </c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8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23.6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298</v>
      </c>
      <c r="C140" s="52" t="s">
        <v>299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300</v>
      </c>
      <c r="J140" s="55" t="s">
        <v>301</v>
      </c>
      <c r="K140" s="51">
        <v>11.8</v>
      </c>
      <c r="L140" s="51">
        <v>12</v>
      </c>
      <c r="M140" s="51">
        <v>12.2</v>
      </c>
      <c r="N140" s="51">
        <v>10.4</v>
      </c>
      <c r="O140" s="51">
        <v>12.2</v>
      </c>
      <c r="P140" s="51">
        <v>11.8</v>
      </c>
      <c r="Q140" s="51">
        <v>11.2</v>
      </c>
      <c r="R140" s="51">
        <v>12</v>
      </c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8</v>
      </c>
      <c r="AQ140" s="89" t="str">
        <f t="shared" si="12"/>
        <v/>
      </c>
      <c r="AR140" s="89">
        <f>IFERROR(VLOOKUP(A140,Climatologia!A:U,9+$E$2,FALSE),"")</f>
        <v>10.703855500821019</v>
      </c>
      <c r="AS140" s="89" t="str">
        <f t="shared" si="13"/>
        <v/>
      </c>
      <c r="AT140" s="90">
        <f t="shared" si="14"/>
        <v>10.4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35703</v>
      </c>
      <c r="AW140" s="92">
        <f t="shared" si="15"/>
        <v>5.4</v>
      </c>
    </row>
    <row r="141" spans="1:49" ht="14.25" customHeight="1" x14ac:dyDescent="0.2">
      <c r="A141" s="48">
        <v>16015100</v>
      </c>
      <c r="B141" s="52" t="s">
        <v>302</v>
      </c>
      <c r="C141" s="52" t="s">
        <v>299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300</v>
      </c>
      <c r="J141" s="55" t="s">
        <v>302</v>
      </c>
      <c r="K141" s="51">
        <v>16.2</v>
      </c>
      <c r="L141" s="51">
        <v>15.6</v>
      </c>
      <c r="M141" s="51">
        <v>15.4</v>
      </c>
      <c r="N141" s="51">
        <v>14.6</v>
      </c>
      <c r="O141" s="51">
        <v>14.8</v>
      </c>
      <c r="P141" s="51">
        <v>14.4</v>
      </c>
      <c r="Q141" s="51">
        <v>14.4</v>
      </c>
      <c r="R141" s="51">
        <v>14.2</v>
      </c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8</v>
      </c>
      <c r="AQ141" s="89" t="str">
        <f t="shared" si="12"/>
        <v/>
      </c>
      <c r="AR141" s="89">
        <f>IFERROR(VLOOKUP(A141,Climatologia!A:U,9+$E$2,FALSE),"")</f>
        <v>14.545254688445249</v>
      </c>
      <c r="AS141" s="89" t="str">
        <f t="shared" si="13"/>
        <v/>
      </c>
      <c r="AT141" s="90">
        <f t="shared" si="14"/>
        <v>14.2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11.8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42643</v>
      </c>
      <c r="AW141" s="92">
        <f t="shared" si="15"/>
        <v>2.3999999999999986</v>
      </c>
    </row>
    <row r="142" spans="1:49" ht="14.25" customHeight="1" x14ac:dyDescent="0.2">
      <c r="A142" s="48">
        <v>16025010</v>
      </c>
      <c r="B142" s="52" t="s">
        <v>303</v>
      </c>
      <c r="C142" s="52" t="s">
        <v>299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300</v>
      </c>
      <c r="J142" s="55" t="s">
        <v>304</v>
      </c>
      <c r="K142" s="51">
        <v>24.8</v>
      </c>
      <c r="L142" s="51">
        <v>24.4</v>
      </c>
      <c r="M142" s="51">
        <v>23.4</v>
      </c>
      <c r="N142" s="51">
        <v>24.2</v>
      </c>
      <c r="O142" s="51">
        <v>24.4</v>
      </c>
      <c r="P142" s="51">
        <v>24.8</v>
      </c>
      <c r="Q142" s="51">
        <v>24</v>
      </c>
      <c r="R142" s="51">
        <v>26</v>
      </c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8</v>
      </c>
      <c r="AQ142" s="89" t="str">
        <f t="shared" si="12"/>
        <v/>
      </c>
      <c r="AR142" s="89">
        <f>IFERROR(VLOOKUP(A142,Climatologia!A:U,9+$E$2,FALSE),"")</f>
        <v>22.455977862920388</v>
      </c>
      <c r="AS142" s="89" t="str">
        <f t="shared" si="13"/>
        <v/>
      </c>
      <c r="AT142" s="90">
        <f t="shared" si="14"/>
        <v>23.4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19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32410</v>
      </c>
      <c r="AW142" s="92">
        <f t="shared" si="15"/>
        <v>4.3999999999999986</v>
      </c>
    </row>
    <row r="143" spans="1:49" ht="14.25" customHeight="1" x14ac:dyDescent="0.2">
      <c r="A143" s="48">
        <v>16025030</v>
      </c>
      <c r="B143" s="52" t="s">
        <v>305</v>
      </c>
      <c r="C143" s="52" t="s">
        <v>299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300</v>
      </c>
      <c r="J143" s="55" t="s">
        <v>305</v>
      </c>
      <c r="K143" s="51">
        <v>20.399999999999999</v>
      </c>
      <c r="L143" s="51">
        <v>21</v>
      </c>
      <c r="M143" s="51">
        <v>21.2</v>
      </c>
      <c r="N143" s="51">
        <v>20.6</v>
      </c>
      <c r="O143" s="51">
        <v>20.399999999999999</v>
      </c>
      <c r="P143" s="51">
        <v>20.399999999999999</v>
      </c>
      <c r="Q143" s="51">
        <v>20.6</v>
      </c>
      <c r="R143" s="51">
        <v>22.2</v>
      </c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8</v>
      </c>
      <c r="AQ143" s="89" t="str">
        <f t="shared" si="12"/>
        <v/>
      </c>
      <c r="AR143" s="89">
        <f>IFERROR(VLOOKUP(A143,Climatologia!A:U,9+$E$2,FALSE),"")</f>
        <v>19.329999999999998</v>
      </c>
      <c r="AS143" s="89" t="str">
        <f t="shared" si="13"/>
        <v/>
      </c>
      <c r="AT143" s="90">
        <f t="shared" si="14"/>
        <v>20.399999999999999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43" s="92">
        <f t="shared" si="15"/>
        <v>5.1999999999999993</v>
      </c>
    </row>
    <row r="144" spans="1:49" ht="14.25" customHeight="1" x14ac:dyDescent="0.2">
      <c r="A144" s="48">
        <v>16025040</v>
      </c>
      <c r="B144" s="52" t="s">
        <v>306</v>
      </c>
      <c r="C144" s="52" t="s">
        <v>299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300</v>
      </c>
      <c r="J144" s="55" t="s">
        <v>304</v>
      </c>
      <c r="K144" s="51">
        <v>25</v>
      </c>
      <c r="L144" s="51">
        <v>25.2</v>
      </c>
      <c r="M144" s="51">
        <v>24.8</v>
      </c>
      <c r="N144" s="51">
        <v>24.2</v>
      </c>
      <c r="O144" s="51">
        <v>25</v>
      </c>
      <c r="P144" s="51">
        <v>24.4</v>
      </c>
      <c r="Q144" s="51">
        <v>24</v>
      </c>
      <c r="R144" s="51">
        <v>26</v>
      </c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8</v>
      </c>
      <c r="AQ144" s="89" t="str">
        <f t="shared" si="12"/>
        <v/>
      </c>
      <c r="AR144" s="89">
        <f>IFERROR(VLOOKUP(A144,Climatologia!A:U,9+$E$2,FALSE),"")</f>
        <v>23.11510704812429</v>
      </c>
      <c r="AS144" s="89" t="str">
        <f t="shared" si="13"/>
        <v/>
      </c>
      <c r="AT144" s="90">
        <f t="shared" si="14"/>
        <v>24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16.2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29843</v>
      </c>
      <c r="AW144" s="92">
        <f t="shared" si="15"/>
        <v>7.8000000000000007</v>
      </c>
    </row>
    <row r="145" spans="1:49" ht="14.25" customHeight="1" x14ac:dyDescent="0.2">
      <c r="A145" s="48">
        <v>16055010</v>
      </c>
      <c r="B145" s="52" t="s">
        <v>307</v>
      </c>
      <c r="C145" s="52" t="s">
        <v>299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300</v>
      </c>
      <c r="J145" s="55" t="s">
        <v>308</v>
      </c>
      <c r="K145" s="51">
        <v>18.2</v>
      </c>
      <c r="L145" s="51">
        <v>18</v>
      </c>
      <c r="M145" s="51">
        <v>17.2</v>
      </c>
      <c r="N145" s="51">
        <v>17.600000000000001</v>
      </c>
      <c r="O145" s="51">
        <v>16.600000000000001</v>
      </c>
      <c r="P145" s="51">
        <v>15.2</v>
      </c>
      <c r="Q145" s="51">
        <v>14.6</v>
      </c>
      <c r="R145" s="51"/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7</v>
      </c>
      <c r="AQ145" s="89" t="str">
        <f t="shared" si="12"/>
        <v/>
      </c>
      <c r="AR145" s="89">
        <f>IFERROR(VLOOKUP(A145,Climatologia!A:U,9+$E$2,FALSE),"")</f>
        <v>16.00302197802198</v>
      </c>
      <c r="AS145" s="89" t="str">
        <f t="shared" si="13"/>
        <v/>
      </c>
      <c r="AT145" s="90">
        <f t="shared" si="14"/>
        <v>14.6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11.4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45" s="92">
        <f t="shared" si="15"/>
        <v>3.1999999999999993</v>
      </c>
    </row>
    <row r="146" spans="1:49" ht="14.25" customHeight="1" x14ac:dyDescent="0.2">
      <c r="A146" s="48">
        <v>16055040</v>
      </c>
      <c r="B146" s="52" t="s">
        <v>309</v>
      </c>
      <c r="C146" s="52" t="s">
        <v>299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300</v>
      </c>
      <c r="J146" s="55" t="s">
        <v>310</v>
      </c>
      <c r="K146" s="51">
        <v>15</v>
      </c>
      <c r="L146" s="51">
        <v>14</v>
      </c>
      <c r="M146" s="51">
        <v>14</v>
      </c>
      <c r="N146" s="51">
        <v>13.6</v>
      </c>
      <c r="O146" s="51">
        <v>16.2</v>
      </c>
      <c r="P146" s="51">
        <v>11.4</v>
      </c>
      <c r="Q146" s="51">
        <v>11.2</v>
      </c>
      <c r="R146" s="51">
        <v>12.2</v>
      </c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8</v>
      </c>
      <c r="AQ146" s="89" t="str">
        <f t="shared" si="12"/>
        <v/>
      </c>
      <c r="AR146" s="89">
        <f>IFERROR(VLOOKUP(A146,Climatologia!A:U,9+$E$2,FALSE),"")</f>
        <v>14.45928882262166</v>
      </c>
      <c r="AS146" s="89" t="str">
        <f t="shared" si="13"/>
        <v/>
      </c>
      <c r="AT146" s="90">
        <f t="shared" si="14"/>
        <v>11.2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8.6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37135</v>
      </c>
      <c r="AW146" s="92">
        <f t="shared" si="15"/>
        <v>2.5999999999999996</v>
      </c>
    </row>
    <row r="147" spans="1:49" ht="14.25" customHeight="1" x14ac:dyDescent="0.2">
      <c r="A147" s="48">
        <v>23125060</v>
      </c>
      <c r="B147" s="52" t="s">
        <v>311</v>
      </c>
      <c r="C147" s="52" t="s">
        <v>299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49</v>
      </c>
      <c r="J147" s="55" t="s">
        <v>311</v>
      </c>
      <c r="K147" s="51">
        <v>17.2</v>
      </c>
      <c r="L147" s="51">
        <v>17</v>
      </c>
      <c r="M147" s="51">
        <v>16.2</v>
      </c>
      <c r="N147" s="51">
        <v>16.2</v>
      </c>
      <c r="O147" s="51">
        <v>16.600000000000001</v>
      </c>
      <c r="P147" s="51">
        <v>16.8</v>
      </c>
      <c r="Q147" s="51">
        <v>15.2</v>
      </c>
      <c r="R147" s="51">
        <v>16.2</v>
      </c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8</v>
      </c>
      <c r="AQ147" s="89" t="str">
        <f t="shared" si="12"/>
        <v/>
      </c>
      <c r="AR147" s="89">
        <f>IFERROR(VLOOKUP(A147,Climatologia!A:U,9+$E$2,FALSE),"")</f>
        <v>14.599499815025331</v>
      </c>
      <c r="AS147" s="89" t="str">
        <f t="shared" si="13"/>
        <v/>
      </c>
      <c r="AT147" s="90">
        <f t="shared" si="14"/>
        <v>15.2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11.2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28737</v>
      </c>
      <c r="AW147" s="92">
        <f t="shared" si="15"/>
        <v>4</v>
      </c>
    </row>
    <row r="148" spans="1:49" ht="14.25" customHeight="1" x14ac:dyDescent="0.2">
      <c r="A148" s="48">
        <v>23125120</v>
      </c>
      <c r="B148" s="52" t="s">
        <v>312</v>
      </c>
      <c r="C148" s="52" t="s">
        <v>299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49</v>
      </c>
      <c r="J148" s="55" t="s">
        <v>312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22.255609026988331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37518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313</v>
      </c>
      <c r="C149" s="52" t="s">
        <v>299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49</v>
      </c>
      <c r="J149" s="55" t="s">
        <v>314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19.720218938149969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16.399999999999999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42277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315</v>
      </c>
      <c r="C150" s="52" t="s">
        <v>299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49</v>
      </c>
      <c r="J150" s="55" t="s">
        <v>50</v>
      </c>
      <c r="K150" s="51">
        <v>25.8</v>
      </c>
      <c r="L150" s="51">
        <v>25.2</v>
      </c>
      <c r="M150" s="51">
        <v>24.8</v>
      </c>
      <c r="N150" s="51">
        <v>24</v>
      </c>
      <c r="O150" s="51">
        <v>23.8</v>
      </c>
      <c r="P150" s="51">
        <v>24.8</v>
      </c>
      <c r="Q150" s="51">
        <v>24.6</v>
      </c>
      <c r="R150" s="51">
        <v>24.8</v>
      </c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8</v>
      </c>
      <c r="AQ150" s="89" t="str">
        <f t="shared" si="12"/>
        <v/>
      </c>
      <c r="AR150" s="89">
        <f>IFERROR(VLOOKUP(A150,Climatologia!A:U,9+$E$2,FALSE),"")</f>
        <v>22.212792092964509</v>
      </c>
      <c r="AS150" s="89" t="str">
        <f t="shared" si="13"/>
        <v/>
      </c>
      <c r="AT150" s="90">
        <f t="shared" si="14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34584</v>
      </c>
      <c r="AW150" s="92">
        <f t="shared" si="15"/>
        <v>4.8000000000000007</v>
      </c>
    </row>
    <row r="151" spans="1:49" ht="14.25" customHeight="1" x14ac:dyDescent="0.2">
      <c r="A151" s="48">
        <v>23185010</v>
      </c>
      <c r="B151" s="52" t="s">
        <v>316</v>
      </c>
      <c r="C151" s="52" t="s">
        <v>299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49</v>
      </c>
      <c r="J151" s="55" t="s">
        <v>317</v>
      </c>
      <c r="K151" s="51">
        <v>24.4</v>
      </c>
      <c r="L151" s="51">
        <v>25</v>
      </c>
      <c r="M151" s="51">
        <v>24.4</v>
      </c>
      <c r="N151" s="51">
        <v>23.4</v>
      </c>
      <c r="O151" s="51">
        <v>24.8</v>
      </c>
      <c r="P151" s="51">
        <v>24.4</v>
      </c>
      <c r="Q151" s="51">
        <v>26</v>
      </c>
      <c r="R151" s="51">
        <v>24</v>
      </c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8</v>
      </c>
      <c r="AQ151" s="89" t="str">
        <f t="shared" si="12"/>
        <v/>
      </c>
      <c r="AR151" s="89">
        <f>IFERROR(VLOOKUP(A151,Climatologia!A:U,9+$E$2,FALSE),"")</f>
        <v>23.24969243701382</v>
      </c>
      <c r="AS151" s="89" t="str">
        <f t="shared" si="13"/>
        <v/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31308</v>
      </c>
      <c r="AW151" s="92">
        <f t="shared" si="15"/>
        <v>6.3999999999999986</v>
      </c>
    </row>
    <row r="152" spans="1:49" ht="14.25" customHeight="1" x14ac:dyDescent="0.2">
      <c r="A152" s="48">
        <v>23195090</v>
      </c>
      <c r="B152" s="52" t="s">
        <v>318</v>
      </c>
      <c r="C152" s="52" t="s">
        <v>299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49</v>
      </c>
      <c r="J152" s="55" t="s">
        <v>319</v>
      </c>
      <c r="K152" s="51">
        <v>15.4</v>
      </c>
      <c r="L152" s="51">
        <v>15.4</v>
      </c>
      <c r="M152" s="51">
        <v>15</v>
      </c>
      <c r="N152" s="51">
        <v>14.8</v>
      </c>
      <c r="O152" s="51">
        <v>14.2</v>
      </c>
      <c r="P152" s="51">
        <v>14.8</v>
      </c>
      <c r="Q152" s="51">
        <v>14.2</v>
      </c>
      <c r="R152" s="51">
        <v>15.4</v>
      </c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8</v>
      </c>
      <c r="AQ152" s="89" t="str">
        <f t="shared" si="12"/>
        <v/>
      </c>
      <c r="AR152" s="89">
        <f>IFERROR(VLOOKUP(A152,Climatologia!A:U,9+$E$2,FALSE),"")</f>
        <v>14.218116214197231</v>
      </c>
      <c r="AS152" s="89" t="str">
        <f t="shared" si="13"/>
        <v/>
      </c>
      <c r="AT152" s="90">
        <f t="shared" si="14"/>
        <v>14.2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11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31657</v>
      </c>
      <c r="AW152" s="92">
        <f t="shared" si="15"/>
        <v>3.1999999999999993</v>
      </c>
    </row>
    <row r="153" spans="1:49" ht="14.25" customHeight="1" x14ac:dyDescent="0.2">
      <c r="A153" s="48">
        <v>23195110</v>
      </c>
      <c r="B153" s="52" t="s">
        <v>320</v>
      </c>
      <c r="C153" s="52" t="s">
        <v>299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49</v>
      </c>
      <c r="J153" s="55" t="s">
        <v>321</v>
      </c>
      <c r="K153" s="51">
        <v>21.2</v>
      </c>
      <c r="L153" s="51">
        <v>19.8</v>
      </c>
      <c r="M153" s="51">
        <v>20.399999999999999</v>
      </c>
      <c r="N153" s="51">
        <v>19.399999999999999</v>
      </c>
      <c r="O153" s="51">
        <v>20.399999999999999</v>
      </c>
      <c r="P153" s="51">
        <v>20</v>
      </c>
      <c r="Q153" s="51">
        <v>18.8</v>
      </c>
      <c r="R153" s="51">
        <v>19.600000000000001</v>
      </c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8</v>
      </c>
      <c r="AQ153" s="89" t="str">
        <f t="shared" si="12"/>
        <v/>
      </c>
      <c r="AR153" s="89">
        <f>IFERROR(VLOOKUP(A153,Climatologia!A:U,9+$E$2,FALSE),"")</f>
        <v>19.470720699479319</v>
      </c>
      <c r="AS153" s="89" t="str">
        <f t="shared" si="13"/>
        <v/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14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37871</v>
      </c>
      <c r="AW153" s="92">
        <f t="shared" si="15"/>
        <v>4.8000000000000007</v>
      </c>
    </row>
    <row r="154" spans="1:49" ht="14.25" customHeight="1" x14ac:dyDescent="0.2">
      <c r="A154" s="48">
        <v>24015250</v>
      </c>
      <c r="B154" s="52" t="s">
        <v>322</v>
      </c>
      <c r="C154" s="52" t="s">
        <v>299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49</v>
      </c>
      <c r="J154" s="55" t="s">
        <v>323</v>
      </c>
      <c r="K154" s="51">
        <v>16</v>
      </c>
      <c r="L154" s="51">
        <v>16.2</v>
      </c>
      <c r="M154" s="51">
        <v>17</v>
      </c>
      <c r="N154" s="51">
        <v>16</v>
      </c>
      <c r="O154" s="51">
        <v>16</v>
      </c>
      <c r="P154" s="51">
        <v>15.2</v>
      </c>
      <c r="Q154" s="51">
        <v>14.8</v>
      </c>
      <c r="R154" s="51">
        <v>15</v>
      </c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8</v>
      </c>
      <c r="AQ154" s="89" t="str">
        <f t="shared" si="12"/>
        <v/>
      </c>
      <c r="AR154" s="89">
        <f>IFERROR(VLOOKUP(A154,Climatologia!A:U,9+$E$2,FALSE),"")</f>
        <v>15.55247935291613</v>
      </c>
      <c r="AS154" s="89" t="str">
        <f t="shared" si="13"/>
        <v/>
      </c>
      <c r="AT154" s="90">
        <f t="shared" si="14"/>
        <v>14.8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37160</v>
      </c>
      <c r="AW154" s="92">
        <f t="shared" si="15"/>
        <v>3.8000000000000007</v>
      </c>
    </row>
    <row r="155" spans="1:49" ht="14.25" customHeight="1" x14ac:dyDescent="0.2">
      <c r="A155" s="48">
        <v>24015260</v>
      </c>
      <c r="B155" s="52" t="s">
        <v>123</v>
      </c>
      <c r="C155" s="52" t="s">
        <v>299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49</v>
      </c>
      <c r="J155" s="55" t="s">
        <v>123</v>
      </c>
      <c r="K155" s="51">
        <v>19.399999999999999</v>
      </c>
      <c r="L155" s="51">
        <v>19</v>
      </c>
      <c r="M155" s="51">
        <v>18.8</v>
      </c>
      <c r="N155" s="51">
        <v>19.2</v>
      </c>
      <c r="O155" s="51">
        <v>18.600000000000001</v>
      </c>
      <c r="P155" s="51">
        <v>19.600000000000001</v>
      </c>
      <c r="Q155" s="51">
        <v>18</v>
      </c>
      <c r="R155" s="51">
        <v>18.2</v>
      </c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8</v>
      </c>
      <c r="AQ155" s="89" t="str">
        <f t="shared" si="12"/>
        <v/>
      </c>
      <c r="AR155" s="89">
        <f>IFERROR(VLOOKUP(A155,Climatologia!A:U,9+$E$2,FALSE),"")</f>
        <v>17.95067323481117</v>
      </c>
      <c r="AS155" s="89" t="str">
        <f t="shared" si="13"/>
        <v/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11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29476</v>
      </c>
      <c r="AW155" s="92">
        <f t="shared" si="15"/>
        <v>7</v>
      </c>
    </row>
    <row r="156" spans="1:49" ht="14.25" customHeight="1" x14ac:dyDescent="0.2">
      <c r="A156" s="48">
        <v>24025040</v>
      </c>
      <c r="B156" s="52" t="s">
        <v>324</v>
      </c>
      <c r="C156" s="52" t="s">
        <v>299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49</v>
      </c>
      <c r="J156" s="55" t="s">
        <v>325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13.359148505747131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8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35677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326</v>
      </c>
      <c r="C157" s="52" t="s">
        <v>299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49</v>
      </c>
      <c r="J157" s="55" t="s">
        <v>327</v>
      </c>
      <c r="K157" s="51">
        <v>9</v>
      </c>
      <c r="L157" s="51">
        <v>10</v>
      </c>
      <c r="M157" s="51">
        <v>10</v>
      </c>
      <c r="N157" s="51">
        <v>9.1999999999999993</v>
      </c>
      <c r="O157" s="51">
        <v>9</v>
      </c>
      <c r="P157" s="51">
        <v>10.6</v>
      </c>
      <c r="Q157" s="51">
        <v>10.199999999999999</v>
      </c>
      <c r="R157" s="51">
        <v>11</v>
      </c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8</v>
      </c>
      <c r="AQ157" s="89" t="str">
        <f t="shared" si="12"/>
        <v/>
      </c>
      <c r="AR157" s="89">
        <f>IFERROR(VLOOKUP(A157,Climatologia!A:U,9+$E$2,FALSE),"")</f>
        <v>8.9902791461412157</v>
      </c>
      <c r="AS157" s="89" t="str">
        <f t="shared" si="13"/>
        <v/>
      </c>
      <c r="AT157" s="90">
        <f t="shared" si="14"/>
        <v>9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5.4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41902</v>
      </c>
      <c r="AW157" s="92">
        <f t="shared" si="15"/>
        <v>3.5999999999999996</v>
      </c>
    </row>
    <row r="158" spans="1:49" ht="14.25" customHeight="1" x14ac:dyDescent="0.2">
      <c r="A158" s="48">
        <v>24055030</v>
      </c>
      <c r="B158" s="52" t="s">
        <v>328</v>
      </c>
      <c r="C158" s="52" t="s">
        <v>299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49</v>
      </c>
      <c r="J158" s="55" t="s">
        <v>328</v>
      </c>
      <c r="K158" s="51">
        <v>13.8</v>
      </c>
      <c r="L158" s="51">
        <v>14.2</v>
      </c>
      <c r="M158" s="51">
        <v>14.4</v>
      </c>
      <c r="N158" s="51">
        <v>14</v>
      </c>
      <c r="O158" s="51">
        <v>12.8</v>
      </c>
      <c r="P158" s="51">
        <v>14</v>
      </c>
      <c r="Q158" s="51">
        <v>13.2</v>
      </c>
      <c r="R158" s="51">
        <v>13.2</v>
      </c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8</v>
      </c>
      <c r="AQ158" s="89" t="str">
        <f t="shared" si="12"/>
        <v/>
      </c>
      <c r="AR158" s="89">
        <f>IFERROR(VLOOKUP(A158,Climatologia!A:U,9+$E$2,FALSE),"")</f>
        <v>14.050960919540231</v>
      </c>
      <c r="AS158" s="89" t="str">
        <f t="shared" si="13"/>
        <v/>
      </c>
      <c r="AT158" s="90">
        <f t="shared" si="14"/>
        <v>12.8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33127</v>
      </c>
      <c r="AW158" s="92">
        <f t="shared" si="15"/>
        <v>1.8000000000000007</v>
      </c>
    </row>
    <row r="159" spans="1:49" ht="14.25" customHeight="1" x14ac:dyDescent="0.2">
      <c r="A159" s="48">
        <v>24055040</v>
      </c>
      <c r="B159" s="52" t="s">
        <v>329</v>
      </c>
      <c r="C159" s="52" t="s">
        <v>299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49</v>
      </c>
      <c r="J159" s="55" t="s">
        <v>330</v>
      </c>
      <c r="K159" s="51">
        <v>21.4</v>
      </c>
      <c r="L159" s="51">
        <v>21</v>
      </c>
      <c r="M159" s="51">
        <v>21.2</v>
      </c>
      <c r="N159" s="51">
        <v>21.6</v>
      </c>
      <c r="O159" s="51">
        <v>21</v>
      </c>
      <c r="P159" s="51">
        <v>19.2</v>
      </c>
      <c r="Q159" s="51">
        <v>19.8</v>
      </c>
      <c r="R159" s="51">
        <v>21</v>
      </c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8</v>
      </c>
      <c r="AQ159" s="89" t="str">
        <f t="shared" si="12"/>
        <v/>
      </c>
      <c r="AR159" s="89">
        <f>IFERROR(VLOOKUP(A159,Climatologia!A:U,9+$E$2,FALSE),"")</f>
        <v>19.856944177063081</v>
      </c>
      <c r="AS159" s="89" t="str">
        <f t="shared" si="13"/>
        <v/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16.2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30927</v>
      </c>
      <c r="AW159" s="92">
        <f t="shared" si="15"/>
        <v>3</v>
      </c>
    </row>
    <row r="160" spans="1:49" ht="14.25" customHeight="1" x14ac:dyDescent="0.2">
      <c r="A160" s="48">
        <v>37015020</v>
      </c>
      <c r="B160" s="52" t="s">
        <v>331</v>
      </c>
      <c r="C160" s="52" t="s">
        <v>299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49</v>
      </c>
      <c r="J160" s="55" t="s">
        <v>332</v>
      </c>
      <c r="K160" s="51">
        <v>5.4</v>
      </c>
      <c r="L160" s="51">
        <v>6.6</v>
      </c>
      <c r="M160" s="51">
        <v>7.2</v>
      </c>
      <c r="N160" s="51">
        <v>5.8</v>
      </c>
      <c r="O160" s="51">
        <v>6.2</v>
      </c>
      <c r="P160" s="51">
        <v>6.6</v>
      </c>
      <c r="Q160" s="51">
        <v>5.8</v>
      </c>
      <c r="R160" s="51">
        <v>6</v>
      </c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8</v>
      </c>
      <c r="AQ160" s="89" t="str">
        <f t="shared" si="12"/>
        <v/>
      </c>
      <c r="AR160" s="89">
        <f>IFERROR(VLOOKUP(A160,Climatologia!A:U,9+$E$2,FALSE),"")</f>
        <v>5.302976940353874</v>
      </c>
      <c r="AS160" s="89" t="str">
        <f t="shared" si="13"/>
        <v/>
      </c>
      <c r="AT160" s="90">
        <f t="shared" si="14"/>
        <v>5.4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-4.4000000000000004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60" s="92">
        <f t="shared" si="15"/>
        <v>9.8000000000000007</v>
      </c>
    </row>
    <row r="161" spans="1:49" ht="14.25" customHeight="1" x14ac:dyDescent="0.2">
      <c r="A161" s="48">
        <v>37035010</v>
      </c>
      <c r="B161" s="52" t="s">
        <v>333</v>
      </c>
      <c r="C161" s="52" t="s">
        <v>299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300</v>
      </c>
      <c r="J161" s="55" t="s">
        <v>334</v>
      </c>
      <c r="K161" s="51">
        <v>22</v>
      </c>
      <c r="L161" s="51">
        <v>22.2</v>
      </c>
      <c r="M161" s="51">
        <v>20.2</v>
      </c>
      <c r="N161" s="51">
        <v>22</v>
      </c>
      <c r="O161" s="51">
        <v>20</v>
      </c>
      <c r="P161" s="51">
        <v>21</v>
      </c>
      <c r="Q161" s="51">
        <v>19.600000000000001</v>
      </c>
      <c r="R161" s="51">
        <v>21</v>
      </c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8</v>
      </c>
      <c r="AQ161" s="89" t="str">
        <f t="shared" si="12"/>
        <v/>
      </c>
      <c r="AR161" s="89">
        <f>IFERROR(VLOOKUP(A161,Climatologia!A:U,9+$E$2,FALSE),"")</f>
        <v>20.703538991340711</v>
      </c>
      <c r="AS161" s="89" t="str">
        <f t="shared" si="13"/>
        <v/>
      </c>
      <c r="AT161" s="90">
        <f t="shared" si="14"/>
        <v>19.600000000000001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16.399999999999999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1" s="92">
        <f t="shared" si="15"/>
        <v>3.2000000000000028</v>
      </c>
    </row>
    <row r="162" spans="1:49" ht="14.25" customHeight="1" x14ac:dyDescent="0.2">
      <c r="A162" s="48">
        <v>26025090</v>
      </c>
      <c r="B162" s="52" t="s">
        <v>335</v>
      </c>
      <c r="C162" s="52" t="s">
        <v>336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181</v>
      </c>
      <c r="J162" s="55" t="s">
        <v>337</v>
      </c>
      <c r="K162" s="51">
        <v>14.8</v>
      </c>
      <c r="L162" s="51">
        <v>15.8</v>
      </c>
      <c r="M162" s="51">
        <v>16</v>
      </c>
      <c r="N162" s="51"/>
      <c r="O162" s="51">
        <v>15</v>
      </c>
      <c r="P162" s="51"/>
      <c r="Q162" s="51"/>
      <c r="R162" s="51">
        <v>14.8</v>
      </c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5</v>
      </c>
      <c r="AQ162" s="89" t="str">
        <f t="shared" si="12"/>
        <v/>
      </c>
      <c r="AR162" s="89">
        <f>IFERROR(VLOOKUP(A162,Climatologia!A:U,9+$E$2,FALSE),"")</f>
        <v>13.66748994960647</v>
      </c>
      <c r="AS162" s="89" t="str">
        <f t="shared" si="13"/>
        <v/>
      </c>
      <c r="AT162" s="90">
        <f t="shared" si="14"/>
        <v>14.8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10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31311</v>
      </c>
      <c r="AW162" s="92">
        <f t="shared" si="15"/>
        <v>4.8000000000000007</v>
      </c>
    </row>
    <row r="163" spans="1:49" ht="14.25" customHeight="1" x14ac:dyDescent="0.2">
      <c r="A163" s="48">
        <v>26025110</v>
      </c>
      <c r="B163" s="52" t="s">
        <v>338</v>
      </c>
      <c r="C163" s="52" t="s">
        <v>336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181</v>
      </c>
      <c r="J163" s="55" t="s">
        <v>339</v>
      </c>
      <c r="K163" s="51">
        <v>19</v>
      </c>
      <c r="L163" s="51">
        <v>19.600000000000001</v>
      </c>
      <c r="M163" s="51">
        <v>19</v>
      </c>
      <c r="N163" s="51">
        <v>18</v>
      </c>
      <c r="O163" s="51">
        <v>18.600000000000001</v>
      </c>
      <c r="P163" s="51">
        <v>18.399999999999999</v>
      </c>
      <c r="Q163" s="51">
        <v>18.8</v>
      </c>
      <c r="R163" s="51">
        <v>18</v>
      </c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8</v>
      </c>
      <c r="AQ163" s="89" t="str">
        <f t="shared" si="12"/>
        <v/>
      </c>
      <c r="AR163" s="89">
        <f>IFERROR(VLOOKUP(A163,Climatologia!A:U,9+$E$2,FALSE),"")</f>
        <v>18.073157894736841</v>
      </c>
      <c r="AS163" s="89" t="str">
        <f t="shared" si="13"/>
        <v/>
      </c>
      <c r="AT163" s="90">
        <f t="shared" si="14"/>
        <v>18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37507</v>
      </c>
      <c r="AW163" s="92">
        <f t="shared" si="15"/>
        <v>3</v>
      </c>
    </row>
    <row r="164" spans="1:49" ht="14.25" customHeight="1" x14ac:dyDescent="0.2">
      <c r="A164" s="48">
        <v>26075010</v>
      </c>
      <c r="B164" s="52" t="s">
        <v>340</v>
      </c>
      <c r="C164" s="52" t="s">
        <v>336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341</v>
      </c>
      <c r="J164" s="55" t="s">
        <v>77</v>
      </c>
      <c r="K164" s="51">
        <v>19</v>
      </c>
      <c r="L164" s="51">
        <v>20.399999999999999</v>
      </c>
      <c r="M164" s="51">
        <v>19</v>
      </c>
      <c r="N164" s="51">
        <v>19.2</v>
      </c>
      <c r="O164" s="51">
        <v>18</v>
      </c>
      <c r="P164" s="51">
        <v>18.600000000000001</v>
      </c>
      <c r="Q164" s="51">
        <v>21.6</v>
      </c>
      <c r="R164" s="51">
        <v>18</v>
      </c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8</v>
      </c>
      <c r="AQ164" s="89" t="str">
        <f t="shared" si="12"/>
        <v/>
      </c>
      <c r="AR164" s="89">
        <f>IFERROR(VLOOKUP(A164,Climatologia!A:U,9+$E$2,FALSE),"")</f>
        <v>19.171552610996091</v>
      </c>
      <c r="AS164" s="89" t="str">
        <f t="shared" si="13"/>
        <v/>
      </c>
      <c r="AT164" s="90">
        <f t="shared" si="14"/>
        <v>18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15.7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4" s="92">
        <f t="shared" si="15"/>
        <v>2.3000000000000007</v>
      </c>
    </row>
    <row r="165" spans="1:49" ht="14.25" customHeight="1" x14ac:dyDescent="0.2">
      <c r="A165" s="48">
        <v>26105140</v>
      </c>
      <c r="B165" s="52" t="s">
        <v>342</v>
      </c>
      <c r="C165" s="52" t="s">
        <v>336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341</v>
      </c>
      <c r="J165" s="55" t="s">
        <v>343</v>
      </c>
      <c r="K165" s="51">
        <v>11</v>
      </c>
      <c r="L165" s="51">
        <v>8</v>
      </c>
      <c r="M165" s="51">
        <v>9</v>
      </c>
      <c r="N165" s="51">
        <v>10.8</v>
      </c>
      <c r="O165" s="51">
        <v>9</v>
      </c>
      <c r="P165" s="51">
        <v>8</v>
      </c>
      <c r="Q165" s="51">
        <v>9.1999999999999993</v>
      </c>
      <c r="R165" s="51">
        <v>10</v>
      </c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8</v>
      </c>
      <c r="AQ165" s="89" t="str">
        <f t="shared" si="12"/>
        <v/>
      </c>
      <c r="AR165" s="89">
        <f>IFERROR(VLOOKUP(A165,Climatologia!A:U,9+$E$2,FALSE),"")</f>
        <v>8.1571670780627432</v>
      </c>
      <c r="AS165" s="89" t="str">
        <f t="shared" si="13"/>
        <v/>
      </c>
      <c r="AT165" s="90">
        <f t="shared" si="14"/>
        <v>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3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31672</v>
      </c>
      <c r="AW165" s="92">
        <f t="shared" si="15"/>
        <v>5</v>
      </c>
    </row>
    <row r="166" spans="1:49" ht="14.25" customHeight="1" x14ac:dyDescent="0.2">
      <c r="A166" s="48">
        <v>26105150</v>
      </c>
      <c r="B166" s="52" t="s">
        <v>344</v>
      </c>
      <c r="C166" s="52" t="s">
        <v>336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341</v>
      </c>
      <c r="J166" s="55" t="s">
        <v>345</v>
      </c>
      <c r="K166" s="51">
        <v>19.600000000000001</v>
      </c>
      <c r="L166" s="51">
        <v>19</v>
      </c>
      <c r="M166" s="51">
        <v>19.600000000000001</v>
      </c>
      <c r="N166" s="51"/>
      <c r="O166" s="51">
        <v>19.600000000000001</v>
      </c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4</v>
      </c>
      <c r="AQ166" s="89" t="str">
        <f t="shared" si="12"/>
        <v/>
      </c>
      <c r="AR166" s="89">
        <f>IFERROR(VLOOKUP(A166,Climatologia!A:U,9+$E$2,FALSE),"")</f>
        <v>17.38327387384858</v>
      </c>
      <c r="AS166" s="89" t="str">
        <f t="shared" si="13"/>
        <v/>
      </c>
      <c r="AT166" s="90">
        <f t="shared" si="14"/>
        <v>19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12.6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66" s="92">
        <f t="shared" si="15"/>
        <v>6.4</v>
      </c>
    </row>
    <row r="167" spans="1:49" ht="14.25" customHeight="1" x14ac:dyDescent="0.2">
      <c r="A167" s="48">
        <v>26105230</v>
      </c>
      <c r="B167" s="52" t="s">
        <v>346</v>
      </c>
      <c r="C167" s="52" t="s">
        <v>336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341</v>
      </c>
      <c r="J167" s="55" t="s">
        <v>343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17.538792398415641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14.2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43362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347</v>
      </c>
      <c r="C168" s="52" t="s">
        <v>336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341</v>
      </c>
      <c r="J168" s="55" t="s">
        <v>348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15.58295354982547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8.6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30209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349</v>
      </c>
      <c r="C169" s="52" t="s">
        <v>336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64</v>
      </c>
      <c r="J169" s="55" t="s">
        <v>65</v>
      </c>
      <c r="K169" s="51">
        <v>19.8</v>
      </c>
      <c r="L169" s="51">
        <v>20.2</v>
      </c>
      <c r="M169" s="51">
        <v>19.399999999999999</v>
      </c>
      <c r="N169" s="51">
        <v>19.8</v>
      </c>
      <c r="O169" s="51">
        <v>20.2</v>
      </c>
      <c r="P169" s="51">
        <v>19.600000000000001</v>
      </c>
      <c r="Q169" s="51">
        <v>19.2</v>
      </c>
      <c r="R169" s="51">
        <v>17.8</v>
      </c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8</v>
      </c>
      <c r="AQ169" s="89" t="str">
        <f t="shared" si="12"/>
        <v/>
      </c>
      <c r="AR169" s="89">
        <f>IFERROR(VLOOKUP(A169,Climatologia!A:U,9+$E$2,FALSE),"")</f>
        <v>19.095617658203871</v>
      </c>
      <c r="AS169" s="89" t="str">
        <f t="shared" si="13"/>
        <v/>
      </c>
      <c r="AT169" s="90">
        <f t="shared" si="14"/>
        <v>17.8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28739</v>
      </c>
      <c r="AW169" s="92">
        <f t="shared" si="15"/>
        <v>2.8000000000000007</v>
      </c>
    </row>
    <row r="170" spans="1:49" ht="14.25" customHeight="1" x14ac:dyDescent="0.2">
      <c r="A170" s="48">
        <v>26145020</v>
      </c>
      <c r="B170" s="52" t="s">
        <v>350</v>
      </c>
      <c r="C170" s="52" t="s">
        <v>336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116</v>
      </c>
      <c r="J170" s="55" t="s">
        <v>351</v>
      </c>
      <c r="K170" s="51">
        <v>15.2</v>
      </c>
      <c r="L170" s="51">
        <v>15.6</v>
      </c>
      <c r="M170" s="51">
        <v>14</v>
      </c>
      <c r="N170" s="51">
        <v>14.8</v>
      </c>
      <c r="O170" s="51">
        <v>13.6</v>
      </c>
      <c r="P170" s="51">
        <v>14.2</v>
      </c>
      <c r="Q170" s="51">
        <v>13.2</v>
      </c>
      <c r="R170" s="51">
        <v>14</v>
      </c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8</v>
      </c>
      <c r="AQ170" s="89" t="str">
        <f t="shared" si="12"/>
        <v/>
      </c>
      <c r="AR170" s="89">
        <f>IFERROR(VLOOKUP(A170,Climatologia!A:U,9+$E$2,FALSE),"")</f>
        <v>13.604003489326759</v>
      </c>
      <c r="AS170" s="89" t="str">
        <f t="shared" si="13"/>
        <v/>
      </c>
      <c r="AT170" s="90">
        <f t="shared" si="14"/>
        <v>13.2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6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31314</v>
      </c>
      <c r="AW170" s="92">
        <f t="shared" si="15"/>
        <v>7.1999999999999993</v>
      </c>
    </row>
    <row r="171" spans="1:49" ht="14.25" customHeight="1" x14ac:dyDescent="0.2">
      <c r="A171" s="48">
        <v>26155170</v>
      </c>
      <c r="B171" s="52" t="s">
        <v>352</v>
      </c>
      <c r="C171" s="52" t="s">
        <v>336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116</v>
      </c>
      <c r="J171" s="55" t="s">
        <v>353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11.71973333333333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9.6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36055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354</v>
      </c>
      <c r="C172" s="52" t="s">
        <v>355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70</v>
      </c>
      <c r="J172" s="55" t="s">
        <v>356</v>
      </c>
      <c r="K172" s="51">
        <v>25</v>
      </c>
      <c r="L172" s="51">
        <v>20</v>
      </c>
      <c r="M172" s="51">
        <v>20.2</v>
      </c>
      <c r="N172" s="51">
        <v>20.399999999999999</v>
      </c>
      <c r="O172" s="51">
        <v>20.6</v>
      </c>
      <c r="P172" s="51">
        <v>21.2</v>
      </c>
      <c r="Q172" s="51">
        <v>21.8</v>
      </c>
      <c r="R172" s="51">
        <v>23.6</v>
      </c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8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20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29120</v>
      </c>
      <c r="AW172" s="92">
        <f t="shared" si="15"/>
        <v>2</v>
      </c>
    </row>
    <row r="173" spans="1:49" ht="14.25" customHeight="1" x14ac:dyDescent="0.2">
      <c r="A173" s="48">
        <v>21165010</v>
      </c>
      <c r="B173" s="52" t="s">
        <v>357</v>
      </c>
      <c r="C173" s="52" t="s">
        <v>355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70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22.290641792860178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35324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359</v>
      </c>
      <c r="C174" s="52" t="s">
        <v>355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70</v>
      </c>
      <c r="J174" s="55" t="s">
        <v>359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22.991182948434439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18.399999999999999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37142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360</v>
      </c>
      <c r="C175" s="52" t="s">
        <v>355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70</v>
      </c>
      <c r="J175" s="55" t="s">
        <v>360</v>
      </c>
      <c r="K175" s="51">
        <v>24.4</v>
      </c>
      <c r="L175" s="51">
        <v>21.6</v>
      </c>
      <c r="M175" s="51">
        <v>21.4</v>
      </c>
      <c r="N175" s="51">
        <v>21.8</v>
      </c>
      <c r="O175" s="51">
        <v>22.2</v>
      </c>
      <c r="P175" s="51">
        <v>20.6</v>
      </c>
      <c r="Q175" s="51">
        <v>23.8</v>
      </c>
      <c r="R175" s="51">
        <v>20.399999999999999</v>
      </c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8</v>
      </c>
      <c r="AQ175" s="89" t="str">
        <f t="shared" si="12"/>
        <v/>
      </c>
      <c r="AR175" s="89">
        <f>IFERROR(VLOOKUP(A175,Climatologia!A:U,9+$E$2,FALSE),"")</f>
        <v>20.74341280266896</v>
      </c>
      <c r="AS175" s="89" t="str">
        <f t="shared" si="13"/>
        <v/>
      </c>
      <c r="AT175" s="90">
        <f t="shared" si="14"/>
        <v>20.399999999999999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175" s="92">
        <f t="shared" si="15"/>
        <v>4.3999999999999986</v>
      </c>
    </row>
    <row r="176" spans="1:49" ht="14.25" customHeight="1" x14ac:dyDescent="0.2">
      <c r="A176" s="48">
        <v>21215080</v>
      </c>
      <c r="B176" s="52" t="s">
        <v>361</v>
      </c>
      <c r="C176" s="52" t="s">
        <v>355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70</v>
      </c>
      <c r="J176" s="55" t="s">
        <v>362</v>
      </c>
      <c r="K176" s="51">
        <v>24.4</v>
      </c>
      <c r="L176" s="51">
        <v>24.2</v>
      </c>
      <c r="M176" s="51">
        <v>23.4</v>
      </c>
      <c r="N176" s="51">
        <v>24.6</v>
      </c>
      <c r="O176" s="51">
        <v>25</v>
      </c>
      <c r="P176" s="51"/>
      <c r="Q176" s="51">
        <v>22.6</v>
      </c>
      <c r="R176" s="51">
        <v>25</v>
      </c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7</v>
      </c>
      <c r="AQ176" s="89" t="str">
        <f t="shared" si="12"/>
        <v/>
      </c>
      <c r="AR176" s="89">
        <f>IFERROR(VLOOKUP(A176,Climatologia!A:U,9+$E$2,FALSE),"")</f>
        <v>21.67335632183908</v>
      </c>
      <c r="AS176" s="89" t="str">
        <f t="shared" si="13"/>
        <v/>
      </c>
      <c r="AT176" s="90">
        <f t="shared" si="14"/>
        <v>22.6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176" s="92">
        <f t="shared" si="15"/>
        <v>6.6000000000000014</v>
      </c>
    </row>
    <row r="177" spans="1:49" ht="14.25" customHeight="1" x14ac:dyDescent="0.2">
      <c r="A177" s="48">
        <v>21235010</v>
      </c>
      <c r="B177" s="52" t="s">
        <v>363</v>
      </c>
      <c r="C177" s="52" t="s">
        <v>355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73</v>
      </c>
      <c r="J177" s="55" t="s">
        <v>364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17.399999999999999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39717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365</v>
      </c>
      <c r="C178" s="52" t="s">
        <v>355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70</v>
      </c>
      <c r="J178" s="55" t="s">
        <v>71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33145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366</v>
      </c>
      <c r="C179" s="52" t="s">
        <v>355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70</v>
      </c>
      <c r="J179" s="55" t="s">
        <v>366</v>
      </c>
      <c r="K179" s="51">
        <v>13.6</v>
      </c>
      <c r="L179" s="51">
        <v>12.4</v>
      </c>
      <c r="M179" s="51">
        <v>13.2</v>
      </c>
      <c r="N179" s="51">
        <v>12.6</v>
      </c>
      <c r="O179" s="51">
        <v>13.2</v>
      </c>
      <c r="P179" s="51">
        <v>13.8</v>
      </c>
      <c r="Q179" s="51">
        <v>13.8</v>
      </c>
      <c r="R179" s="51">
        <v>14</v>
      </c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8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12.4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10.6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30561</v>
      </c>
      <c r="AW179" s="92">
        <f t="shared" si="15"/>
        <v>1.8000000000000007</v>
      </c>
    </row>
    <row r="180" spans="1:49" ht="14.25" customHeight="1" x14ac:dyDescent="0.2">
      <c r="A180" s="48">
        <v>21255080</v>
      </c>
      <c r="B180" s="52" t="s">
        <v>367</v>
      </c>
      <c r="C180" s="52" t="s">
        <v>355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70</v>
      </c>
      <c r="J180" s="55" t="s">
        <v>368</v>
      </c>
      <c r="K180" s="51">
        <v>26.4</v>
      </c>
      <c r="L180" s="51">
        <v>22.8</v>
      </c>
      <c r="M180" s="51"/>
      <c r="N180" s="51">
        <v>22.6</v>
      </c>
      <c r="O180" s="51">
        <v>25.6</v>
      </c>
      <c r="P180" s="51">
        <v>25</v>
      </c>
      <c r="Q180" s="51"/>
      <c r="R180" s="51">
        <v>25.8</v>
      </c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6</v>
      </c>
      <c r="AQ180" s="89" t="str">
        <f t="shared" si="12"/>
        <v/>
      </c>
      <c r="AR180" s="89">
        <f>IFERROR(VLOOKUP(A180,Climatologia!A:U,9+$E$2,FALSE),"")</f>
        <v>22.952130860571948</v>
      </c>
      <c r="AS180" s="89" t="str">
        <f t="shared" si="13"/>
        <v/>
      </c>
      <c r="AT180" s="90">
        <f t="shared" si="14"/>
        <v>22.6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30581</v>
      </c>
      <c r="AW180" s="92">
        <f t="shared" si="15"/>
        <v>3.6000000000000014</v>
      </c>
    </row>
    <row r="181" spans="1:49" ht="14.25" customHeight="1" x14ac:dyDescent="0.2">
      <c r="A181" s="48">
        <v>21255090</v>
      </c>
      <c r="B181" s="52" t="s">
        <v>369</v>
      </c>
      <c r="C181" s="52" t="s">
        <v>355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70</v>
      </c>
      <c r="J181" s="55" t="s">
        <v>370</v>
      </c>
      <c r="K181" s="51">
        <v>23.6</v>
      </c>
      <c r="L181" s="51">
        <v>21.8</v>
      </c>
      <c r="M181" s="51">
        <v>23.2</v>
      </c>
      <c r="N181" s="51">
        <v>23.8</v>
      </c>
      <c r="O181" s="51">
        <v>23.6</v>
      </c>
      <c r="P181" s="51">
        <v>22.2</v>
      </c>
      <c r="Q181" s="51">
        <v>23.4</v>
      </c>
      <c r="R181" s="51">
        <v>23.6</v>
      </c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8</v>
      </c>
      <c r="AQ181" s="89" t="str">
        <f t="shared" si="12"/>
        <v/>
      </c>
      <c r="AR181" s="89">
        <f>IFERROR(VLOOKUP(A181,Climatologia!A:U,9+$E$2,FALSE),"")</f>
        <v>21.663136479048831</v>
      </c>
      <c r="AS181" s="89" t="str">
        <f t="shared" si="13"/>
        <v/>
      </c>
      <c r="AT181" s="90">
        <f t="shared" si="14"/>
        <v>21.8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16.2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33850</v>
      </c>
      <c r="AW181" s="92">
        <f t="shared" si="15"/>
        <v>5.6000000000000014</v>
      </c>
    </row>
    <row r="182" spans="1:49" ht="14.25" customHeight="1" x14ac:dyDescent="0.2">
      <c r="A182" s="48">
        <v>21255120</v>
      </c>
      <c r="B182" s="52" t="s">
        <v>371</v>
      </c>
      <c r="C182" s="52" t="s">
        <v>355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70</v>
      </c>
      <c r="J182" s="55" t="s">
        <v>371</v>
      </c>
      <c r="K182" s="51">
        <v>12.6</v>
      </c>
      <c r="L182" s="51">
        <v>13.2</v>
      </c>
      <c r="M182" s="51">
        <v>13</v>
      </c>
      <c r="N182" s="51">
        <v>13.4</v>
      </c>
      <c r="O182" s="51">
        <v>13.2</v>
      </c>
      <c r="P182" s="51">
        <v>13</v>
      </c>
      <c r="Q182" s="51">
        <v>14.6</v>
      </c>
      <c r="R182" s="51">
        <v>13.8</v>
      </c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8</v>
      </c>
      <c r="AQ182" s="89" t="str">
        <f t="shared" si="12"/>
        <v/>
      </c>
      <c r="AR182" s="89">
        <f>IFERROR(VLOOKUP(A182,Climatologia!A:U,9+$E$2,FALSE),"")</f>
        <v>14.28702791461412</v>
      </c>
      <c r="AS182" s="89" t="str">
        <f t="shared" si="13"/>
        <v/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29841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372</v>
      </c>
      <c r="C183" s="52" t="s">
        <v>355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70</v>
      </c>
      <c r="J183" s="55" t="s">
        <v>373</v>
      </c>
      <c r="K183" s="51">
        <v>18.8</v>
      </c>
      <c r="L183" s="51">
        <v>19.600000000000001</v>
      </c>
      <c r="M183" s="51">
        <v>17.2</v>
      </c>
      <c r="N183" s="51">
        <v>19.2</v>
      </c>
      <c r="O183" s="51">
        <v>19.600000000000001</v>
      </c>
      <c r="P183" s="51">
        <v>19</v>
      </c>
      <c r="Q183" s="51">
        <v>18.600000000000001</v>
      </c>
      <c r="R183" s="51">
        <v>18.2</v>
      </c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8</v>
      </c>
      <c r="AQ183" s="89" t="str">
        <f t="shared" si="12"/>
        <v/>
      </c>
      <c r="AR183" s="89">
        <f>IFERROR(VLOOKUP(A183,Climatologia!A:U,9+$E$2,FALSE),"")</f>
        <v>19.90422009459251</v>
      </c>
      <c r="AS183" s="89" t="str">
        <f t="shared" si="13"/>
        <v/>
      </c>
      <c r="AT183" s="90">
        <f t="shared" si="14"/>
        <v>17.2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183" s="92">
        <f t="shared" si="15"/>
        <v>0.39999999999999858</v>
      </c>
    </row>
    <row r="184" spans="1:49" ht="14.25" customHeight="1" x14ac:dyDescent="0.2">
      <c r="A184" s="48">
        <v>22055020</v>
      </c>
      <c r="B184" s="52" t="s">
        <v>374</v>
      </c>
      <c r="C184" s="52" t="s">
        <v>355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70</v>
      </c>
      <c r="J184" s="55" t="s">
        <v>375</v>
      </c>
      <c r="K184" s="51">
        <v>21.4</v>
      </c>
      <c r="L184" s="51">
        <v>22.6</v>
      </c>
      <c r="M184" s="51">
        <v>22.4</v>
      </c>
      <c r="N184" s="51">
        <v>22.8</v>
      </c>
      <c r="O184" s="51">
        <v>23.8</v>
      </c>
      <c r="P184" s="51">
        <v>23.4</v>
      </c>
      <c r="Q184" s="51">
        <v>23.8</v>
      </c>
      <c r="R184" s="51">
        <v>21.2</v>
      </c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8</v>
      </c>
      <c r="AQ184" s="89" t="str">
        <f t="shared" si="12"/>
        <v/>
      </c>
      <c r="AR184" s="89">
        <f>IFERROR(VLOOKUP(A184,Climatologia!A:U,9+$E$2,FALSE),"")</f>
        <v>20.13286316365626</v>
      </c>
      <c r="AS184" s="89" t="str">
        <f t="shared" si="13"/>
        <v/>
      </c>
      <c r="AT184" s="90">
        <f t="shared" si="14"/>
        <v>21.2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41538</v>
      </c>
      <c r="AW184" s="92">
        <f t="shared" si="15"/>
        <v>5.1999999999999993</v>
      </c>
    </row>
    <row r="185" spans="1:49" ht="14.25" customHeight="1" x14ac:dyDescent="0.2">
      <c r="A185" s="48">
        <v>22065040</v>
      </c>
      <c r="B185" s="52" t="s">
        <v>376</v>
      </c>
      <c r="C185" s="52" t="s">
        <v>355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70</v>
      </c>
      <c r="J185" s="55" t="s">
        <v>377</v>
      </c>
      <c r="K185" s="51">
        <v>17.2</v>
      </c>
      <c r="L185" s="51">
        <v>17</v>
      </c>
      <c r="M185" s="51">
        <v>16</v>
      </c>
      <c r="N185" s="51">
        <v>15.8</v>
      </c>
      <c r="O185" s="51">
        <v>17.600000000000001</v>
      </c>
      <c r="P185" s="51">
        <v>16.399999999999999</v>
      </c>
      <c r="Q185" s="51">
        <v>15.8</v>
      </c>
      <c r="R185" s="51">
        <v>15.2</v>
      </c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8</v>
      </c>
      <c r="AQ185" s="89" t="str">
        <f t="shared" si="12"/>
        <v/>
      </c>
      <c r="AR185" s="89">
        <f>IFERROR(VLOOKUP(A185,Climatologia!A:U,9+$E$2,FALSE),"")</f>
        <v>16.92344442575952</v>
      </c>
      <c r="AS185" s="89" t="str">
        <f t="shared" si="13"/>
        <v/>
      </c>
      <c r="AT185" s="90">
        <f t="shared" si="14"/>
        <v>15.2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31315</v>
      </c>
      <c r="AW185" s="92">
        <f t="shared" si="15"/>
        <v>3.1999999999999993</v>
      </c>
    </row>
    <row r="186" spans="1:49" ht="14.25" customHeight="1" x14ac:dyDescent="0.2">
      <c r="A186" s="48">
        <v>23025040</v>
      </c>
      <c r="B186" s="52" t="s">
        <v>311</v>
      </c>
      <c r="C186" s="52" t="s">
        <v>355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70</v>
      </c>
      <c r="J186" s="55" t="s">
        <v>378</v>
      </c>
      <c r="K186" s="51">
        <v>21.8</v>
      </c>
      <c r="L186" s="51">
        <v>20.6</v>
      </c>
      <c r="M186" s="51">
        <v>20.399999999999999</v>
      </c>
      <c r="N186" s="51">
        <v>21.6</v>
      </c>
      <c r="O186" s="51"/>
      <c r="P186" s="51">
        <v>23</v>
      </c>
      <c r="Q186" s="51">
        <v>21.6</v>
      </c>
      <c r="R186" s="51">
        <v>22</v>
      </c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7</v>
      </c>
      <c r="AQ186" s="89" t="str">
        <f t="shared" si="12"/>
        <v/>
      </c>
      <c r="AR186" s="89">
        <f>IFERROR(VLOOKUP(A186,Climatologia!A:U,9+$E$2,FALSE),"")</f>
        <v>20.23041991214405</v>
      </c>
      <c r="AS186" s="89" t="str">
        <f t="shared" si="13"/>
        <v/>
      </c>
      <c r="AT186" s="90">
        <f t="shared" si="14"/>
        <v>20.399999999999999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17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33500</v>
      </c>
      <c r="AW186" s="92">
        <f t="shared" si="15"/>
        <v>3.3999999999999986</v>
      </c>
    </row>
    <row r="187" spans="1:49" ht="14.25" customHeight="1" x14ac:dyDescent="0.2">
      <c r="A187" s="48">
        <v>23055040</v>
      </c>
      <c r="B187" s="52" t="s">
        <v>379</v>
      </c>
      <c r="C187" s="52" t="s">
        <v>355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116</v>
      </c>
      <c r="J187" s="55" t="s">
        <v>380</v>
      </c>
      <c r="K187" s="51">
        <v>17.399999999999999</v>
      </c>
      <c r="L187" s="51">
        <v>16.2</v>
      </c>
      <c r="M187" s="51">
        <v>16.2</v>
      </c>
      <c r="N187" s="51">
        <v>18</v>
      </c>
      <c r="O187" s="51">
        <v>18.2</v>
      </c>
      <c r="P187" s="51">
        <v>19.2</v>
      </c>
      <c r="Q187" s="51">
        <v>17.399999999999999</v>
      </c>
      <c r="R187" s="51">
        <v>18.399999999999999</v>
      </c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8</v>
      </c>
      <c r="AQ187" s="89" t="str">
        <f t="shared" si="12"/>
        <v/>
      </c>
      <c r="AR187" s="89">
        <f>IFERROR(VLOOKUP(A187,Climatologia!A:U,9+$E$2,FALSE),"")</f>
        <v>16.7940049395581</v>
      </c>
      <c r="AS187" s="89" t="str">
        <f t="shared" si="13"/>
        <v/>
      </c>
      <c r="AT187" s="90">
        <f t="shared" si="14"/>
        <v>16.2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187" s="92">
        <f t="shared" si="15"/>
        <v>2.1999999999999993</v>
      </c>
    </row>
    <row r="188" spans="1:49" ht="14.25" customHeight="1" x14ac:dyDescent="0.2">
      <c r="A188" s="48">
        <v>21195060</v>
      </c>
      <c r="B188" s="52" t="s">
        <v>381</v>
      </c>
      <c r="C188" s="52" t="s">
        <v>382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73</v>
      </c>
      <c r="J188" s="55" t="s">
        <v>381</v>
      </c>
      <c r="K188" s="51">
        <v>23.2</v>
      </c>
      <c r="L188" s="51">
        <v>20.8</v>
      </c>
      <c r="M188" s="51">
        <v>20.399999999999999</v>
      </c>
      <c r="N188" s="51">
        <v>20.8</v>
      </c>
      <c r="O188" s="51">
        <v>23.2</v>
      </c>
      <c r="P188" s="51">
        <v>22.6</v>
      </c>
      <c r="Q188" s="51">
        <v>22.8</v>
      </c>
      <c r="R188" s="51">
        <v>23.2</v>
      </c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8</v>
      </c>
      <c r="AQ188" s="89" t="str">
        <f t="shared" si="12"/>
        <v/>
      </c>
      <c r="AR188" s="89">
        <f>IFERROR(VLOOKUP(A188,Climatologia!A:U,9+$E$2,FALSE),"")</f>
        <v>20.381504495550061</v>
      </c>
      <c r="AS188" s="89" t="str">
        <f t="shared" si="13"/>
        <v/>
      </c>
      <c r="AT188" s="90">
        <f t="shared" si="14"/>
        <v>20.399999999999999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14.8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45543</v>
      </c>
      <c r="AW188" s="92">
        <f t="shared" si="15"/>
        <v>5.5999999999999979</v>
      </c>
    </row>
    <row r="189" spans="1:49" ht="14.25" customHeight="1" x14ac:dyDescent="0.2">
      <c r="A189" s="48">
        <v>21195120</v>
      </c>
      <c r="B189" s="52" t="s">
        <v>383</v>
      </c>
      <c r="C189" s="52" t="s">
        <v>382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73</v>
      </c>
      <c r="J189" s="55" t="s">
        <v>384</v>
      </c>
      <c r="K189" s="51">
        <v>19.399999999999999</v>
      </c>
      <c r="L189" s="51">
        <v>17.8</v>
      </c>
      <c r="M189" s="51">
        <v>18.399999999999999</v>
      </c>
      <c r="N189" s="51">
        <v>17.8</v>
      </c>
      <c r="O189" s="51">
        <v>18.8</v>
      </c>
      <c r="P189" s="51">
        <v>18.399999999999999</v>
      </c>
      <c r="Q189" s="51">
        <v>18.8</v>
      </c>
      <c r="R189" s="51">
        <v>19.399999999999999</v>
      </c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8</v>
      </c>
      <c r="AQ189" s="89" t="str">
        <f t="shared" si="12"/>
        <v/>
      </c>
      <c r="AR189" s="89">
        <f>IFERROR(VLOOKUP(A189,Climatologia!A:U,9+$E$2,FALSE),"")</f>
        <v>15.6368235879347</v>
      </c>
      <c r="AS189" s="89" t="str">
        <f t="shared" si="13"/>
        <v/>
      </c>
      <c r="AT189" s="90">
        <f t="shared" si="14"/>
        <v>17.8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11.2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89" s="92">
        <f t="shared" si="15"/>
        <v>6.6000000000000014</v>
      </c>
    </row>
    <row r="190" spans="1:49" ht="14.25" customHeight="1" x14ac:dyDescent="0.2">
      <c r="A190" s="48">
        <v>21195190</v>
      </c>
      <c r="B190" s="52" t="s">
        <v>385</v>
      </c>
      <c r="C190" s="52" t="s">
        <v>382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73</v>
      </c>
      <c r="J190" s="55" t="s">
        <v>385</v>
      </c>
      <c r="K190" s="51">
        <v>13.6</v>
      </c>
      <c r="L190" s="51">
        <v>13.8</v>
      </c>
      <c r="M190" s="51">
        <v>14.8</v>
      </c>
      <c r="N190" s="51">
        <v>13.4</v>
      </c>
      <c r="O190" s="51">
        <v>13.6</v>
      </c>
      <c r="P190" s="51">
        <v>14</v>
      </c>
      <c r="Q190" s="51">
        <v>13.2</v>
      </c>
      <c r="R190" s="51">
        <v>12.8</v>
      </c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8</v>
      </c>
      <c r="AQ190" s="89" t="str">
        <f t="shared" si="12"/>
        <v/>
      </c>
      <c r="AR190" s="89">
        <f>IFERROR(VLOOKUP(A190,Climatologia!A:U,9+$E$2,FALSE),"")</f>
        <v>11.04110301039956</v>
      </c>
      <c r="AS190" s="89" t="str">
        <f t="shared" si="13"/>
        <v/>
      </c>
      <c r="AT190" s="90">
        <f t="shared" si="14"/>
        <v>12.8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386</v>
      </c>
      <c r="C191" s="52" t="s">
        <v>382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73</v>
      </c>
      <c r="J191" s="55" t="s">
        <v>387</v>
      </c>
      <c r="K191" s="51">
        <v>8.4</v>
      </c>
      <c r="L191" s="51">
        <v>8.6</v>
      </c>
      <c r="M191" s="51">
        <v>7.4</v>
      </c>
      <c r="N191" s="51">
        <v>8.8000000000000007</v>
      </c>
      <c r="O191" s="51">
        <v>7</v>
      </c>
      <c r="P191" s="51">
        <v>6.4</v>
      </c>
      <c r="Q191" s="51">
        <v>6.2</v>
      </c>
      <c r="R191" s="51">
        <v>4.5999999999999996</v>
      </c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8</v>
      </c>
      <c r="AQ191" s="89" t="str">
        <f t="shared" si="12"/>
        <v/>
      </c>
      <c r="AR191" s="89">
        <f>IFERROR(VLOOKUP(A191,Climatologia!A:U,9+$E$2,FALSE),"")</f>
        <v>6.3320712773816243</v>
      </c>
      <c r="AS191" s="89" t="str">
        <f t="shared" si="13"/>
        <v/>
      </c>
      <c r="AT191" s="90">
        <f t="shared" si="14"/>
        <v>4.5999999999999996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-1.8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35331</v>
      </c>
      <c r="AW191" s="92">
        <f t="shared" si="15"/>
        <v>6.3999999999999995</v>
      </c>
    </row>
    <row r="192" spans="1:49" ht="14.25" customHeight="1" x14ac:dyDescent="0.2">
      <c r="A192" s="48">
        <v>21205660</v>
      </c>
      <c r="B192" s="52" t="s">
        <v>388</v>
      </c>
      <c r="C192" s="52" t="s">
        <v>382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73</v>
      </c>
      <c r="J192" s="55" t="s">
        <v>389</v>
      </c>
      <c r="K192" s="51">
        <v>24.2</v>
      </c>
      <c r="L192" s="51">
        <v>21.4</v>
      </c>
      <c r="M192" s="51">
        <v>21</v>
      </c>
      <c r="N192" s="51">
        <v>23.4</v>
      </c>
      <c r="O192" s="51">
        <v>23.6</v>
      </c>
      <c r="P192" s="51">
        <v>22.6</v>
      </c>
      <c r="Q192" s="51">
        <v>23</v>
      </c>
      <c r="R192" s="51">
        <v>23.2</v>
      </c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8</v>
      </c>
      <c r="AQ192" s="89" t="str">
        <f t="shared" si="12"/>
        <v/>
      </c>
      <c r="AR192" s="89">
        <f>IFERROR(VLOOKUP(A192,Climatologia!A:U,9+$E$2,FALSE),"")</f>
        <v>20.01407453289416</v>
      </c>
      <c r="AS192" s="89" t="str">
        <f t="shared" si="13"/>
        <v/>
      </c>
      <c r="AT192" s="90">
        <f t="shared" si="14"/>
        <v>21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390</v>
      </c>
      <c r="C193" s="52" t="s">
        <v>382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73</v>
      </c>
      <c r="J193" s="55" t="s">
        <v>390</v>
      </c>
      <c r="K193" s="51">
        <v>10.199999999999999</v>
      </c>
      <c r="L193" s="51">
        <v>10.4</v>
      </c>
      <c r="M193" s="51">
        <v>10.199999999999999</v>
      </c>
      <c r="N193" s="51">
        <v>9.4</v>
      </c>
      <c r="O193" s="51">
        <v>9.6</v>
      </c>
      <c r="P193" s="51">
        <v>9.1999999999999993</v>
      </c>
      <c r="Q193" s="51">
        <v>10.4</v>
      </c>
      <c r="R193" s="51">
        <v>7.8</v>
      </c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8</v>
      </c>
      <c r="AQ193" s="89" t="str">
        <f t="shared" si="12"/>
        <v/>
      </c>
      <c r="AR193" s="89">
        <f>IFERROR(VLOOKUP(A193,Climatologia!A:U,9+$E$2,FALSE),"")</f>
        <v>7.2971740738735793</v>
      </c>
      <c r="AS193" s="89" t="str">
        <f t="shared" si="13"/>
        <v/>
      </c>
      <c r="AT193" s="90">
        <f t="shared" si="14"/>
        <v>7.8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193" s="92">
        <f t="shared" si="15"/>
        <v>5.8</v>
      </c>
    </row>
    <row r="194" spans="1:49" ht="14.25" customHeight="1" x14ac:dyDescent="0.2">
      <c r="A194" s="48">
        <v>21205720</v>
      </c>
      <c r="B194" s="52" t="s">
        <v>391</v>
      </c>
      <c r="C194" s="52" t="s">
        <v>382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73</v>
      </c>
      <c r="J194" s="55" t="s">
        <v>392</v>
      </c>
      <c r="K194" s="51">
        <v>8</v>
      </c>
      <c r="L194" s="51">
        <v>8.1999999999999993</v>
      </c>
      <c r="M194" s="51">
        <v>10.6</v>
      </c>
      <c r="N194" s="51">
        <v>8.1999999999999993</v>
      </c>
      <c r="O194" s="51">
        <v>10.6</v>
      </c>
      <c r="P194" s="51">
        <v>8.4</v>
      </c>
      <c r="Q194" s="51">
        <v>9.4</v>
      </c>
      <c r="R194" s="51">
        <v>6.2</v>
      </c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8</v>
      </c>
      <c r="AQ194" s="89" t="str">
        <f t="shared" si="12"/>
        <v/>
      </c>
      <c r="AR194" s="89">
        <f>IFERROR(VLOOKUP(A194,Climatologia!A:U,9+$E$2,FALSE),"")</f>
        <v>7.3102534256681198</v>
      </c>
      <c r="AS194" s="89" t="str">
        <f t="shared" si="13"/>
        <v/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42260</v>
      </c>
      <c r="AW194" s="92">
        <f t="shared" si="15"/>
        <v>4.2</v>
      </c>
    </row>
    <row r="195" spans="1:49" ht="14.25" customHeight="1" x14ac:dyDescent="0.2">
      <c r="A195" s="48">
        <v>21205740</v>
      </c>
      <c r="B195" s="52" t="s">
        <v>393</v>
      </c>
      <c r="C195" s="52" t="s">
        <v>382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73</v>
      </c>
      <c r="J195" s="55" t="s">
        <v>394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7.6942555167267797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0.4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395</v>
      </c>
      <c r="C196" s="52" t="s">
        <v>382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73</v>
      </c>
      <c r="J196" s="55" t="s">
        <v>396</v>
      </c>
      <c r="K196" s="51">
        <v>5.8</v>
      </c>
      <c r="L196" s="51">
        <v>8.6</v>
      </c>
      <c r="M196" s="51">
        <v>7.2</v>
      </c>
      <c r="N196" s="51">
        <v>8.1999999999999993</v>
      </c>
      <c r="O196" s="51">
        <v>5.8</v>
      </c>
      <c r="P196" s="51">
        <v>5.4</v>
      </c>
      <c r="Q196" s="51">
        <v>6</v>
      </c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7</v>
      </c>
      <c r="AQ196" s="89" t="str">
        <f t="shared" si="12"/>
        <v/>
      </c>
      <c r="AR196" s="89">
        <f>IFERROR(VLOOKUP(A196,Climatologia!A:U,9+$E$2,FALSE),"")</f>
        <v>6.5871179225202194</v>
      </c>
      <c r="AS196" s="89" t="str">
        <f t="shared" si="13"/>
        <v/>
      </c>
      <c r="AT196" s="90">
        <f t="shared" si="14"/>
        <v>5.4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-1.6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6" s="92">
        <f t="shared" si="15"/>
        <v>7</v>
      </c>
    </row>
    <row r="197" spans="1:49" ht="14.25" customHeight="1" x14ac:dyDescent="0.2">
      <c r="A197" s="48">
        <v>21205940</v>
      </c>
      <c r="B197" s="52" t="s">
        <v>397</v>
      </c>
      <c r="C197" s="52" t="s">
        <v>382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73</v>
      </c>
      <c r="J197" s="55" t="s">
        <v>398</v>
      </c>
      <c r="K197" s="51">
        <v>8.8000000000000007</v>
      </c>
      <c r="L197" s="51">
        <v>10</v>
      </c>
      <c r="M197" s="51">
        <v>8</v>
      </c>
      <c r="N197" s="51">
        <v>9.4</v>
      </c>
      <c r="O197" s="51">
        <v>9</v>
      </c>
      <c r="P197" s="51">
        <v>8</v>
      </c>
      <c r="Q197" s="51">
        <v>6.8</v>
      </c>
      <c r="R197" s="51">
        <v>8.8000000000000007</v>
      </c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08" si="16">COUNTIF(K197:AO197,"&gt;0")</f>
        <v>8</v>
      </c>
      <c r="AQ197" s="89" t="str">
        <f t="shared" ref="AQ197:AQ208" si="17">IF(AP197&gt;14,AVERAGE(K197:AO197),"")</f>
        <v/>
      </c>
      <c r="AR197" s="89">
        <f>IFERROR(VLOOKUP(A197,Climatologia!A:U,9+$E$2,FALSE),"")</f>
        <v>6.1188038398383222</v>
      </c>
      <c r="AS197" s="89" t="str">
        <f t="shared" ref="AS197:AS208" si="18">IF(OR(AQ197="",AR197=""),"",IFERROR(AQ197-AR197,""))</f>
        <v/>
      </c>
      <c r="AT197" s="90">
        <f t="shared" ref="AT197:AT208" si="19">IF(COUNT(K197:AO197)=0,"",MIN(K197:AO197))</f>
        <v>6.8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-1.6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7" s="92">
        <f t="shared" ref="AW197:AW208" si="20">IF(OR(AT197="",AU197=""),"NA",IFERROR(AT197-AU197,"NA"))</f>
        <v>8.4</v>
      </c>
    </row>
    <row r="198" spans="1:49" ht="14.25" customHeight="1" x14ac:dyDescent="0.2">
      <c r="A198" s="48">
        <v>21205960</v>
      </c>
      <c r="B198" s="52" t="s">
        <v>399</v>
      </c>
      <c r="C198" s="52" t="s">
        <v>382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73</v>
      </c>
      <c r="J198" s="55" t="s">
        <v>400</v>
      </c>
      <c r="K198" s="51">
        <v>8.6</v>
      </c>
      <c r="L198" s="51">
        <v>9</v>
      </c>
      <c r="M198" s="51">
        <v>9.1999999999999993</v>
      </c>
      <c r="N198" s="51">
        <v>7.2</v>
      </c>
      <c r="O198" s="51">
        <v>10.4</v>
      </c>
      <c r="P198" s="51">
        <v>8.6</v>
      </c>
      <c r="Q198" s="51">
        <v>7.2</v>
      </c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7</v>
      </c>
      <c r="AQ198" s="89" t="str">
        <f t="shared" si="17"/>
        <v/>
      </c>
      <c r="AR198" s="89">
        <f>IFERROR(VLOOKUP(A198,Climatologia!A:U,9+$E$2,FALSE),"")</f>
        <v>6.6913987808700464</v>
      </c>
      <c r="AS198" s="89" t="str">
        <f t="shared" si="18"/>
        <v/>
      </c>
      <c r="AT198" s="90">
        <f t="shared" si="19"/>
        <v>7.2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0.2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8" s="92">
        <f t="shared" si="20"/>
        <v>7</v>
      </c>
    </row>
    <row r="199" spans="1:49" ht="14.25" customHeight="1" x14ac:dyDescent="0.2">
      <c r="A199" s="48">
        <v>21205980</v>
      </c>
      <c r="B199" s="52" t="s">
        <v>401</v>
      </c>
      <c r="C199" s="52" t="s">
        <v>382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31</v>
      </c>
      <c r="J199" s="55" t="s">
        <v>402</v>
      </c>
      <c r="K199" s="51">
        <v>11</v>
      </c>
      <c r="L199" s="51">
        <v>9.1999999999999993</v>
      </c>
      <c r="M199" s="51">
        <v>10.199999999999999</v>
      </c>
      <c r="N199" s="51">
        <v>10</v>
      </c>
      <c r="O199" s="51">
        <v>10.6</v>
      </c>
      <c r="P199" s="51">
        <v>8.1999999999999993</v>
      </c>
      <c r="Q199" s="51">
        <v>8.6</v>
      </c>
      <c r="R199" s="51">
        <v>7</v>
      </c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8</v>
      </c>
      <c r="AQ199" s="89" t="str">
        <f t="shared" si="17"/>
        <v/>
      </c>
      <c r="AR199" s="89">
        <f>IFERROR(VLOOKUP(A199,Climatologia!A:U,9+$E$2,FALSE),"")</f>
        <v>6.8721572322812943</v>
      </c>
      <c r="AS199" s="89" t="str">
        <f t="shared" si="18"/>
        <v/>
      </c>
      <c r="AT199" s="90">
        <f t="shared" si="19"/>
        <v>7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-1.8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33867</v>
      </c>
      <c r="AW199" s="92">
        <f t="shared" si="20"/>
        <v>8.8000000000000007</v>
      </c>
    </row>
    <row r="200" spans="1:49" ht="14.25" customHeight="1" x14ac:dyDescent="0.2">
      <c r="A200" s="48">
        <v>21206020</v>
      </c>
      <c r="B200" s="52" t="s">
        <v>403</v>
      </c>
      <c r="C200" s="52" t="s">
        <v>382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73</v>
      </c>
      <c r="J200" s="55" t="s">
        <v>404</v>
      </c>
      <c r="K200" s="51">
        <v>10</v>
      </c>
      <c r="L200" s="51">
        <v>11</v>
      </c>
      <c r="M200" s="51">
        <v>10</v>
      </c>
      <c r="N200" s="51">
        <v>9.1999999999999993</v>
      </c>
      <c r="O200" s="51">
        <v>6.6</v>
      </c>
      <c r="P200" s="51">
        <v>7</v>
      </c>
      <c r="Q200" s="51">
        <v>9</v>
      </c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7</v>
      </c>
      <c r="AQ200" s="89" t="str">
        <f t="shared" si="17"/>
        <v/>
      </c>
      <c r="AR200" s="89">
        <f>IFERROR(VLOOKUP(A200,Climatologia!A:U,9+$E$2,FALSE),"")</f>
        <v>6.8567518092805448</v>
      </c>
      <c r="AS200" s="89" t="str">
        <f t="shared" si="18"/>
        <v/>
      </c>
      <c r="AT200" s="90">
        <f t="shared" si="19"/>
        <v>6.6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-3.4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0" s="92">
        <f t="shared" si="20"/>
        <v>10</v>
      </c>
    </row>
    <row r="201" spans="1:49" ht="14.25" customHeight="1" x14ac:dyDescent="0.2">
      <c r="A201" s="48">
        <v>21206060</v>
      </c>
      <c r="B201" s="52" t="s">
        <v>405</v>
      </c>
      <c r="C201" s="52" t="s">
        <v>382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73</v>
      </c>
      <c r="J201" s="55" t="s">
        <v>406</v>
      </c>
      <c r="K201" s="51">
        <v>10.8</v>
      </c>
      <c r="L201" s="51">
        <v>8.4</v>
      </c>
      <c r="M201" s="51">
        <v>8.1999999999999993</v>
      </c>
      <c r="N201" s="51">
        <v>10.199999999999999</v>
      </c>
      <c r="O201" s="51">
        <v>8.8000000000000007</v>
      </c>
      <c r="P201" s="51">
        <v>7.8</v>
      </c>
      <c r="Q201" s="51">
        <v>6.4</v>
      </c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7</v>
      </c>
      <c r="AQ201" s="89" t="str">
        <f t="shared" si="17"/>
        <v/>
      </c>
      <c r="AR201" s="89">
        <f>IFERROR(VLOOKUP(A201,Climatologia!A:U,9+$E$2,FALSE),"")</f>
        <v>6.3417884368241078</v>
      </c>
      <c r="AS201" s="89" t="str">
        <f t="shared" si="18"/>
        <v/>
      </c>
      <c r="AT201" s="90">
        <f t="shared" si="19"/>
        <v>6.4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-0.6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1" s="92">
        <f t="shared" si="20"/>
        <v>7</v>
      </c>
    </row>
    <row r="202" spans="1:49" ht="14.25" customHeight="1" x14ac:dyDescent="0.2">
      <c r="A202" s="48">
        <v>21206260</v>
      </c>
      <c r="B202" s="52" t="s">
        <v>407</v>
      </c>
      <c r="C202" s="52" t="s">
        <v>382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10.6</v>
      </c>
      <c r="L202" s="51">
        <v>10</v>
      </c>
      <c r="M202" s="51">
        <v>9.6</v>
      </c>
      <c r="N202" s="51">
        <v>9.1999999999999993</v>
      </c>
      <c r="O202" s="51">
        <v>9.6</v>
      </c>
      <c r="P202" s="51">
        <v>9.6</v>
      </c>
      <c r="Q202" s="51">
        <v>8.4</v>
      </c>
      <c r="R202" s="51">
        <v>7</v>
      </c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8</v>
      </c>
      <c r="AQ202" s="89" t="str">
        <f t="shared" si="17"/>
        <v/>
      </c>
      <c r="AR202" s="89">
        <f>IFERROR(VLOOKUP(A202,Climatologia!A:U,9+$E$2,FALSE),"")</f>
        <v>7.0236414292537948</v>
      </c>
      <c r="AS202" s="89" t="str">
        <f t="shared" si="18"/>
        <v/>
      </c>
      <c r="AT202" s="90">
        <f t="shared" si="19"/>
        <v>7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202" s="92">
        <f t="shared" si="20"/>
        <v>6.8</v>
      </c>
    </row>
    <row r="203" spans="1:49" ht="14.25" customHeight="1" x14ac:dyDescent="0.2">
      <c r="A203" s="48">
        <v>21206600</v>
      </c>
      <c r="B203" s="52" t="s">
        <v>410</v>
      </c>
      <c r="C203" s="52" t="s">
        <v>382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9.8000000000000007</v>
      </c>
      <c r="L203" s="51">
        <v>8.6</v>
      </c>
      <c r="M203" s="51">
        <v>8.6</v>
      </c>
      <c r="N203" s="51">
        <v>9.8000000000000007</v>
      </c>
      <c r="O203" s="51">
        <v>9</v>
      </c>
      <c r="P203" s="51">
        <v>6.8</v>
      </c>
      <c r="Q203" s="51">
        <v>8.4</v>
      </c>
      <c r="R203" s="51">
        <v>6.2</v>
      </c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8</v>
      </c>
      <c r="AQ203" s="89" t="str">
        <f t="shared" si="17"/>
        <v/>
      </c>
      <c r="AR203" s="89">
        <f>IFERROR(VLOOKUP(A203,Climatologia!A:U,9+$E$2,FALSE),"")</f>
        <v>8.052510832141536</v>
      </c>
      <c r="AS203" s="89" t="str">
        <f t="shared" si="18"/>
        <v/>
      </c>
      <c r="AT203" s="90">
        <f t="shared" si="19"/>
        <v>6.2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1.2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40800</v>
      </c>
      <c r="AW203" s="92">
        <f t="shared" si="20"/>
        <v>5</v>
      </c>
    </row>
    <row r="204" spans="1:49" ht="14.25" customHeight="1" x14ac:dyDescent="0.2">
      <c r="A204" s="48">
        <v>21206650</v>
      </c>
      <c r="B204" s="52" t="s">
        <v>411</v>
      </c>
      <c r="C204" s="52" t="s">
        <v>382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408</v>
      </c>
      <c r="J204" s="55" t="s">
        <v>409</v>
      </c>
      <c r="K204" s="51">
        <v>6</v>
      </c>
      <c r="L204" s="51">
        <v>5.4</v>
      </c>
      <c r="M204" s="51">
        <v>5.6</v>
      </c>
      <c r="N204" s="51">
        <v>5.2</v>
      </c>
      <c r="O204" s="51">
        <v>6.2</v>
      </c>
      <c r="P204" s="51">
        <v>5.6</v>
      </c>
      <c r="Q204" s="51">
        <v>5.2</v>
      </c>
      <c r="R204" s="51">
        <v>4.8</v>
      </c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8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4.8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3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44104</v>
      </c>
      <c r="AW204" s="92">
        <f t="shared" si="20"/>
        <v>1.7999999999999998</v>
      </c>
    </row>
    <row r="205" spans="1:49" ht="14.25" customHeight="1" x14ac:dyDescent="0.2">
      <c r="A205" s="48">
        <v>23065110</v>
      </c>
      <c r="B205" s="52" t="s">
        <v>412</v>
      </c>
      <c r="C205" s="52" t="s">
        <v>382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73</v>
      </c>
      <c r="J205" s="55" t="s">
        <v>413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17.734083083854891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414</v>
      </c>
      <c r="C206" s="52" t="s">
        <v>382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73</v>
      </c>
      <c r="J206" s="55" t="s">
        <v>415</v>
      </c>
      <c r="K206" s="51">
        <v>9.8000000000000007</v>
      </c>
      <c r="L206" s="51">
        <v>10.6</v>
      </c>
      <c r="M206" s="51">
        <v>11.6</v>
      </c>
      <c r="N206" s="51">
        <v>9.8000000000000007</v>
      </c>
      <c r="O206" s="51">
        <v>10.6</v>
      </c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5</v>
      </c>
      <c r="AQ206" s="89" t="str">
        <f t="shared" si="17"/>
        <v/>
      </c>
      <c r="AR206" s="89">
        <f>IFERROR(VLOOKUP(A206,Climatologia!A:U,9+$E$2,FALSE),"")</f>
        <v>8.9660145437485337</v>
      </c>
      <c r="AS206" s="89" t="str">
        <f t="shared" si="18"/>
        <v/>
      </c>
      <c r="AT206" s="90">
        <f t="shared" si="19"/>
        <v>9.8000000000000007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1.1000000000000001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40085</v>
      </c>
      <c r="AW206" s="92">
        <f t="shared" si="20"/>
        <v>8.7000000000000011</v>
      </c>
    </row>
    <row r="207" spans="1:49" ht="14.25" customHeight="1" x14ac:dyDescent="0.2">
      <c r="A207" s="48">
        <v>35025060</v>
      </c>
      <c r="B207" s="52" t="s">
        <v>416</v>
      </c>
      <c r="C207" s="52" t="s">
        <v>382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73</v>
      </c>
      <c r="J207" s="55" t="s">
        <v>417</v>
      </c>
      <c r="K207" s="51">
        <v>7</v>
      </c>
      <c r="L207" s="51">
        <v>5.8</v>
      </c>
      <c r="M207" s="51">
        <v>7</v>
      </c>
      <c r="N207" s="51">
        <v>6</v>
      </c>
      <c r="O207" s="51">
        <v>5.2</v>
      </c>
      <c r="P207" s="51">
        <v>5.4</v>
      </c>
      <c r="Q207" s="51">
        <v>5.4</v>
      </c>
      <c r="R207" s="51">
        <v>4.8</v>
      </c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8</v>
      </c>
      <c r="AQ207" s="89" t="str">
        <f t="shared" si="17"/>
        <v/>
      </c>
      <c r="AR207" s="89">
        <f>IFERROR(VLOOKUP(A207,Climatologia!A:U,9+$E$2,FALSE),"")</f>
        <v>4.9011609803563827</v>
      </c>
      <c r="AS207" s="89" t="str">
        <f t="shared" si="18"/>
        <v/>
      </c>
      <c r="AT207" s="90">
        <f t="shared" si="19"/>
        <v>4.8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36045</v>
      </c>
      <c r="AW207" s="92">
        <f t="shared" si="20"/>
        <v>4.5999999999999996</v>
      </c>
    </row>
    <row r="208" spans="1:49" ht="14.25" customHeight="1" x14ac:dyDescent="0.2">
      <c r="A208" s="48">
        <v>47075010</v>
      </c>
      <c r="B208" s="52" t="s">
        <v>418</v>
      </c>
      <c r="C208" s="52" t="s">
        <v>382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98</v>
      </c>
      <c r="J208" s="55" t="s">
        <v>418</v>
      </c>
      <c r="K208" s="51">
        <v>23</v>
      </c>
      <c r="L208" s="51">
        <v>23.2</v>
      </c>
      <c r="M208" s="51">
        <v>23</v>
      </c>
      <c r="N208" s="51">
        <v>23.2</v>
      </c>
      <c r="O208" s="51">
        <v>23.6</v>
      </c>
      <c r="P208" s="51">
        <v>23.2</v>
      </c>
      <c r="Q208" s="51">
        <v>23.8</v>
      </c>
      <c r="R208" s="51">
        <v>23.4</v>
      </c>
      <c r="S208" s="51"/>
      <c r="T208" s="51"/>
      <c r="U208" s="51"/>
      <c r="V208" s="51"/>
      <c r="W208" s="51"/>
      <c r="X208" s="51"/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8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23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18.2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37877</v>
      </c>
      <c r="AW208" s="92">
        <f t="shared" si="20"/>
        <v>4.8000000000000007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1" t="s">
        <v>421</v>
      </c>
      <c r="X1" s="122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6" t="s">
        <v>847</v>
      </c>
      <c r="B1" s="126" t="s">
        <v>7</v>
      </c>
      <c r="C1" s="126" t="s">
        <v>10</v>
      </c>
      <c r="D1" s="126" t="s">
        <v>9</v>
      </c>
      <c r="E1" s="126" t="s">
        <v>11</v>
      </c>
      <c r="F1" s="126" t="s">
        <v>15</v>
      </c>
      <c r="G1" s="126" t="s">
        <v>848</v>
      </c>
      <c r="H1" s="123" t="s">
        <v>849</v>
      </c>
      <c r="I1" s="124"/>
      <c r="J1" s="125"/>
      <c r="K1" s="123" t="s">
        <v>850</v>
      </c>
      <c r="L1" s="124"/>
      <c r="M1" s="125"/>
      <c r="N1" s="123" t="s">
        <v>851</v>
      </c>
      <c r="O1" s="124"/>
      <c r="P1" s="125"/>
      <c r="Q1" s="123" t="s">
        <v>852</v>
      </c>
      <c r="R1" s="124"/>
      <c r="S1" s="125"/>
      <c r="T1" s="123" t="s">
        <v>853</v>
      </c>
      <c r="U1" s="124"/>
      <c r="V1" s="125"/>
      <c r="W1" s="123" t="s">
        <v>854</v>
      </c>
      <c r="X1" s="124"/>
      <c r="Y1" s="125"/>
      <c r="Z1" s="123" t="s">
        <v>855</v>
      </c>
      <c r="AA1" s="124"/>
      <c r="AB1" s="125"/>
      <c r="AC1" s="123" t="s">
        <v>856</v>
      </c>
      <c r="AD1" s="124"/>
      <c r="AE1" s="125"/>
      <c r="AF1" s="123" t="s">
        <v>857</v>
      </c>
      <c r="AG1" s="124"/>
      <c r="AH1" s="125"/>
      <c r="AI1" s="123" t="s">
        <v>858</v>
      </c>
      <c r="AJ1" s="124"/>
      <c r="AK1" s="125"/>
      <c r="AL1" s="123" t="s">
        <v>859</v>
      </c>
      <c r="AM1" s="124"/>
      <c r="AN1" s="125"/>
      <c r="AO1" s="123" t="s">
        <v>860</v>
      </c>
      <c r="AP1" s="124"/>
      <c r="AQ1" s="125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7"/>
      <c r="B2" s="127"/>
      <c r="C2" s="127"/>
      <c r="D2" s="127"/>
      <c r="E2" s="127"/>
      <c r="F2" s="127"/>
      <c r="G2" s="127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2026-09-08T15:43:43Z</dcterms:modified>
</cp:coreProperties>
</file>