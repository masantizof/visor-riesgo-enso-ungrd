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EC927FF1-248F-42E4-8808-ADEB5C88D662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7" i="1" l="1" a="1"/>
  <c r="AV207" i="1" s="1"/>
  <c r="AU207" i="1" a="1"/>
  <c r="AU207" i="1"/>
  <c r="AT207" i="1"/>
  <c r="AW207" i="1" s="1"/>
  <c r="AR207" i="1"/>
  <c r="AP207" i="1"/>
  <c r="AQ207" i="1" s="1"/>
  <c r="AS207" i="1" s="1"/>
  <c r="AV206" i="1" a="1"/>
  <c r="AV206" i="1"/>
  <c r="AU206" i="1" a="1"/>
  <c r="AU206" i="1" s="1"/>
  <c r="AT206" i="1"/>
  <c r="AW206" i="1" s="1"/>
  <c r="AR206" i="1"/>
  <c r="AQ206" i="1"/>
  <c r="AS206" i="1" s="1"/>
  <c r="AP206" i="1"/>
  <c r="AV205" i="1" a="1"/>
  <c r="AV205" i="1"/>
  <c r="AU205" i="1" a="1"/>
  <c r="AU205" i="1" s="1"/>
  <c r="AT205" i="1"/>
  <c r="AW205" i="1" s="1"/>
  <c r="AS205" i="1"/>
  <c r="AR205" i="1"/>
  <c r="AQ205" i="1"/>
  <c r="AP205" i="1"/>
  <c r="AV204" i="1" a="1"/>
  <c r="AV204" i="1" s="1"/>
  <c r="AU204" i="1" a="1"/>
  <c r="AU204" i="1" s="1"/>
  <c r="AT204" i="1"/>
  <c r="AR204" i="1"/>
  <c r="AP204" i="1"/>
  <c r="AQ204" i="1" s="1"/>
  <c r="AS204" i="1" s="1"/>
  <c r="AV203" i="1" a="1"/>
  <c r="AV203" i="1"/>
  <c r="AU203" i="1" a="1"/>
  <c r="AU203" i="1" s="1"/>
  <c r="AW203" i="1" s="1"/>
  <c r="AT203" i="1"/>
  <c r="AR203" i="1"/>
  <c r="AP203" i="1"/>
  <c r="AQ203" i="1" s="1"/>
  <c r="AS203" i="1" s="1"/>
  <c r="AV202" i="1" a="1"/>
  <c r="AV202" i="1" s="1"/>
  <c r="AU202" i="1" a="1"/>
  <c r="AU202" i="1" s="1"/>
  <c r="AW202" i="1" s="1"/>
  <c r="AT202" i="1"/>
  <c r="AS202" i="1"/>
  <c r="AR202" i="1"/>
  <c r="AQ202" i="1"/>
  <c r="AP202" i="1"/>
  <c r="AV201" i="1" a="1"/>
  <c r="AV201" i="1"/>
  <c r="AU201" i="1" a="1"/>
  <c r="AU201" i="1" s="1"/>
  <c r="AW201" i="1" s="1"/>
  <c r="AT201" i="1"/>
  <c r="AR201" i="1"/>
  <c r="AP201" i="1"/>
  <c r="AQ201" i="1" s="1"/>
  <c r="AS201" i="1" s="1"/>
  <c r="AV200" i="1" a="1"/>
  <c r="AV200" i="1"/>
  <c r="AU200" i="1" a="1"/>
  <c r="AU200" i="1"/>
  <c r="AT200" i="1"/>
  <c r="AW200" i="1" s="1"/>
  <c r="AR200" i="1"/>
  <c r="AS200" i="1" s="1"/>
  <c r="AQ200" i="1"/>
  <c r="AP200" i="1"/>
  <c r="AV199" i="1" a="1"/>
  <c r="AV199" i="1"/>
  <c r="AU199" i="1" a="1"/>
  <c r="AU199" i="1" s="1"/>
  <c r="AT199" i="1"/>
  <c r="AW199" i="1" s="1"/>
  <c r="AR199" i="1"/>
  <c r="AP199" i="1"/>
  <c r="AQ199" i="1" s="1"/>
  <c r="AS199" i="1" s="1"/>
  <c r="AV198" i="1" a="1"/>
  <c r="AV198" i="1"/>
  <c r="AU198" i="1" a="1"/>
  <c r="AU198" i="1" s="1"/>
  <c r="AW198" i="1" s="1"/>
  <c r="AT198" i="1"/>
  <c r="AR198" i="1"/>
  <c r="AP198" i="1"/>
  <c r="AQ198" i="1" s="1"/>
  <c r="AS198" i="1" s="1"/>
  <c r="AV197" i="1" a="1"/>
  <c r="AV197" i="1"/>
  <c r="AU197" i="1" a="1"/>
  <c r="AU197" i="1"/>
  <c r="AT197" i="1"/>
  <c r="AW197" i="1" s="1"/>
  <c r="AR197" i="1"/>
  <c r="AQ197" i="1"/>
  <c r="AS197" i="1" s="1"/>
  <c r="AP197" i="1"/>
  <c r="AV196" i="1" a="1"/>
  <c r="AV196" i="1" s="1"/>
  <c r="AU196" i="1" a="1"/>
  <c r="AU196" i="1" s="1"/>
  <c r="AT196" i="1"/>
  <c r="AW196" i="1" s="1"/>
  <c r="AR196" i="1"/>
  <c r="AP196" i="1"/>
  <c r="AQ196" i="1" s="1"/>
  <c r="AS196" i="1" s="1"/>
  <c r="AV195" i="1" a="1"/>
  <c r="AV195" i="1" s="1"/>
  <c r="AU195" i="1" a="1"/>
  <c r="AU195" i="1" s="1"/>
  <c r="AW195" i="1" s="1"/>
  <c r="AT195" i="1"/>
  <c r="AR195" i="1"/>
  <c r="AP195" i="1"/>
  <c r="AQ195" i="1" s="1"/>
  <c r="AS195" i="1" s="1"/>
  <c r="AV194" i="1" a="1"/>
  <c r="AV194" i="1"/>
  <c r="AU194" i="1" a="1"/>
  <c r="AU194" i="1"/>
  <c r="AT194" i="1"/>
  <c r="AW194" i="1" s="1"/>
  <c r="AR194" i="1"/>
  <c r="AQ194" i="1"/>
  <c r="AS194" i="1" s="1"/>
  <c r="AP194" i="1"/>
  <c r="AV193" i="1" a="1"/>
  <c r="AV193" i="1" s="1"/>
  <c r="AU193" i="1" a="1"/>
  <c r="AU193" i="1" s="1"/>
  <c r="AW193" i="1" s="1"/>
  <c r="AT193" i="1"/>
  <c r="AR193" i="1"/>
  <c r="AP193" i="1"/>
  <c r="AQ193" i="1" s="1"/>
  <c r="AS193" i="1" s="1"/>
  <c r="AV192" i="1" a="1"/>
  <c r="AV192" i="1" s="1"/>
  <c r="AU192" i="1" a="1"/>
  <c r="AU192" i="1" s="1"/>
  <c r="AW192" i="1" s="1"/>
  <c r="AT192" i="1"/>
  <c r="AR192" i="1"/>
  <c r="AP192" i="1"/>
  <c r="AQ192" i="1" s="1"/>
  <c r="AS192" i="1" s="1"/>
  <c r="AV191" i="1" a="1"/>
  <c r="AV191" i="1" s="1"/>
  <c r="AU191" i="1" a="1"/>
  <c r="AU191" i="1"/>
  <c r="AT191" i="1"/>
  <c r="AW191" i="1" s="1"/>
  <c r="AR191" i="1"/>
  <c r="AP191" i="1"/>
  <c r="AQ191" i="1" s="1"/>
  <c r="AS191" i="1" s="1"/>
  <c r="AV190" i="1" a="1"/>
  <c r="AV190" i="1"/>
  <c r="AU190" i="1" a="1"/>
  <c r="AU190" i="1"/>
  <c r="AT190" i="1"/>
  <c r="AW190" i="1" s="1"/>
  <c r="AR190" i="1"/>
  <c r="AP190" i="1"/>
  <c r="AQ190" i="1" s="1"/>
  <c r="AS190" i="1" s="1"/>
  <c r="AV189" i="1" a="1"/>
  <c r="AV189" i="1" s="1"/>
  <c r="AU189" i="1" a="1"/>
  <c r="AU189" i="1"/>
  <c r="AT189" i="1"/>
  <c r="AW189" i="1" s="1"/>
  <c r="AR189" i="1"/>
  <c r="AS189" i="1" s="1"/>
  <c r="AQ189" i="1"/>
  <c r="AP189" i="1"/>
  <c r="AV188" i="1" a="1"/>
  <c r="AV188" i="1" s="1"/>
  <c r="AU188" i="1" a="1"/>
  <c r="AU188" i="1" s="1"/>
  <c r="AW188" i="1" s="1"/>
  <c r="AT188" i="1"/>
  <c r="AR188" i="1"/>
  <c r="AP188" i="1"/>
  <c r="AQ188" i="1" s="1"/>
  <c r="AS188" i="1" s="1"/>
  <c r="AV187" i="1" a="1"/>
  <c r="AV187" i="1"/>
  <c r="AU187" i="1" a="1"/>
  <c r="AU187" i="1"/>
  <c r="AT187" i="1"/>
  <c r="AW187" i="1" s="1"/>
  <c r="AR187" i="1"/>
  <c r="AP187" i="1"/>
  <c r="AQ187" i="1" s="1"/>
  <c r="AS187" i="1" s="1"/>
  <c r="AV186" i="1" a="1"/>
  <c r="AV186" i="1" s="1"/>
  <c r="AU186" i="1" a="1"/>
  <c r="AU186" i="1" s="1"/>
  <c r="AT186" i="1"/>
  <c r="AW186" i="1" s="1"/>
  <c r="AR186" i="1"/>
  <c r="AQ186" i="1"/>
  <c r="AS186" i="1" s="1"/>
  <c r="AP186" i="1"/>
  <c r="AV185" i="1" a="1"/>
  <c r="AV185" i="1" s="1"/>
  <c r="AU185" i="1" a="1"/>
  <c r="AU185" i="1" s="1"/>
  <c r="AW185" i="1" s="1"/>
  <c r="AT185" i="1"/>
  <c r="AR185" i="1"/>
  <c r="AP185" i="1"/>
  <c r="AQ185" i="1" s="1"/>
  <c r="AS185" i="1" s="1"/>
  <c r="AV184" i="1" a="1"/>
  <c r="AV184" i="1"/>
  <c r="AU184" i="1" a="1"/>
  <c r="AU184" i="1"/>
  <c r="AT184" i="1"/>
  <c r="AW184" i="1" s="1"/>
  <c r="AR184" i="1"/>
  <c r="AP184" i="1"/>
  <c r="AQ184" i="1" s="1"/>
  <c r="AS184" i="1" s="1"/>
  <c r="AV183" i="1" a="1"/>
  <c r="AV183" i="1" s="1"/>
  <c r="AU183" i="1" a="1"/>
  <c r="AU183" i="1" s="1"/>
  <c r="AT183" i="1"/>
  <c r="AW183" i="1" s="1"/>
  <c r="AR183" i="1"/>
  <c r="AQ183" i="1"/>
  <c r="AS183" i="1" s="1"/>
  <c r="AP183" i="1"/>
  <c r="AV182" i="1" a="1"/>
  <c r="AV182" i="1" s="1"/>
  <c r="AU182" i="1" a="1"/>
  <c r="AU182" i="1"/>
  <c r="AT182" i="1"/>
  <c r="AW182" i="1" s="1"/>
  <c r="AR182" i="1"/>
  <c r="AP182" i="1"/>
  <c r="AQ182" i="1" s="1"/>
  <c r="AS182" i="1" s="1"/>
  <c r="AV181" i="1" a="1"/>
  <c r="AV181" i="1"/>
  <c r="AU181" i="1" a="1"/>
  <c r="AU181" i="1"/>
  <c r="AT181" i="1"/>
  <c r="AW181" i="1" s="1"/>
  <c r="AR181" i="1"/>
  <c r="AP181" i="1"/>
  <c r="AQ181" i="1" s="1"/>
  <c r="AS181" i="1" s="1"/>
  <c r="AV180" i="1" a="1"/>
  <c r="AV180" i="1" s="1"/>
  <c r="AU180" i="1" a="1"/>
  <c r="AU180" i="1" s="1"/>
  <c r="AT180" i="1"/>
  <c r="AW180" i="1" s="1"/>
  <c r="AR180" i="1"/>
  <c r="AP180" i="1"/>
  <c r="AQ180" i="1" s="1"/>
  <c r="AS180" i="1" s="1"/>
  <c r="AW179" i="1"/>
  <c r="AV179" i="1" a="1"/>
  <c r="AV179" i="1" s="1"/>
  <c r="AU179" i="1" a="1"/>
  <c r="AU179" i="1"/>
  <c r="AT179" i="1"/>
  <c r="AR179" i="1"/>
  <c r="AP179" i="1"/>
  <c r="AQ179" i="1" s="1"/>
  <c r="AS179" i="1" s="1"/>
  <c r="AV178" i="1" a="1"/>
  <c r="AV178" i="1"/>
  <c r="AU178" i="1" a="1"/>
  <c r="AU178" i="1"/>
  <c r="AT178" i="1"/>
  <c r="AW178" i="1" s="1"/>
  <c r="AR178" i="1"/>
  <c r="AP178" i="1"/>
  <c r="AQ178" i="1" s="1"/>
  <c r="AS178" i="1" s="1"/>
  <c r="AV177" i="1" a="1"/>
  <c r="AV177" i="1"/>
  <c r="AU177" i="1" a="1"/>
  <c r="AU177" i="1" s="1"/>
  <c r="AT177" i="1"/>
  <c r="AR177" i="1"/>
  <c r="AP177" i="1"/>
  <c r="AQ177" i="1" s="1"/>
  <c r="AS177" i="1" s="1"/>
  <c r="AV176" i="1" a="1"/>
  <c r="AV176" i="1"/>
  <c r="AU176" i="1" a="1"/>
  <c r="AU176" i="1" s="1"/>
  <c r="AT176" i="1"/>
  <c r="AR176" i="1"/>
  <c r="AP176" i="1"/>
  <c r="AQ176" i="1" s="1"/>
  <c r="AS176" i="1" s="1"/>
  <c r="AV175" i="1" a="1"/>
  <c r="AV175" i="1" s="1"/>
  <c r="AU175" i="1" a="1"/>
  <c r="AU175" i="1"/>
  <c r="AT175" i="1"/>
  <c r="AW175" i="1" s="1"/>
  <c r="AR175" i="1"/>
  <c r="AP175" i="1"/>
  <c r="AQ175" i="1" s="1"/>
  <c r="AS175" i="1" s="1"/>
  <c r="AV174" i="1" a="1"/>
  <c r="AV174" i="1"/>
  <c r="AU174" i="1" a="1"/>
  <c r="AU174" i="1" s="1"/>
  <c r="AT174" i="1"/>
  <c r="AW174" i="1" s="1"/>
  <c r="AR174" i="1"/>
  <c r="AP174" i="1"/>
  <c r="AQ174" i="1" s="1"/>
  <c r="AS174" i="1" s="1"/>
  <c r="AV173" i="1" a="1"/>
  <c r="AV173" i="1" s="1"/>
  <c r="AU173" i="1" a="1"/>
  <c r="AU173" i="1" s="1"/>
  <c r="AT173" i="1"/>
  <c r="AS173" i="1"/>
  <c r="AR173" i="1"/>
  <c r="AQ173" i="1"/>
  <c r="AP173" i="1"/>
  <c r="AV172" i="1" a="1"/>
  <c r="AV172" i="1" s="1"/>
  <c r="AU172" i="1" a="1"/>
  <c r="AU172" i="1" s="1"/>
  <c r="AT172" i="1"/>
  <c r="AW172" i="1" s="1"/>
  <c r="AR172" i="1"/>
  <c r="AP172" i="1"/>
  <c r="AQ172" i="1" s="1"/>
  <c r="AS172" i="1" s="1"/>
  <c r="AV171" i="1" a="1"/>
  <c r="AV171" i="1"/>
  <c r="AU171" i="1" a="1"/>
  <c r="AU171" i="1"/>
  <c r="AW171" i="1" s="1"/>
  <c r="AT171" i="1"/>
  <c r="AR171" i="1"/>
  <c r="AP171" i="1"/>
  <c r="AQ171" i="1" s="1"/>
  <c r="AS171" i="1" s="1"/>
  <c r="AV170" i="1" a="1"/>
  <c r="AV170" i="1" s="1"/>
  <c r="AU170" i="1" a="1"/>
  <c r="AU170" i="1" s="1"/>
  <c r="AT170" i="1"/>
  <c r="AR170" i="1"/>
  <c r="AP170" i="1"/>
  <c r="AQ170" i="1" s="1"/>
  <c r="AS170" i="1" s="1"/>
  <c r="AV169" i="1" a="1"/>
  <c r="AV169" i="1"/>
  <c r="AU169" i="1" a="1"/>
  <c r="AU169" i="1" s="1"/>
  <c r="AW169" i="1" s="1"/>
  <c r="AT169" i="1"/>
  <c r="AR169" i="1"/>
  <c r="AP169" i="1"/>
  <c r="AQ169" i="1" s="1"/>
  <c r="AS169" i="1" s="1"/>
  <c r="AV168" i="1" a="1"/>
  <c r="AV168" i="1"/>
  <c r="AU168" i="1" a="1"/>
  <c r="AU168" i="1"/>
  <c r="AT168" i="1"/>
  <c r="AW168" i="1" s="1"/>
  <c r="AR168" i="1"/>
  <c r="AP168" i="1"/>
  <c r="AQ168" i="1" s="1"/>
  <c r="AS168" i="1" s="1"/>
  <c r="AV167" i="1" a="1"/>
  <c r="AV167" i="1" s="1"/>
  <c r="AU167" i="1" a="1"/>
  <c r="AU167" i="1" s="1"/>
  <c r="AT167" i="1"/>
  <c r="AW167" i="1" s="1"/>
  <c r="AR167" i="1"/>
  <c r="AP167" i="1"/>
  <c r="AQ167" i="1" s="1"/>
  <c r="AS167" i="1" s="1"/>
  <c r="AV166" i="1" a="1"/>
  <c r="AV166" i="1"/>
  <c r="AU166" i="1" a="1"/>
  <c r="AU166" i="1" s="1"/>
  <c r="AW166" i="1" s="1"/>
  <c r="AT166" i="1"/>
  <c r="AR166" i="1"/>
  <c r="AP166" i="1"/>
  <c r="AQ166" i="1" s="1"/>
  <c r="AS166" i="1" s="1"/>
  <c r="AV165" i="1" a="1"/>
  <c r="AV165" i="1"/>
  <c r="AU165" i="1" a="1"/>
  <c r="AU165" i="1"/>
  <c r="AT165" i="1"/>
  <c r="AW165" i="1" s="1"/>
  <c r="AR165" i="1"/>
  <c r="AQ165" i="1"/>
  <c r="AS165" i="1" s="1"/>
  <c r="AP165" i="1"/>
  <c r="AV164" i="1" a="1"/>
  <c r="AV164" i="1" s="1"/>
  <c r="AU164" i="1" a="1"/>
  <c r="AU164" i="1" s="1"/>
  <c r="AT164" i="1"/>
  <c r="AR164" i="1"/>
  <c r="AP164" i="1"/>
  <c r="AQ164" i="1" s="1"/>
  <c r="AS164" i="1" s="1"/>
  <c r="AV163" i="1" a="1"/>
  <c r="AV163" i="1" s="1"/>
  <c r="AU163" i="1" a="1"/>
  <c r="AU163" i="1" s="1"/>
  <c r="AW163" i="1" s="1"/>
  <c r="AT163" i="1"/>
  <c r="AR163" i="1"/>
  <c r="AP163" i="1"/>
  <c r="AQ163" i="1" s="1"/>
  <c r="AS163" i="1" s="1"/>
  <c r="AV162" i="1" a="1"/>
  <c r="AV162" i="1"/>
  <c r="AU162" i="1" a="1"/>
  <c r="AU162" i="1"/>
  <c r="AT162" i="1"/>
  <c r="AW162" i="1" s="1"/>
  <c r="AR162" i="1"/>
  <c r="AP162" i="1"/>
  <c r="AQ162" i="1" s="1"/>
  <c r="AS162" i="1" s="1"/>
  <c r="AV161" i="1" a="1"/>
  <c r="AV161" i="1" s="1"/>
  <c r="AU161" i="1" a="1"/>
  <c r="AU161" i="1" s="1"/>
  <c r="AT161" i="1"/>
  <c r="AW161" i="1" s="1"/>
  <c r="AR161" i="1"/>
  <c r="AP161" i="1"/>
  <c r="AQ161" i="1" s="1"/>
  <c r="AS161" i="1" s="1"/>
  <c r="AV160" i="1" a="1"/>
  <c r="AV160" i="1" s="1"/>
  <c r="AU160" i="1" a="1"/>
  <c r="AU160" i="1" s="1"/>
  <c r="AW160" i="1" s="1"/>
  <c r="AT160" i="1"/>
  <c r="AR160" i="1"/>
  <c r="AP160" i="1"/>
  <c r="AQ160" i="1" s="1"/>
  <c r="AS160" i="1" s="1"/>
  <c r="AV159" i="1" a="1"/>
  <c r="AV159" i="1" s="1"/>
  <c r="AU159" i="1" a="1"/>
  <c r="AU159" i="1"/>
  <c r="AT159" i="1"/>
  <c r="AW159" i="1" s="1"/>
  <c r="AR159" i="1"/>
  <c r="AP159" i="1"/>
  <c r="AQ159" i="1" s="1"/>
  <c r="AS159" i="1" s="1"/>
  <c r="AV158" i="1" a="1"/>
  <c r="AV158" i="1"/>
  <c r="AU158" i="1" a="1"/>
  <c r="AU158" i="1"/>
  <c r="AT158" i="1"/>
  <c r="AW158" i="1" s="1"/>
  <c r="AR158" i="1"/>
  <c r="AP158" i="1"/>
  <c r="AQ158" i="1" s="1"/>
  <c r="AS158" i="1" s="1"/>
  <c r="AV157" i="1" a="1"/>
  <c r="AV157" i="1" s="1"/>
  <c r="AU157" i="1" a="1"/>
  <c r="AU157" i="1"/>
  <c r="AT157" i="1"/>
  <c r="AW157" i="1" s="1"/>
  <c r="AR157" i="1"/>
  <c r="AS157" i="1" s="1"/>
  <c r="AQ157" i="1"/>
  <c r="AP157" i="1"/>
  <c r="AV156" i="1" a="1"/>
  <c r="AV156" i="1" s="1"/>
  <c r="AU156" i="1" a="1"/>
  <c r="AU156" i="1" s="1"/>
  <c r="AW156" i="1" s="1"/>
  <c r="AT156" i="1"/>
  <c r="AR156" i="1"/>
  <c r="AP156" i="1"/>
  <c r="AQ156" i="1" s="1"/>
  <c r="AS156" i="1" s="1"/>
  <c r="AV155" i="1" a="1"/>
  <c r="AV155" i="1"/>
  <c r="AU155" i="1" a="1"/>
  <c r="AU155" i="1"/>
  <c r="AT155" i="1"/>
  <c r="AW155" i="1" s="1"/>
  <c r="AR155" i="1"/>
  <c r="AP155" i="1"/>
  <c r="AQ155" i="1" s="1"/>
  <c r="AS155" i="1" s="1"/>
  <c r="AV154" i="1" a="1"/>
  <c r="AV154" i="1" s="1"/>
  <c r="AU154" i="1" a="1"/>
  <c r="AU154" i="1" s="1"/>
  <c r="AT154" i="1"/>
  <c r="AW154" i="1" s="1"/>
  <c r="AR154" i="1"/>
  <c r="AQ154" i="1"/>
  <c r="AS154" i="1" s="1"/>
  <c r="AP154" i="1"/>
  <c r="AV153" i="1" a="1"/>
  <c r="AV153" i="1" s="1"/>
  <c r="AU153" i="1" a="1"/>
  <c r="AU153" i="1" s="1"/>
  <c r="AW153" i="1" s="1"/>
  <c r="AT153" i="1"/>
  <c r="AR153" i="1"/>
  <c r="AP153" i="1"/>
  <c r="AQ153" i="1" s="1"/>
  <c r="AS153" i="1" s="1"/>
  <c r="AV152" i="1" a="1"/>
  <c r="AV152" i="1"/>
  <c r="AU152" i="1" a="1"/>
  <c r="AU152" i="1"/>
  <c r="AT152" i="1"/>
  <c r="AW152" i="1" s="1"/>
  <c r="AR152" i="1"/>
  <c r="AP152" i="1"/>
  <c r="AQ152" i="1" s="1"/>
  <c r="AS152" i="1" s="1"/>
  <c r="AV151" i="1" a="1"/>
  <c r="AV151" i="1" s="1"/>
  <c r="AU151" i="1" a="1"/>
  <c r="AU151" i="1" s="1"/>
  <c r="AT151" i="1"/>
  <c r="AW151" i="1" s="1"/>
  <c r="AR151" i="1"/>
  <c r="AP151" i="1"/>
  <c r="AQ151" i="1" s="1"/>
  <c r="AS151" i="1" s="1"/>
  <c r="AV150" i="1" a="1"/>
  <c r="AV150" i="1" s="1"/>
  <c r="AU150" i="1" a="1"/>
  <c r="AU150" i="1"/>
  <c r="AT150" i="1"/>
  <c r="AW150" i="1" s="1"/>
  <c r="AR150" i="1"/>
  <c r="AP150" i="1"/>
  <c r="AQ150" i="1" s="1"/>
  <c r="AS150" i="1" s="1"/>
  <c r="AV149" i="1" a="1"/>
  <c r="AV149" i="1"/>
  <c r="AU149" i="1" a="1"/>
  <c r="AU149" i="1"/>
  <c r="AT149" i="1"/>
  <c r="AW149" i="1" s="1"/>
  <c r="AR149" i="1"/>
  <c r="AP149" i="1"/>
  <c r="AQ149" i="1" s="1"/>
  <c r="AS149" i="1" s="1"/>
  <c r="AV148" i="1" a="1"/>
  <c r="AV148" i="1" s="1"/>
  <c r="AU148" i="1" a="1"/>
  <c r="AU148" i="1" s="1"/>
  <c r="AT148" i="1"/>
  <c r="AW148" i="1" s="1"/>
  <c r="AR148" i="1"/>
  <c r="AP148" i="1"/>
  <c r="AQ148" i="1" s="1"/>
  <c r="AS148" i="1" s="1"/>
  <c r="AW147" i="1"/>
  <c r="AV147" i="1" a="1"/>
  <c r="AV147" i="1" s="1"/>
  <c r="AU147" i="1" a="1"/>
  <c r="AU147" i="1"/>
  <c r="AT147" i="1"/>
  <c r="AR147" i="1"/>
  <c r="AP147" i="1"/>
  <c r="AQ147" i="1" s="1"/>
  <c r="AS147" i="1" s="1"/>
  <c r="AV146" i="1" a="1"/>
  <c r="AV146" i="1"/>
  <c r="AU146" i="1" a="1"/>
  <c r="AU146" i="1"/>
  <c r="AT146" i="1"/>
  <c r="AW146" i="1" s="1"/>
  <c r="AR146" i="1"/>
  <c r="AP146" i="1"/>
  <c r="AQ146" i="1" s="1"/>
  <c r="AS146" i="1" s="1"/>
  <c r="AV145" i="1" a="1"/>
  <c r="AV145" i="1"/>
  <c r="AU145" i="1" a="1"/>
  <c r="AU145" i="1" s="1"/>
  <c r="AT145" i="1"/>
  <c r="AW145" i="1" s="1"/>
  <c r="AR145" i="1"/>
  <c r="AP145" i="1"/>
  <c r="AQ145" i="1" s="1"/>
  <c r="AS145" i="1" s="1"/>
  <c r="AV144" i="1" a="1"/>
  <c r="AV144" i="1"/>
  <c r="AU144" i="1" a="1"/>
  <c r="AU144" i="1" s="1"/>
  <c r="AT144" i="1"/>
  <c r="AW144" i="1" s="1"/>
  <c r="AR144" i="1"/>
  <c r="AP144" i="1"/>
  <c r="AQ144" i="1" s="1"/>
  <c r="AS144" i="1" s="1"/>
  <c r="AV143" i="1" a="1"/>
  <c r="AV143" i="1" s="1"/>
  <c r="AU143" i="1" a="1"/>
  <c r="AU143" i="1"/>
  <c r="AT143" i="1"/>
  <c r="AW143" i="1" s="1"/>
  <c r="AR143" i="1"/>
  <c r="AP143" i="1"/>
  <c r="AQ143" i="1" s="1"/>
  <c r="AS143" i="1" s="1"/>
  <c r="AV142" i="1" a="1"/>
  <c r="AV142" i="1"/>
  <c r="AU142" i="1" a="1"/>
  <c r="AU142" i="1" s="1"/>
  <c r="AT142" i="1"/>
  <c r="AW142" i="1" s="1"/>
  <c r="AR142" i="1"/>
  <c r="AP142" i="1"/>
  <c r="AQ142" i="1" s="1"/>
  <c r="AS142" i="1" s="1"/>
  <c r="AV141" i="1" a="1"/>
  <c r="AV141" i="1" s="1"/>
  <c r="AU141" i="1" a="1"/>
  <c r="AU141" i="1" s="1"/>
  <c r="AT141" i="1"/>
  <c r="AW141" i="1" s="1"/>
  <c r="AS141" i="1"/>
  <c r="AR141" i="1"/>
  <c r="AQ141" i="1"/>
  <c r="AP141" i="1"/>
  <c r="AV140" i="1" a="1"/>
  <c r="AV140" i="1" s="1"/>
  <c r="AU140" i="1" a="1"/>
  <c r="AU140" i="1" s="1"/>
  <c r="AT140" i="1"/>
  <c r="AW140" i="1" s="1"/>
  <c r="AR140" i="1"/>
  <c r="AP140" i="1"/>
  <c r="AQ140" i="1" s="1"/>
  <c r="AS140" i="1" s="1"/>
  <c r="AV139" i="1" a="1"/>
  <c r="AV139" i="1"/>
  <c r="AU139" i="1" a="1"/>
  <c r="AU139" i="1"/>
  <c r="AW139" i="1" s="1"/>
  <c r="AT139" i="1"/>
  <c r="AR139" i="1"/>
  <c r="AP139" i="1"/>
  <c r="AQ139" i="1" s="1"/>
  <c r="AS139" i="1" s="1"/>
  <c r="AV138" i="1" a="1"/>
  <c r="AV138" i="1" s="1"/>
  <c r="AU138" i="1" a="1"/>
  <c r="AU138" i="1" s="1"/>
  <c r="AT138" i="1"/>
  <c r="AW138" i="1" s="1"/>
  <c r="AR138" i="1"/>
  <c r="AP138" i="1"/>
  <c r="AQ138" i="1" s="1"/>
  <c r="AS138" i="1" s="1"/>
  <c r="AV137" i="1" a="1"/>
  <c r="AV137" i="1"/>
  <c r="AU137" i="1" a="1"/>
  <c r="AU137" i="1" s="1"/>
  <c r="AW137" i="1" s="1"/>
  <c r="AT137" i="1"/>
  <c r="AR137" i="1"/>
  <c r="AP137" i="1"/>
  <c r="AQ137" i="1" s="1"/>
  <c r="AS137" i="1" s="1"/>
  <c r="AV136" i="1" a="1"/>
  <c r="AV136" i="1"/>
  <c r="AU136" i="1" a="1"/>
  <c r="AU136" i="1"/>
  <c r="AT136" i="1"/>
  <c r="AW136" i="1" s="1"/>
  <c r="AR136" i="1"/>
  <c r="AP136" i="1"/>
  <c r="AQ136" i="1" s="1"/>
  <c r="AS136" i="1" s="1"/>
  <c r="AV135" i="1" a="1"/>
  <c r="AV135" i="1" s="1"/>
  <c r="AU135" i="1" a="1"/>
  <c r="AU135" i="1" s="1"/>
  <c r="AT135" i="1"/>
  <c r="AW135" i="1" s="1"/>
  <c r="AR135" i="1"/>
  <c r="AP135" i="1"/>
  <c r="AQ135" i="1" s="1"/>
  <c r="AS135" i="1" s="1"/>
  <c r="AV134" i="1" a="1"/>
  <c r="AV134" i="1"/>
  <c r="AU134" i="1" a="1"/>
  <c r="AU134" i="1" s="1"/>
  <c r="AW134" i="1" s="1"/>
  <c r="AT134" i="1"/>
  <c r="AR134" i="1"/>
  <c r="AP134" i="1"/>
  <c r="AQ134" i="1" s="1"/>
  <c r="AS134" i="1" s="1"/>
  <c r="AV133" i="1" a="1"/>
  <c r="AV133" i="1"/>
  <c r="AU133" i="1" a="1"/>
  <c r="AU133" i="1"/>
  <c r="AT133" i="1"/>
  <c r="AW133" i="1" s="1"/>
  <c r="AR133" i="1"/>
  <c r="AQ133" i="1"/>
  <c r="AS133" i="1" s="1"/>
  <c r="AP133" i="1"/>
  <c r="AV132" i="1" a="1"/>
  <c r="AV132" i="1" s="1"/>
  <c r="AU132" i="1" a="1"/>
  <c r="AU132" i="1" s="1"/>
  <c r="AT132" i="1"/>
  <c r="AR132" i="1"/>
  <c r="AP132" i="1"/>
  <c r="AQ132" i="1" s="1"/>
  <c r="AS132" i="1" s="1"/>
  <c r="AV131" i="1" a="1"/>
  <c r="AV131" i="1" s="1"/>
  <c r="AU131" i="1" a="1"/>
  <c r="AU131" i="1" s="1"/>
  <c r="AW131" i="1" s="1"/>
  <c r="AT131" i="1"/>
  <c r="AR131" i="1"/>
  <c r="AP131" i="1"/>
  <c r="AQ131" i="1" s="1"/>
  <c r="AS131" i="1" s="1"/>
  <c r="AV130" i="1" a="1"/>
  <c r="AV130" i="1"/>
  <c r="AU130" i="1" a="1"/>
  <c r="AU130" i="1"/>
  <c r="AT130" i="1"/>
  <c r="AW130" i="1" s="1"/>
  <c r="AR130" i="1"/>
  <c r="AP130" i="1"/>
  <c r="AQ130" i="1" s="1"/>
  <c r="AS130" i="1" s="1"/>
  <c r="AV129" i="1" a="1"/>
  <c r="AV129" i="1" s="1"/>
  <c r="AU129" i="1" a="1"/>
  <c r="AU129" i="1" s="1"/>
  <c r="AT129" i="1"/>
  <c r="AW129" i="1" s="1"/>
  <c r="AR129" i="1"/>
  <c r="AP129" i="1"/>
  <c r="AQ129" i="1" s="1"/>
  <c r="AS129" i="1" s="1"/>
  <c r="AV128" i="1" a="1"/>
  <c r="AV128" i="1" s="1"/>
  <c r="AU128" i="1" a="1"/>
  <c r="AU128" i="1" s="1"/>
  <c r="AW128" i="1" s="1"/>
  <c r="AT128" i="1"/>
  <c r="AR128" i="1"/>
  <c r="AP128" i="1"/>
  <c r="AQ128" i="1" s="1"/>
  <c r="AS128" i="1" s="1"/>
  <c r="AV127" i="1" a="1"/>
  <c r="AV127" i="1" s="1"/>
  <c r="AU127" i="1" a="1"/>
  <c r="AU127" i="1"/>
  <c r="AT127" i="1"/>
  <c r="AW127" i="1" s="1"/>
  <c r="AR127" i="1"/>
  <c r="AP127" i="1"/>
  <c r="AQ127" i="1" s="1"/>
  <c r="AS127" i="1" s="1"/>
  <c r="AV126" i="1" a="1"/>
  <c r="AV126" i="1"/>
  <c r="AU126" i="1" a="1"/>
  <c r="AU126" i="1"/>
  <c r="AT126" i="1"/>
  <c r="AW126" i="1" s="1"/>
  <c r="AR126" i="1"/>
  <c r="AP126" i="1"/>
  <c r="AQ126" i="1" s="1"/>
  <c r="AS126" i="1" s="1"/>
  <c r="AV125" i="1" a="1"/>
  <c r="AV125" i="1" s="1"/>
  <c r="AU125" i="1" a="1"/>
  <c r="AU125" i="1"/>
  <c r="AT125" i="1"/>
  <c r="AW125" i="1" s="1"/>
  <c r="AR125" i="1"/>
  <c r="AS125" i="1" s="1"/>
  <c r="AQ125" i="1"/>
  <c r="AP125" i="1"/>
  <c r="AV124" i="1" a="1"/>
  <c r="AV124" i="1" s="1"/>
  <c r="AU124" i="1" a="1"/>
  <c r="AU124" i="1" s="1"/>
  <c r="AW124" i="1" s="1"/>
  <c r="AT124" i="1"/>
  <c r="AR124" i="1"/>
  <c r="AP124" i="1"/>
  <c r="AQ124" i="1" s="1"/>
  <c r="AS124" i="1" s="1"/>
  <c r="AV123" i="1" a="1"/>
  <c r="AV123" i="1"/>
  <c r="AU123" i="1" a="1"/>
  <c r="AU123" i="1"/>
  <c r="AT123" i="1"/>
  <c r="AW123" i="1" s="1"/>
  <c r="AR123" i="1"/>
  <c r="AP123" i="1"/>
  <c r="AQ123" i="1" s="1"/>
  <c r="AS123" i="1" s="1"/>
  <c r="AV122" i="1" a="1"/>
  <c r="AV122" i="1" s="1"/>
  <c r="AU122" i="1" a="1"/>
  <c r="AU122" i="1" s="1"/>
  <c r="AT122" i="1"/>
  <c r="AW122" i="1" s="1"/>
  <c r="AR122" i="1"/>
  <c r="AQ122" i="1"/>
  <c r="AS122" i="1" s="1"/>
  <c r="AP122" i="1"/>
  <c r="AV121" i="1" a="1"/>
  <c r="AV121" i="1" s="1"/>
  <c r="AU121" i="1" a="1"/>
  <c r="AU121" i="1" s="1"/>
  <c r="AW121" i="1" s="1"/>
  <c r="AT121" i="1"/>
  <c r="AR121" i="1"/>
  <c r="AP121" i="1"/>
  <c r="AQ121" i="1" s="1"/>
  <c r="AS121" i="1" s="1"/>
  <c r="AV120" i="1" a="1"/>
  <c r="AV120" i="1"/>
  <c r="AU120" i="1" a="1"/>
  <c r="AU120" i="1"/>
  <c r="AT120" i="1"/>
  <c r="AW120" i="1" s="1"/>
  <c r="AR120" i="1"/>
  <c r="AP120" i="1"/>
  <c r="AQ120" i="1" s="1"/>
  <c r="AS120" i="1" s="1"/>
  <c r="AV119" i="1" a="1"/>
  <c r="AV119" i="1" s="1"/>
  <c r="AU119" i="1" a="1"/>
  <c r="AU119" i="1" s="1"/>
  <c r="AT119" i="1"/>
  <c r="AW119" i="1" s="1"/>
  <c r="AR119" i="1"/>
  <c r="AP119" i="1"/>
  <c r="AQ119" i="1" s="1"/>
  <c r="AS119" i="1" s="1"/>
  <c r="AV118" i="1" a="1"/>
  <c r="AV118" i="1" s="1"/>
  <c r="AU118" i="1" a="1"/>
  <c r="AU118" i="1"/>
  <c r="AT118" i="1"/>
  <c r="AW118" i="1" s="1"/>
  <c r="AR118" i="1"/>
  <c r="AP118" i="1"/>
  <c r="AQ118" i="1" s="1"/>
  <c r="AS118" i="1" s="1"/>
  <c r="AV117" i="1" a="1"/>
  <c r="AV117" i="1"/>
  <c r="AU117" i="1" a="1"/>
  <c r="AU117" i="1"/>
  <c r="AT117" i="1"/>
  <c r="AW117" i="1" s="1"/>
  <c r="AR117" i="1"/>
  <c r="AP117" i="1"/>
  <c r="AQ117" i="1" s="1"/>
  <c r="AS117" i="1" s="1"/>
  <c r="AV116" i="1" a="1"/>
  <c r="AV116" i="1" s="1"/>
  <c r="AU116" i="1" a="1"/>
  <c r="AU116" i="1" s="1"/>
  <c r="AT116" i="1"/>
  <c r="AR116" i="1"/>
  <c r="AP116" i="1"/>
  <c r="AQ116" i="1" s="1"/>
  <c r="AS116" i="1" s="1"/>
  <c r="AW115" i="1"/>
  <c r="AV115" i="1" a="1"/>
  <c r="AV115" i="1" s="1"/>
  <c r="AU115" i="1" a="1"/>
  <c r="AU115" i="1"/>
  <c r="AT115" i="1"/>
  <c r="AR115" i="1"/>
  <c r="AP115" i="1"/>
  <c r="AQ115" i="1" s="1"/>
  <c r="AS115" i="1" s="1"/>
  <c r="AV114" i="1" a="1"/>
  <c r="AV114" i="1"/>
  <c r="AU114" i="1" a="1"/>
  <c r="AU114" i="1"/>
  <c r="AT114" i="1"/>
  <c r="AW114" i="1" s="1"/>
  <c r="AR114" i="1"/>
  <c r="AP114" i="1"/>
  <c r="AQ114" i="1" s="1"/>
  <c r="AS114" i="1" s="1"/>
  <c r="AV113" i="1" a="1"/>
  <c r="AV113" i="1"/>
  <c r="AU113" i="1" a="1"/>
  <c r="AU113" i="1" s="1"/>
  <c r="AT113" i="1"/>
  <c r="AW113" i="1" s="1"/>
  <c r="AR113" i="1"/>
  <c r="AP113" i="1"/>
  <c r="AQ113" i="1" s="1"/>
  <c r="AS113" i="1" s="1"/>
  <c r="AV112" i="1" a="1"/>
  <c r="AV112" i="1"/>
  <c r="AU112" i="1" a="1"/>
  <c r="AU112" i="1" s="1"/>
  <c r="AT112" i="1"/>
  <c r="AW112" i="1" s="1"/>
  <c r="AR112" i="1"/>
  <c r="AP112" i="1"/>
  <c r="AQ112" i="1" s="1"/>
  <c r="AS112" i="1" s="1"/>
  <c r="AV111" i="1" a="1"/>
  <c r="AV111" i="1" s="1"/>
  <c r="AU111" i="1" a="1"/>
  <c r="AU111" i="1"/>
  <c r="AT111" i="1"/>
  <c r="AW111" i="1" s="1"/>
  <c r="AR111" i="1"/>
  <c r="AP111" i="1"/>
  <c r="AQ111" i="1" s="1"/>
  <c r="AS111" i="1" s="1"/>
  <c r="AV110" i="1" a="1"/>
  <c r="AV110" i="1"/>
  <c r="AU110" i="1" a="1"/>
  <c r="AU110" i="1" s="1"/>
  <c r="AT110" i="1"/>
  <c r="AW110" i="1" s="1"/>
  <c r="AR110" i="1"/>
  <c r="AP110" i="1"/>
  <c r="AQ110" i="1" s="1"/>
  <c r="AS110" i="1" s="1"/>
  <c r="AV109" i="1" a="1"/>
  <c r="AV109" i="1" s="1"/>
  <c r="AU109" i="1" a="1"/>
  <c r="AU109" i="1" s="1"/>
  <c r="AT109" i="1"/>
  <c r="AS109" i="1"/>
  <c r="AR109" i="1"/>
  <c r="AQ109" i="1"/>
  <c r="AP109" i="1"/>
  <c r="AV108" i="1" a="1"/>
  <c r="AV108" i="1" s="1"/>
  <c r="AU108" i="1" a="1"/>
  <c r="AU108" i="1" s="1"/>
  <c r="AT108" i="1"/>
  <c r="AW108" i="1" s="1"/>
  <c r="AR108" i="1"/>
  <c r="AP108" i="1"/>
  <c r="AQ108" i="1" s="1"/>
  <c r="AS108" i="1" s="1"/>
  <c r="AV107" i="1" a="1"/>
  <c r="AV107" i="1"/>
  <c r="AU107" i="1" a="1"/>
  <c r="AU107" i="1"/>
  <c r="AT107" i="1"/>
  <c r="AW107" i="1" s="1"/>
  <c r="AR107" i="1"/>
  <c r="AP107" i="1"/>
  <c r="AQ107" i="1" s="1"/>
  <c r="AS107" i="1" s="1"/>
  <c r="AV106" i="1" a="1"/>
  <c r="AV106" i="1" s="1"/>
  <c r="AU106" i="1" a="1"/>
  <c r="AU106" i="1" s="1"/>
  <c r="AT106" i="1"/>
  <c r="AW106" i="1" s="1"/>
  <c r="AR106" i="1"/>
  <c r="AP106" i="1"/>
  <c r="AQ106" i="1" s="1"/>
  <c r="AS106" i="1" s="1"/>
  <c r="AV105" i="1" a="1"/>
  <c r="AV105" i="1"/>
  <c r="AU105" i="1" a="1"/>
  <c r="AU105" i="1" s="1"/>
  <c r="AW105" i="1" s="1"/>
  <c r="AT105" i="1"/>
  <c r="AR105" i="1"/>
  <c r="AP105" i="1"/>
  <c r="AQ105" i="1" s="1"/>
  <c r="AS105" i="1" s="1"/>
  <c r="AV104" i="1" a="1"/>
  <c r="AV104" i="1"/>
  <c r="AU104" i="1" a="1"/>
  <c r="AU104" i="1"/>
  <c r="AT104" i="1"/>
  <c r="AW104" i="1" s="1"/>
  <c r="AR104" i="1"/>
  <c r="AP104" i="1"/>
  <c r="AQ104" i="1" s="1"/>
  <c r="AS104" i="1" s="1"/>
  <c r="AV103" i="1" a="1"/>
  <c r="AV103" i="1" s="1"/>
  <c r="AU103" i="1" a="1"/>
  <c r="AU103" i="1" s="1"/>
  <c r="AT103" i="1"/>
  <c r="AR103" i="1"/>
  <c r="AP103" i="1"/>
  <c r="AQ103" i="1" s="1"/>
  <c r="AS103" i="1" s="1"/>
  <c r="AV102" i="1" a="1"/>
  <c r="AV102" i="1"/>
  <c r="AU102" i="1" a="1"/>
  <c r="AU102" i="1" s="1"/>
  <c r="AW102" i="1" s="1"/>
  <c r="AT102" i="1"/>
  <c r="AR102" i="1"/>
  <c r="AP102" i="1"/>
  <c r="AQ102" i="1" s="1"/>
  <c r="AS102" i="1" s="1"/>
  <c r="AV101" i="1" a="1"/>
  <c r="AV101" i="1"/>
  <c r="AU101" i="1" a="1"/>
  <c r="AU101" i="1"/>
  <c r="AT101" i="1"/>
  <c r="AW101" i="1" s="1"/>
  <c r="AR101" i="1"/>
  <c r="AQ101" i="1"/>
  <c r="AS101" i="1" s="1"/>
  <c r="AP101" i="1"/>
  <c r="AV100" i="1" a="1"/>
  <c r="AV100" i="1" s="1"/>
  <c r="AU100" i="1" a="1"/>
  <c r="AU100" i="1" s="1"/>
  <c r="AT100" i="1"/>
  <c r="AR100" i="1"/>
  <c r="AP100" i="1"/>
  <c r="AQ100" i="1" s="1"/>
  <c r="AS100" i="1" s="1"/>
  <c r="AV99" i="1" a="1"/>
  <c r="AV99" i="1" s="1"/>
  <c r="AU99" i="1" a="1"/>
  <c r="AU99" i="1" s="1"/>
  <c r="AW99" i="1" s="1"/>
  <c r="AT99" i="1"/>
  <c r="AR99" i="1"/>
  <c r="AP99" i="1"/>
  <c r="AQ99" i="1" s="1"/>
  <c r="AS99" i="1" s="1"/>
  <c r="AV98" i="1" a="1"/>
  <c r="AV98" i="1"/>
  <c r="AU98" i="1" a="1"/>
  <c r="AU98" i="1"/>
  <c r="AT98" i="1"/>
  <c r="AW98" i="1" s="1"/>
  <c r="AR98" i="1"/>
  <c r="AP98" i="1"/>
  <c r="AQ98" i="1" s="1"/>
  <c r="AS98" i="1" s="1"/>
  <c r="AV97" i="1" a="1"/>
  <c r="AV97" i="1" s="1"/>
  <c r="AU97" i="1" a="1"/>
  <c r="AU97" i="1" s="1"/>
  <c r="AT97" i="1"/>
  <c r="AW97" i="1" s="1"/>
  <c r="AR97" i="1"/>
  <c r="AP97" i="1"/>
  <c r="AQ97" i="1" s="1"/>
  <c r="AS97" i="1" s="1"/>
  <c r="AV96" i="1" a="1"/>
  <c r="AV96" i="1" s="1"/>
  <c r="AU96" i="1" a="1"/>
  <c r="AU96" i="1" s="1"/>
  <c r="AW96" i="1" s="1"/>
  <c r="AT96" i="1"/>
  <c r="AR96" i="1"/>
  <c r="AP96" i="1"/>
  <c r="AQ96" i="1" s="1"/>
  <c r="AS96" i="1" s="1"/>
  <c r="AV95" i="1" a="1"/>
  <c r="AV95" i="1" s="1"/>
  <c r="AU95" i="1" a="1"/>
  <c r="AU95" i="1"/>
  <c r="AT95" i="1"/>
  <c r="AW95" i="1" s="1"/>
  <c r="AR95" i="1"/>
  <c r="AP95" i="1"/>
  <c r="AQ95" i="1" s="1"/>
  <c r="AS95" i="1" s="1"/>
  <c r="AV94" i="1" a="1"/>
  <c r="AV94" i="1" s="1"/>
  <c r="AU94" i="1" a="1"/>
  <c r="AU94" i="1"/>
  <c r="AT94" i="1"/>
  <c r="AW94" i="1" s="1"/>
  <c r="AR94" i="1"/>
  <c r="AP94" i="1"/>
  <c r="AQ94" i="1" s="1"/>
  <c r="AS94" i="1" s="1"/>
  <c r="AV93" i="1" a="1"/>
  <c r="AV93" i="1" s="1"/>
  <c r="AU93" i="1" a="1"/>
  <c r="AU93" i="1" s="1"/>
  <c r="AT93" i="1"/>
  <c r="AW93" i="1" s="1"/>
  <c r="AR93" i="1"/>
  <c r="AS93" i="1" s="1"/>
  <c r="AQ93" i="1"/>
  <c r="AP93" i="1"/>
  <c r="AV92" i="1" a="1"/>
  <c r="AV92" i="1" s="1"/>
  <c r="AU92" i="1" a="1"/>
  <c r="AU92" i="1" s="1"/>
  <c r="AW92" i="1" s="1"/>
  <c r="AT92" i="1"/>
  <c r="AR92" i="1"/>
  <c r="AP92" i="1"/>
  <c r="AQ92" i="1" s="1"/>
  <c r="AS92" i="1" s="1"/>
  <c r="AV91" i="1" a="1"/>
  <c r="AV91" i="1"/>
  <c r="AU91" i="1" a="1"/>
  <c r="AU91" i="1"/>
  <c r="AT91" i="1"/>
  <c r="AW91" i="1" s="1"/>
  <c r="AR91" i="1"/>
  <c r="AP91" i="1"/>
  <c r="AQ91" i="1" s="1"/>
  <c r="AS91" i="1" s="1"/>
  <c r="AV90" i="1" a="1"/>
  <c r="AV90" i="1" s="1"/>
  <c r="AU90" i="1" a="1"/>
  <c r="AU90" i="1" s="1"/>
  <c r="AT90" i="1"/>
  <c r="AW90" i="1" s="1"/>
  <c r="AR90" i="1"/>
  <c r="AQ90" i="1"/>
  <c r="AS90" i="1" s="1"/>
  <c r="AP90" i="1"/>
  <c r="AV89" i="1" a="1"/>
  <c r="AV89" i="1" s="1"/>
  <c r="AU89" i="1" a="1"/>
  <c r="AU89" i="1" s="1"/>
  <c r="AW89" i="1" s="1"/>
  <c r="AT89" i="1"/>
  <c r="AR89" i="1"/>
  <c r="AP89" i="1"/>
  <c r="AQ89" i="1" s="1"/>
  <c r="AS89" i="1" s="1"/>
  <c r="AV88" i="1" a="1"/>
  <c r="AV88" i="1"/>
  <c r="AU88" i="1" a="1"/>
  <c r="AU88" i="1"/>
  <c r="AT88" i="1"/>
  <c r="AW88" i="1" s="1"/>
  <c r="AR88" i="1"/>
  <c r="AP88" i="1"/>
  <c r="AQ88" i="1" s="1"/>
  <c r="AS88" i="1" s="1"/>
  <c r="AV87" i="1" a="1"/>
  <c r="AV87" i="1" s="1"/>
  <c r="AU87" i="1" a="1"/>
  <c r="AU87" i="1" s="1"/>
  <c r="AT87" i="1"/>
  <c r="AW87" i="1" s="1"/>
  <c r="AR87" i="1"/>
  <c r="AP87" i="1"/>
  <c r="AQ87" i="1" s="1"/>
  <c r="AS87" i="1" s="1"/>
  <c r="AV86" i="1" a="1"/>
  <c r="AV86" i="1" s="1"/>
  <c r="AU86" i="1" a="1"/>
  <c r="AU86" i="1"/>
  <c r="AT86" i="1"/>
  <c r="AW86" i="1" s="1"/>
  <c r="AR86" i="1"/>
  <c r="AP86" i="1"/>
  <c r="AQ86" i="1" s="1"/>
  <c r="AS86" i="1" s="1"/>
  <c r="AV85" i="1" a="1"/>
  <c r="AV85" i="1"/>
  <c r="AU85" i="1" a="1"/>
  <c r="AU85" i="1"/>
  <c r="AT85" i="1"/>
  <c r="AW85" i="1" s="1"/>
  <c r="AR85" i="1"/>
  <c r="AP85" i="1"/>
  <c r="AQ85" i="1" s="1"/>
  <c r="AS85" i="1" s="1"/>
  <c r="AV84" i="1" a="1"/>
  <c r="AV84" i="1" s="1"/>
  <c r="AU84" i="1" a="1"/>
  <c r="AU84" i="1" s="1"/>
  <c r="AT84" i="1"/>
  <c r="AW84" i="1" s="1"/>
  <c r="AR84" i="1"/>
  <c r="AP84" i="1"/>
  <c r="AQ84" i="1" s="1"/>
  <c r="AS84" i="1" s="1"/>
  <c r="AW83" i="1"/>
  <c r="AV83" i="1" a="1"/>
  <c r="AV83" i="1" s="1"/>
  <c r="AU83" i="1" a="1"/>
  <c r="AU83" i="1"/>
  <c r="AT83" i="1"/>
  <c r="AR83" i="1"/>
  <c r="AP83" i="1"/>
  <c r="AQ83" i="1" s="1"/>
  <c r="AS83" i="1" s="1"/>
  <c r="AV82" i="1" a="1"/>
  <c r="AV82" i="1"/>
  <c r="AU82" i="1" a="1"/>
  <c r="AU82" i="1"/>
  <c r="AT82" i="1"/>
  <c r="AW82" i="1" s="1"/>
  <c r="AR82" i="1"/>
  <c r="AP82" i="1"/>
  <c r="AQ82" i="1" s="1"/>
  <c r="AS82" i="1" s="1"/>
  <c r="AV81" i="1" a="1"/>
  <c r="AV81" i="1"/>
  <c r="AU81" i="1" a="1"/>
  <c r="AU81" i="1" s="1"/>
  <c r="AT81" i="1"/>
  <c r="AW81" i="1" s="1"/>
  <c r="AR81" i="1"/>
  <c r="AP81" i="1"/>
  <c r="AQ81" i="1" s="1"/>
  <c r="AS81" i="1" s="1"/>
  <c r="AV80" i="1" a="1"/>
  <c r="AV80" i="1" s="1"/>
  <c r="AU80" i="1" a="1"/>
  <c r="AU80" i="1" s="1"/>
  <c r="AT80" i="1"/>
  <c r="AR80" i="1"/>
  <c r="AP80" i="1"/>
  <c r="AQ80" i="1" s="1"/>
  <c r="AS80" i="1" s="1"/>
  <c r="AV79" i="1" a="1"/>
  <c r="AV79" i="1" s="1"/>
  <c r="AU79" i="1" a="1"/>
  <c r="AU79" i="1"/>
  <c r="AT79" i="1"/>
  <c r="AW79" i="1" s="1"/>
  <c r="AR79" i="1"/>
  <c r="AP79" i="1"/>
  <c r="AQ79" i="1" s="1"/>
  <c r="AS79" i="1" s="1"/>
  <c r="AV78" i="1" a="1"/>
  <c r="AV78" i="1" s="1"/>
  <c r="AU78" i="1" a="1"/>
  <c r="AU78" i="1" s="1"/>
  <c r="AT78" i="1"/>
  <c r="AW78" i="1" s="1"/>
  <c r="AR78" i="1"/>
  <c r="AP78" i="1"/>
  <c r="AQ78" i="1" s="1"/>
  <c r="AS78" i="1" s="1"/>
  <c r="AV77" i="1" a="1"/>
  <c r="AV77" i="1" s="1"/>
  <c r="AU77" i="1" a="1"/>
  <c r="AU77" i="1" s="1"/>
  <c r="AT77" i="1"/>
  <c r="AW77" i="1" s="1"/>
  <c r="AS77" i="1"/>
  <c r="AR77" i="1"/>
  <c r="AQ77" i="1"/>
  <c r="AP77" i="1"/>
  <c r="AV76" i="1" a="1"/>
  <c r="AV76" i="1" s="1"/>
  <c r="AU76" i="1" a="1"/>
  <c r="AU76" i="1" s="1"/>
  <c r="AT76" i="1"/>
  <c r="AW76" i="1" s="1"/>
  <c r="AR76" i="1"/>
  <c r="AP76" i="1"/>
  <c r="AQ76" i="1" s="1"/>
  <c r="AS76" i="1" s="1"/>
  <c r="AV75" i="1" a="1"/>
  <c r="AV75" i="1"/>
  <c r="AU75" i="1" a="1"/>
  <c r="AU75" i="1"/>
  <c r="AT75" i="1"/>
  <c r="AW75" i="1" s="1"/>
  <c r="AR75" i="1"/>
  <c r="AP75" i="1"/>
  <c r="AQ75" i="1" s="1"/>
  <c r="AS75" i="1" s="1"/>
  <c r="AV74" i="1" a="1"/>
  <c r="AV74" i="1" s="1"/>
  <c r="AU74" i="1" a="1"/>
  <c r="AU74" i="1" s="1"/>
  <c r="AT74" i="1"/>
  <c r="AW74" i="1" s="1"/>
  <c r="AR74" i="1"/>
  <c r="AP74" i="1"/>
  <c r="AQ74" i="1" s="1"/>
  <c r="AS74" i="1" s="1"/>
  <c r="AV73" i="1" a="1"/>
  <c r="AV73" i="1"/>
  <c r="AU73" i="1" a="1"/>
  <c r="AU73" i="1" s="1"/>
  <c r="AW73" i="1" s="1"/>
  <c r="AT73" i="1"/>
  <c r="AR73" i="1"/>
  <c r="AP73" i="1"/>
  <c r="AQ73" i="1" s="1"/>
  <c r="AS73" i="1" s="1"/>
  <c r="AV72" i="1" a="1"/>
  <c r="AV72" i="1"/>
  <c r="AU72" i="1" a="1"/>
  <c r="AU72" i="1" s="1"/>
  <c r="AT72" i="1"/>
  <c r="AW72" i="1" s="1"/>
  <c r="AR72" i="1"/>
  <c r="AP72" i="1"/>
  <c r="AQ72" i="1" s="1"/>
  <c r="AS72" i="1" s="1"/>
  <c r="AV71" i="1" a="1"/>
  <c r="AV71" i="1" s="1"/>
  <c r="AU71" i="1" a="1"/>
  <c r="AU71" i="1" s="1"/>
  <c r="AT71" i="1"/>
  <c r="AW71" i="1" s="1"/>
  <c r="AR71" i="1"/>
  <c r="AP71" i="1"/>
  <c r="AQ71" i="1" s="1"/>
  <c r="AS71" i="1" s="1"/>
  <c r="AV70" i="1" a="1"/>
  <c r="AV70" i="1"/>
  <c r="AU70" i="1" a="1"/>
  <c r="AU70" i="1" s="1"/>
  <c r="AW70" i="1" s="1"/>
  <c r="AT70" i="1"/>
  <c r="AR70" i="1"/>
  <c r="AP70" i="1"/>
  <c r="AQ70" i="1" s="1"/>
  <c r="AS70" i="1" s="1"/>
  <c r="AV69" i="1" a="1"/>
  <c r="AV69" i="1"/>
  <c r="AU69" i="1" a="1"/>
  <c r="AU69" i="1"/>
  <c r="AT69" i="1"/>
  <c r="AW69" i="1" s="1"/>
  <c r="AR69" i="1"/>
  <c r="AQ69" i="1"/>
  <c r="AS69" i="1" s="1"/>
  <c r="AP69" i="1"/>
  <c r="AV68" i="1" a="1"/>
  <c r="AV68" i="1" s="1"/>
  <c r="AU68" i="1" a="1"/>
  <c r="AU68" i="1" s="1"/>
  <c r="AT68" i="1"/>
  <c r="AR68" i="1"/>
  <c r="AP68" i="1"/>
  <c r="AQ68" i="1" s="1"/>
  <c r="AS68" i="1" s="1"/>
  <c r="AV67" i="1" a="1"/>
  <c r="AV67" i="1" s="1"/>
  <c r="AU67" i="1" a="1"/>
  <c r="AU67" i="1" s="1"/>
  <c r="AW67" i="1" s="1"/>
  <c r="AT67" i="1"/>
  <c r="AR67" i="1"/>
  <c r="AP67" i="1"/>
  <c r="AQ67" i="1" s="1"/>
  <c r="AS67" i="1" s="1"/>
  <c r="AV66" i="1" a="1"/>
  <c r="AV66" i="1"/>
  <c r="AU66" i="1" a="1"/>
  <c r="AU66" i="1"/>
  <c r="AT66" i="1"/>
  <c r="AW66" i="1" s="1"/>
  <c r="AR66" i="1"/>
  <c r="AP66" i="1"/>
  <c r="AQ66" i="1" s="1"/>
  <c r="AS66" i="1" s="1"/>
  <c r="AV65" i="1" a="1"/>
  <c r="AV65" i="1" s="1"/>
  <c r="AU65" i="1" a="1"/>
  <c r="AU65" i="1" s="1"/>
  <c r="AT65" i="1"/>
  <c r="AR65" i="1"/>
  <c r="AP65" i="1"/>
  <c r="AQ65" i="1" s="1"/>
  <c r="AS65" i="1" s="1"/>
  <c r="AV64" i="1" a="1"/>
  <c r="AV64" i="1" s="1"/>
  <c r="AU64" i="1" a="1"/>
  <c r="AU64" i="1" s="1"/>
  <c r="AW64" i="1" s="1"/>
  <c r="AT64" i="1"/>
  <c r="AR64" i="1"/>
  <c r="AP64" i="1"/>
  <c r="AQ64" i="1" s="1"/>
  <c r="AS64" i="1" s="1"/>
  <c r="AV63" i="1" a="1"/>
  <c r="AV63" i="1" s="1"/>
  <c r="AU63" i="1" a="1"/>
  <c r="AU63" i="1"/>
  <c r="AT63" i="1"/>
  <c r="AW63" i="1" s="1"/>
  <c r="AR63" i="1"/>
  <c r="AP63" i="1"/>
  <c r="AQ63" i="1" s="1"/>
  <c r="AS63" i="1" s="1"/>
  <c r="AV62" i="1" a="1"/>
  <c r="AV62" i="1"/>
  <c r="AU62" i="1" a="1"/>
  <c r="AU62" i="1" s="1"/>
  <c r="AT62" i="1"/>
  <c r="AW62" i="1" s="1"/>
  <c r="AR62" i="1"/>
  <c r="AP62" i="1"/>
  <c r="AQ62" i="1" s="1"/>
  <c r="AS62" i="1" s="1"/>
  <c r="AV61" i="1" a="1"/>
  <c r="AV61" i="1" s="1"/>
  <c r="AU61" i="1" a="1"/>
  <c r="AU61" i="1" s="1"/>
  <c r="AT61" i="1"/>
  <c r="AW61" i="1" s="1"/>
  <c r="AR61" i="1"/>
  <c r="AS61" i="1" s="1"/>
  <c r="AQ61" i="1"/>
  <c r="AP61" i="1"/>
  <c r="AV60" i="1" a="1"/>
  <c r="AV60" i="1" s="1"/>
  <c r="AU60" i="1" a="1"/>
  <c r="AU60" i="1" s="1"/>
  <c r="AW60" i="1" s="1"/>
  <c r="AT60" i="1"/>
  <c r="AR60" i="1"/>
  <c r="AP60" i="1"/>
  <c r="AQ60" i="1" s="1"/>
  <c r="AS60" i="1" s="1"/>
  <c r="AV59" i="1" a="1"/>
  <c r="AV59" i="1" s="1"/>
  <c r="AU59" i="1" a="1"/>
  <c r="AU59" i="1" s="1"/>
  <c r="AT59" i="1"/>
  <c r="AW59" i="1" s="1"/>
  <c r="AR59" i="1"/>
  <c r="AP59" i="1"/>
  <c r="AQ59" i="1" s="1"/>
  <c r="AS59" i="1" s="1"/>
  <c r="AV58" i="1" a="1"/>
  <c r="AV58" i="1" s="1"/>
  <c r="AU58" i="1" a="1"/>
  <c r="AU58" i="1" s="1"/>
  <c r="AT58" i="1"/>
  <c r="AW58" i="1" s="1"/>
  <c r="AR58" i="1"/>
  <c r="AQ58" i="1"/>
  <c r="AS58" i="1" s="1"/>
  <c r="AP58" i="1"/>
  <c r="AV57" i="1" a="1"/>
  <c r="AV57" i="1" s="1"/>
  <c r="AU57" i="1" a="1"/>
  <c r="AU57" i="1" s="1"/>
  <c r="AW57" i="1" s="1"/>
  <c r="AT57" i="1"/>
  <c r="AR57" i="1"/>
  <c r="AP57" i="1"/>
  <c r="AQ57" i="1" s="1"/>
  <c r="AS57" i="1" s="1"/>
  <c r="AV56" i="1" a="1"/>
  <c r="AV56" i="1"/>
  <c r="AU56" i="1" a="1"/>
  <c r="AU56" i="1"/>
  <c r="AT56" i="1"/>
  <c r="AW56" i="1" s="1"/>
  <c r="AR56" i="1"/>
  <c r="AP56" i="1"/>
  <c r="AQ56" i="1" s="1"/>
  <c r="AS56" i="1" s="1"/>
  <c r="AV55" i="1" a="1"/>
  <c r="AV55" i="1" s="1"/>
  <c r="AU55" i="1" a="1"/>
  <c r="AU55" i="1" s="1"/>
  <c r="AT55" i="1"/>
  <c r="AW55" i="1" s="1"/>
  <c r="AR55" i="1"/>
  <c r="AP55" i="1"/>
  <c r="AQ55" i="1" s="1"/>
  <c r="AS55" i="1" s="1"/>
  <c r="AV54" i="1" a="1"/>
  <c r="AV54" i="1" s="1"/>
  <c r="AU54" i="1" a="1"/>
  <c r="AU54" i="1"/>
  <c r="AT54" i="1"/>
  <c r="AW54" i="1" s="1"/>
  <c r="AR54" i="1"/>
  <c r="AP54" i="1"/>
  <c r="AQ54" i="1" s="1"/>
  <c r="AS54" i="1" s="1"/>
  <c r="AV53" i="1" a="1"/>
  <c r="AV53" i="1"/>
  <c r="AU53" i="1" a="1"/>
  <c r="AU53" i="1"/>
  <c r="AT53" i="1"/>
  <c r="AW53" i="1" s="1"/>
  <c r="AR53" i="1"/>
  <c r="AP53" i="1"/>
  <c r="AQ53" i="1" s="1"/>
  <c r="AS53" i="1" s="1"/>
  <c r="AV52" i="1" a="1"/>
  <c r="AV52" i="1" s="1"/>
  <c r="AU52" i="1" a="1"/>
  <c r="AU52" i="1" s="1"/>
  <c r="AT52" i="1"/>
  <c r="AW52" i="1" s="1"/>
  <c r="AR52" i="1"/>
  <c r="AP52" i="1"/>
  <c r="AQ52" i="1" s="1"/>
  <c r="AS52" i="1" s="1"/>
  <c r="AV51" i="1" a="1"/>
  <c r="AV51" i="1" s="1"/>
  <c r="AU51" i="1" a="1"/>
  <c r="AU51" i="1" s="1"/>
  <c r="AW51" i="1" s="1"/>
  <c r="AT51" i="1"/>
  <c r="AR51" i="1"/>
  <c r="AP51" i="1"/>
  <c r="AQ51" i="1" s="1"/>
  <c r="AS51" i="1" s="1"/>
  <c r="AV50" i="1" a="1"/>
  <c r="AV50" i="1"/>
  <c r="AU50" i="1" a="1"/>
  <c r="AU50" i="1"/>
  <c r="AT50" i="1"/>
  <c r="AW50" i="1" s="1"/>
  <c r="AR50" i="1"/>
  <c r="AP50" i="1"/>
  <c r="AQ50" i="1" s="1"/>
  <c r="AS50" i="1" s="1"/>
  <c r="AV49" i="1" a="1"/>
  <c r="AV49" i="1" s="1"/>
  <c r="AU49" i="1" a="1"/>
  <c r="AU49" i="1" s="1"/>
  <c r="AT49" i="1"/>
  <c r="AW49" i="1" s="1"/>
  <c r="AR49" i="1"/>
  <c r="AP49" i="1"/>
  <c r="AQ49" i="1" s="1"/>
  <c r="AS49" i="1" s="1"/>
  <c r="AV48" i="1" a="1"/>
  <c r="AV48" i="1"/>
  <c r="AU48" i="1" a="1"/>
  <c r="AU48" i="1" s="1"/>
  <c r="AT48" i="1"/>
  <c r="AW48" i="1" s="1"/>
  <c r="AR48" i="1"/>
  <c r="AP48" i="1"/>
  <c r="AQ48" i="1" s="1"/>
  <c r="AS48" i="1" s="1"/>
  <c r="AV47" i="1" a="1"/>
  <c r="AV47" i="1" s="1"/>
  <c r="AU47" i="1" a="1"/>
  <c r="AU47" i="1"/>
  <c r="AT47" i="1"/>
  <c r="AW47" i="1" s="1"/>
  <c r="AR47" i="1"/>
  <c r="AP47" i="1"/>
  <c r="AQ47" i="1" s="1"/>
  <c r="AS47" i="1" s="1"/>
  <c r="AV46" i="1" a="1"/>
  <c r="AV46" i="1"/>
  <c r="AU46" i="1" a="1"/>
  <c r="AU46" i="1" s="1"/>
  <c r="AT46" i="1"/>
  <c r="AW46" i="1" s="1"/>
  <c r="AR46" i="1"/>
  <c r="AP46" i="1"/>
  <c r="AQ46" i="1" s="1"/>
  <c r="AS46" i="1" s="1"/>
  <c r="AV45" i="1" a="1"/>
  <c r="AV45" i="1" s="1"/>
  <c r="AU45" i="1" a="1"/>
  <c r="AU45" i="1" s="1"/>
  <c r="AT45" i="1"/>
  <c r="AW45" i="1" s="1"/>
  <c r="AS45" i="1"/>
  <c r="AR45" i="1"/>
  <c r="AQ45" i="1"/>
  <c r="AP45" i="1"/>
  <c r="AV44" i="1" a="1"/>
  <c r="AV44" i="1" s="1"/>
  <c r="AU44" i="1" a="1"/>
  <c r="AU44" i="1" s="1"/>
  <c r="AT44" i="1"/>
  <c r="AW44" i="1" s="1"/>
  <c r="AR44" i="1"/>
  <c r="AP44" i="1"/>
  <c r="AQ44" i="1" s="1"/>
  <c r="AS44" i="1" s="1"/>
  <c r="AV43" i="1" a="1"/>
  <c r="AV43" i="1"/>
  <c r="AU43" i="1" a="1"/>
  <c r="AU43" i="1"/>
  <c r="AT43" i="1"/>
  <c r="AW43" i="1" s="1"/>
  <c r="AR43" i="1"/>
  <c r="AP43" i="1"/>
  <c r="AQ43" i="1" s="1"/>
  <c r="AS43" i="1" s="1"/>
  <c r="AV42" i="1" a="1"/>
  <c r="AV42" i="1" s="1"/>
  <c r="AU42" i="1" a="1"/>
  <c r="AU42" i="1" s="1"/>
  <c r="AT42" i="1"/>
  <c r="AW42" i="1" s="1"/>
  <c r="AR42" i="1"/>
  <c r="AP42" i="1"/>
  <c r="AQ42" i="1" s="1"/>
  <c r="AS42" i="1" s="1"/>
  <c r="AV41" i="1" a="1"/>
  <c r="AV41" i="1"/>
  <c r="AU41" i="1" a="1"/>
  <c r="AU41" i="1" s="1"/>
  <c r="AW41" i="1" s="1"/>
  <c r="AT41" i="1"/>
  <c r="AR41" i="1"/>
  <c r="AP41" i="1"/>
  <c r="AQ41" i="1" s="1"/>
  <c r="AS41" i="1" s="1"/>
  <c r="AV40" i="1" a="1"/>
  <c r="AV40" i="1"/>
  <c r="AU40" i="1" a="1"/>
  <c r="AU40" i="1"/>
  <c r="AT40" i="1"/>
  <c r="AW40" i="1" s="1"/>
  <c r="AR40" i="1"/>
  <c r="AP40" i="1"/>
  <c r="AQ40" i="1" s="1"/>
  <c r="AS40" i="1" s="1"/>
  <c r="AV39" i="1" a="1"/>
  <c r="AV39" i="1" s="1"/>
  <c r="AU39" i="1" a="1"/>
  <c r="AU39" i="1" s="1"/>
  <c r="AT39" i="1"/>
  <c r="AW39" i="1" s="1"/>
  <c r="AR39" i="1"/>
  <c r="AP39" i="1"/>
  <c r="AQ39" i="1" s="1"/>
  <c r="AS39" i="1" s="1"/>
  <c r="AV38" i="1" a="1"/>
  <c r="AV38" i="1" s="1"/>
  <c r="AU38" i="1" a="1"/>
  <c r="AU38" i="1" s="1"/>
  <c r="AW38" i="1" s="1"/>
  <c r="AT38" i="1"/>
  <c r="AR38" i="1"/>
  <c r="AP38" i="1"/>
  <c r="AQ38" i="1" s="1"/>
  <c r="AS38" i="1" s="1"/>
  <c r="AV37" i="1" a="1"/>
  <c r="AV37" i="1"/>
  <c r="AU37" i="1" a="1"/>
  <c r="AU37" i="1"/>
  <c r="AT37" i="1"/>
  <c r="AW37" i="1" s="1"/>
  <c r="AR37" i="1"/>
  <c r="AP37" i="1"/>
  <c r="AQ37" i="1" s="1"/>
  <c r="AS37" i="1" s="1"/>
  <c r="AV36" i="1" a="1"/>
  <c r="AV36" i="1" s="1"/>
  <c r="AU36" i="1" a="1"/>
  <c r="AU36" i="1" s="1"/>
  <c r="AT36" i="1"/>
  <c r="AW36" i="1" s="1"/>
  <c r="AR36" i="1"/>
  <c r="AP36" i="1"/>
  <c r="AQ36" i="1" s="1"/>
  <c r="AS36" i="1" s="1"/>
  <c r="AV35" i="1" a="1"/>
  <c r="AV35" i="1" s="1"/>
  <c r="AU35" i="1" a="1"/>
  <c r="AU35" i="1" s="1"/>
  <c r="AW35" i="1" s="1"/>
  <c r="AT35" i="1"/>
  <c r="AR35" i="1"/>
  <c r="AP35" i="1"/>
  <c r="AQ35" i="1" s="1"/>
  <c r="AS35" i="1" s="1"/>
  <c r="AV34" i="1" a="1"/>
  <c r="AV34" i="1"/>
  <c r="AU34" i="1" a="1"/>
  <c r="AU34" i="1"/>
  <c r="AT34" i="1"/>
  <c r="AW34" i="1" s="1"/>
  <c r="AR34" i="1"/>
  <c r="AP34" i="1"/>
  <c r="AQ34" i="1" s="1"/>
  <c r="AS34" i="1" s="1"/>
  <c r="AV33" i="1" a="1"/>
  <c r="AV33" i="1" s="1"/>
  <c r="AU33" i="1" a="1"/>
  <c r="AU33" i="1" s="1"/>
  <c r="AT33" i="1"/>
  <c r="AW33" i="1" s="1"/>
  <c r="AR33" i="1"/>
  <c r="AP33" i="1"/>
  <c r="AQ33" i="1" s="1"/>
  <c r="AS33" i="1" s="1"/>
  <c r="AV32" i="1" a="1"/>
  <c r="AV32" i="1" s="1"/>
  <c r="AU32" i="1" a="1"/>
  <c r="AU32" i="1" s="1"/>
  <c r="AW32" i="1" s="1"/>
  <c r="AT32" i="1"/>
  <c r="AR32" i="1"/>
  <c r="AP32" i="1"/>
  <c r="AQ32" i="1" s="1"/>
  <c r="AS32" i="1" s="1"/>
  <c r="AV31" i="1" a="1"/>
  <c r="AV31" i="1" s="1"/>
  <c r="AU31" i="1" a="1"/>
  <c r="AU31" i="1"/>
  <c r="AT31" i="1"/>
  <c r="AW31" i="1" s="1"/>
  <c r="AR31" i="1"/>
  <c r="AP31" i="1"/>
  <c r="AQ31" i="1" s="1"/>
  <c r="AS31" i="1" s="1"/>
  <c r="AV30" i="1" a="1"/>
  <c r="AV30" i="1"/>
  <c r="AU30" i="1" a="1"/>
  <c r="AU30" i="1" s="1"/>
  <c r="AT30" i="1"/>
  <c r="AW30" i="1" s="1"/>
  <c r="AR30" i="1"/>
  <c r="AP30" i="1"/>
  <c r="AQ30" i="1" s="1"/>
  <c r="AS30" i="1" s="1"/>
  <c r="AV29" i="1" a="1"/>
  <c r="AV29" i="1" s="1"/>
  <c r="AU29" i="1" a="1"/>
  <c r="AU29" i="1"/>
  <c r="AT29" i="1"/>
  <c r="AW29" i="1" s="1"/>
  <c r="AR29" i="1"/>
  <c r="AS29" i="1" s="1"/>
  <c r="AQ29" i="1"/>
  <c r="AP29" i="1"/>
  <c r="AV28" i="1" a="1"/>
  <c r="AV28" i="1" s="1"/>
  <c r="AU28" i="1" a="1"/>
  <c r="AU28" i="1" s="1"/>
  <c r="AW28" i="1" s="1"/>
  <c r="AT28" i="1"/>
  <c r="AR28" i="1"/>
  <c r="AP28" i="1"/>
  <c r="AQ28" i="1" s="1"/>
  <c r="AS28" i="1" s="1"/>
  <c r="AV27" i="1" a="1"/>
  <c r="AV27" i="1"/>
  <c r="AU27" i="1" a="1"/>
  <c r="AU27" i="1"/>
  <c r="AT27" i="1"/>
  <c r="AW27" i="1" s="1"/>
  <c r="AR27" i="1"/>
  <c r="AP27" i="1"/>
  <c r="AQ27" i="1" s="1"/>
  <c r="AS27" i="1" s="1"/>
  <c r="AV26" i="1" a="1"/>
  <c r="AV26" i="1" s="1"/>
  <c r="AU26" i="1" a="1"/>
  <c r="AU26" i="1" s="1"/>
  <c r="AT26" i="1"/>
  <c r="AW26" i="1" s="1"/>
  <c r="AR26" i="1"/>
  <c r="AQ26" i="1"/>
  <c r="AS26" i="1" s="1"/>
  <c r="AP26" i="1"/>
  <c r="AV25" i="1" a="1"/>
  <c r="AV25" i="1" s="1"/>
  <c r="AU25" i="1" a="1"/>
  <c r="AU25" i="1" s="1"/>
  <c r="AW25" i="1" s="1"/>
  <c r="AT25" i="1"/>
  <c r="AR25" i="1"/>
  <c r="AP25" i="1"/>
  <c r="AQ25" i="1" s="1"/>
  <c r="AS25" i="1" s="1"/>
  <c r="AV24" i="1" a="1"/>
  <c r="AV24" i="1"/>
  <c r="AU24" i="1" a="1"/>
  <c r="AU24" i="1"/>
  <c r="AT24" i="1"/>
  <c r="AW24" i="1" s="1"/>
  <c r="AR24" i="1"/>
  <c r="AP24" i="1"/>
  <c r="AQ24" i="1" s="1"/>
  <c r="AS24" i="1" s="1"/>
  <c r="AV23" i="1" a="1"/>
  <c r="AV23" i="1" s="1"/>
  <c r="AU23" i="1" a="1"/>
  <c r="AU23" i="1" s="1"/>
  <c r="AT23" i="1"/>
  <c r="AR23" i="1"/>
  <c r="AP23" i="1"/>
  <c r="AQ23" i="1" s="1"/>
  <c r="AS23" i="1" s="1"/>
  <c r="AV22" i="1" a="1"/>
  <c r="AV22" i="1" s="1"/>
  <c r="AU22" i="1" a="1"/>
  <c r="AU22" i="1"/>
  <c r="AT22" i="1"/>
  <c r="AW22" i="1" s="1"/>
  <c r="AR22" i="1"/>
  <c r="AP22" i="1"/>
  <c r="AQ22" i="1" s="1"/>
  <c r="AS22" i="1" s="1"/>
  <c r="AV21" i="1" a="1"/>
  <c r="AV21" i="1"/>
  <c r="AU21" i="1" a="1"/>
  <c r="AU21" i="1"/>
  <c r="AT21" i="1"/>
  <c r="AW21" i="1" s="1"/>
  <c r="AR21" i="1"/>
  <c r="AP21" i="1"/>
  <c r="AQ21" i="1" s="1"/>
  <c r="AS21" i="1" s="1"/>
  <c r="AV20" i="1" a="1"/>
  <c r="AV20" i="1" s="1"/>
  <c r="AU20" i="1" a="1"/>
  <c r="AU20" i="1" s="1"/>
  <c r="AT20" i="1"/>
  <c r="AW20" i="1" s="1"/>
  <c r="AR20" i="1"/>
  <c r="AP20" i="1"/>
  <c r="AQ20" i="1" s="1"/>
  <c r="AS20" i="1" s="1"/>
  <c r="AV19" i="1" a="1"/>
  <c r="AV19" i="1" s="1"/>
  <c r="AU19" i="1" a="1"/>
  <c r="AU19" i="1" s="1"/>
  <c r="AW19" i="1" s="1"/>
  <c r="AT19" i="1"/>
  <c r="AR19" i="1"/>
  <c r="AP19" i="1"/>
  <c r="AQ19" i="1" s="1"/>
  <c r="AS19" i="1" s="1"/>
  <c r="AV18" i="1" a="1"/>
  <c r="AV18" i="1"/>
  <c r="AU18" i="1" a="1"/>
  <c r="AU18" i="1"/>
  <c r="AT18" i="1"/>
  <c r="AW18" i="1" s="1"/>
  <c r="AR18" i="1"/>
  <c r="AP18" i="1"/>
  <c r="AQ18" i="1" s="1"/>
  <c r="AS18" i="1" s="1"/>
  <c r="AV17" i="1" a="1"/>
  <c r="AV17" i="1" s="1"/>
  <c r="AU17" i="1" a="1"/>
  <c r="AU17" i="1" s="1"/>
  <c r="AT17" i="1"/>
  <c r="AW17" i="1" s="1"/>
  <c r="AR17" i="1"/>
  <c r="AP17" i="1"/>
  <c r="AQ17" i="1" s="1"/>
  <c r="AS17" i="1" s="1"/>
  <c r="AV16" i="1" a="1"/>
  <c r="AV16" i="1"/>
  <c r="AU16" i="1" a="1"/>
  <c r="AU16" i="1" s="1"/>
  <c r="AT16" i="1"/>
  <c r="AW16" i="1" s="1"/>
  <c r="AR16" i="1"/>
  <c r="AP16" i="1"/>
  <c r="AQ16" i="1" s="1"/>
  <c r="AS16" i="1" s="1"/>
  <c r="AV15" i="1" a="1"/>
  <c r="AV15" i="1" s="1"/>
  <c r="AU15" i="1" a="1"/>
  <c r="AU15" i="1"/>
  <c r="AT15" i="1"/>
  <c r="AW15" i="1" s="1"/>
  <c r="AR15" i="1"/>
  <c r="AP15" i="1"/>
  <c r="AQ15" i="1" s="1"/>
  <c r="AS15" i="1" s="1"/>
  <c r="AV14" i="1" a="1"/>
  <c r="AV14" i="1"/>
  <c r="AU14" i="1" a="1"/>
  <c r="AU14" i="1" s="1"/>
  <c r="AT14" i="1"/>
  <c r="AW14" i="1" s="1"/>
  <c r="AR14" i="1"/>
  <c r="AP14" i="1"/>
  <c r="AQ14" i="1" s="1"/>
  <c r="AS14" i="1" s="1"/>
  <c r="AV13" i="1" a="1"/>
  <c r="AV13" i="1" s="1"/>
  <c r="AU13" i="1" a="1"/>
  <c r="AU13" i="1" s="1"/>
  <c r="AT13" i="1"/>
  <c r="AW13" i="1" s="1"/>
  <c r="AS13" i="1"/>
  <c r="AR13" i="1"/>
  <c r="AQ13" i="1"/>
  <c r="AP13" i="1"/>
  <c r="AV12" i="1" a="1"/>
  <c r="AV12" i="1" s="1"/>
  <c r="AU12" i="1" a="1"/>
  <c r="AU12" i="1" s="1"/>
  <c r="AT12" i="1"/>
  <c r="AW12" i="1" s="1"/>
  <c r="AR12" i="1"/>
  <c r="AP12" i="1"/>
  <c r="AQ12" i="1" s="1"/>
  <c r="AS12" i="1" s="1"/>
  <c r="AV11" i="1" a="1"/>
  <c r="AV11" i="1" s="1"/>
  <c r="AU11" i="1" a="1"/>
  <c r="AU11" i="1"/>
  <c r="AT11" i="1"/>
  <c r="AW11" i="1" s="1"/>
  <c r="AR11" i="1"/>
  <c r="AP11" i="1"/>
  <c r="AQ11" i="1" s="1"/>
  <c r="AS11" i="1" s="1"/>
  <c r="AV10" i="1" a="1"/>
  <c r="AV10" i="1" s="1"/>
  <c r="AU10" i="1" a="1"/>
  <c r="AU10" i="1" s="1"/>
  <c r="AT10" i="1"/>
  <c r="AW10" i="1" s="1"/>
  <c r="AR10" i="1"/>
  <c r="AP10" i="1"/>
  <c r="AQ10" i="1" s="1"/>
  <c r="AS10" i="1" s="1"/>
  <c r="AV9" i="1" a="1"/>
  <c r="AV9" i="1"/>
  <c r="AU9" i="1" a="1"/>
  <c r="AU9" i="1" s="1"/>
  <c r="AW9" i="1" s="1"/>
  <c r="AT9" i="1"/>
  <c r="AR9" i="1"/>
  <c r="AP9" i="1"/>
  <c r="AQ9" i="1" s="1"/>
  <c r="AS9" i="1" s="1"/>
  <c r="AV8" i="1" a="1"/>
  <c r="AV8" i="1"/>
  <c r="AU8" i="1" a="1"/>
  <c r="AU8" i="1"/>
  <c r="AT8" i="1"/>
  <c r="AW8" i="1" s="1"/>
  <c r="AR8" i="1"/>
  <c r="AP8" i="1"/>
  <c r="AQ8" i="1" s="1"/>
  <c r="AS8" i="1" s="1"/>
  <c r="AV7" i="1" a="1"/>
  <c r="AV7" i="1" s="1"/>
  <c r="AU7" i="1" a="1"/>
  <c r="AU7" i="1" s="1"/>
  <c r="AT7" i="1"/>
  <c r="AW7" i="1" s="1"/>
  <c r="AR7" i="1"/>
  <c r="AP7" i="1"/>
  <c r="AQ7" i="1" s="1"/>
  <c r="AS7" i="1" s="1"/>
  <c r="AV6" i="1" a="1"/>
  <c r="AV6" i="1" s="1"/>
  <c r="AU6" i="1" a="1"/>
  <c r="AU6" i="1" s="1"/>
  <c r="AW6" i="1" s="1"/>
  <c r="AT6" i="1"/>
  <c r="AR6" i="1"/>
  <c r="AP6" i="1"/>
  <c r="AQ6" i="1" s="1"/>
  <c r="AS6" i="1" s="1"/>
  <c r="AV5" i="1" a="1"/>
  <c r="AV5" i="1"/>
  <c r="AU5" i="1" a="1"/>
  <c r="AU5" i="1"/>
  <c r="AT5" i="1"/>
  <c r="AW5" i="1" s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AP2" i="1" s="1"/>
  <c r="I2" i="1"/>
  <c r="D2" i="1"/>
  <c r="AW170" i="1" l="1"/>
  <c r="AW65" i="1"/>
  <c r="AW116" i="1"/>
  <c r="AW109" i="1"/>
  <c r="AW173" i="1"/>
  <c r="AW204" i="1"/>
  <c r="AW100" i="1"/>
  <c r="AW132" i="1"/>
  <c r="AW164" i="1"/>
  <c r="AW23" i="1"/>
  <c r="AW176" i="1"/>
  <c r="AW68" i="1"/>
  <c r="AW80" i="1"/>
  <c r="AW103" i="1"/>
  <c r="AW177" i="1"/>
</calcChain>
</file>

<file path=xl/sharedStrings.xml><?xml version="1.0" encoding="utf-8"?>
<sst xmlns="http://schemas.openxmlformats.org/spreadsheetml/2006/main" count="3539" uniqueCount="1271">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</sst>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5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sz val="12"/>
      <name val="Courier"/>
    </font>
    <font>
      <sz val="12"/>
      <color theme="1"/>
      <name val="Calibri"/>
      <family val="2"/>
      <scheme val="minor"/>
    </font>
    <font>
      <sz val="11"/>
      <color rgb="FFFF0000"/>
      <name val="Arial"/>
      <family val="2"/>
    </font>
    <font>
      <sz val="11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1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39" fillId="0" borderId="0"/>
    <xf numFmtId="0" fontId="27" fillId="0" borderId="0"/>
    <xf numFmtId="175" fontId="47" fillId="0" borderId="0"/>
    <xf numFmtId="0" fontId="27" fillId="0" borderId="0"/>
    <xf numFmtId="0" fontId="48" fillId="0" borderId="0"/>
    <xf numFmtId="44" fontId="25" fillId="0" borderId="0"/>
    <xf numFmtId="0" fontId="25" fillId="0" borderId="0"/>
  </cellStyleXfs>
  <cellXfs count="128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66" fontId="49" fillId="0" borderId="12" xfId="0" applyNumberFormat="1" applyFont="1" applyBorder="1" applyAlignment="1">
      <alignment horizontal="right" vertical="center"/>
    </xf>
    <xf numFmtId="166" fontId="50" fillId="0" borderId="12" xfId="0" applyNumberFormat="1" applyFont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11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Moneda 2" xfId="109" xr:uid="{00000000-0005-0000-0000-00006D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2 3" xfId="110" xr:uid="{00000000-0005-0000-0000-00006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2 5" xfId="104" xr:uid="{00000000-0005-0000-0000-000068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3 3" xfId="107" xr:uid="{00000000-0005-0000-0000-00006B000000}"/>
    <cellStyle name="Normal 3 4" xfId="105" xr:uid="{00000000-0005-0000-0000-000069000000}"/>
    <cellStyle name="Normal 4" xfId="62" xr:uid="{00000000-0005-0000-0000-00003E000000}"/>
    <cellStyle name="Normal 4 2" xfId="63" xr:uid="{00000000-0005-0000-0000-00003F000000}"/>
    <cellStyle name="Normal 4 3" xfId="106" xr:uid="{00000000-0005-0000-0000-00006A000000}"/>
    <cellStyle name="Normal 5" xfId="79" xr:uid="{00000000-0005-0000-0000-00004F000000}"/>
    <cellStyle name="Normal 5 2" xfId="99" xr:uid="{00000000-0005-0000-0000-000063000000}"/>
    <cellStyle name="Normal 5 3" xfId="108" xr:uid="{00000000-0005-0000-0000-00006C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rmal 9" xfId="103" xr:uid="{00000000-0005-0000-0000-000067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X208"/>
  <sheetViews>
    <sheetView tabSelected="1" topLeftCell="J1" zoomScale="96" zoomScaleNormal="96" workbookViewId="0">
      <selection activeCell="AB1" sqref="AB1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2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58.7109375" style="74" bestFit="1" customWidth="1"/>
    <col min="10" max="10" width="31" style="74" bestFit="1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88" width="32.42578125" style="74" customWidth="1"/>
    <col min="189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0</v>
      </c>
      <c r="B2" s="82" t="s">
        <v>1</v>
      </c>
      <c r="C2" s="83" t="s">
        <v>2</v>
      </c>
      <c r="D2" s="82" t="str">
        <f>VLOOKUP(E2,Minimos!AS1:AU13,2,FALSE)</f>
        <v>SEPTIEMBRE</v>
      </c>
      <c r="E2" s="82">
        <v>9</v>
      </c>
      <c r="F2" s="82" t="s">
        <v>3</v>
      </c>
      <c r="G2" s="82">
        <v>2026</v>
      </c>
      <c r="H2" s="72" t="s">
        <v>4</v>
      </c>
      <c r="I2" s="72">
        <f>VLOOKUP(E2,Minimos!AS1:AU13,3,FALSE)</f>
        <v>30</v>
      </c>
      <c r="J2" s="72" t="s">
        <v>5</v>
      </c>
      <c r="K2" s="89">
        <f t="shared" ref="K2:AO2" si="0">MIN(K5:K207)</f>
        <v>2</v>
      </c>
      <c r="L2" s="89">
        <f t="shared" si="0"/>
        <v>3</v>
      </c>
      <c r="M2" s="89">
        <f t="shared" si="0"/>
        <v>3.4</v>
      </c>
      <c r="N2" s="89">
        <f t="shared" si="0"/>
        <v>3.8</v>
      </c>
      <c r="O2" s="89">
        <f t="shared" si="0"/>
        <v>2.6</v>
      </c>
      <c r="P2" s="89">
        <f t="shared" si="0"/>
        <v>2.4</v>
      </c>
      <c r="Q2" s="89">
        <f t="shared" si="0"/>
        <v>2.2000000000000002</v>
      </c>
      <c r="R2" s="89">
        <f t="shared" si="0"/>
        <v>3</v>
      </c>
      <c r="S2" s="89">
        <f t="shared" si="0"/>
        <v>3</v>
      </c>
      <c r="T2" s="89">
        <f t="shared" si="0"/>
        <v>2.4</v>
      </c>
      <c r="U2" s="89">
        <f t="shared" si="0"/>
        <v>3.2</v>
      </c>
      <c r="V2" s="89">
        <f t="shared" si="0"/>
        <v>4</v>
      </c>
      <c r="W2" s="89">
        <f t="shared" si="0"/>
        <v>5</v>
      </c>
      <c r="X2" s="89">
        <f t="shared" si="0"/>
        <v>4.2</v>
      </c>
      <c r="Y2" s="89">
        <f t="shared" si="0"/>
        <v>2.8</v>
      </c>
      <c r="Z2" s="89">
        <f t="shared" si="0"/>
        <v>3.6</v>
      </c>
      <c r="AA2" s="89">
        <f t="shared" si="0"/>
        <v>1.2</v>
      </c>
      <c r="AB2" s="89">
        <f t="shared" si="0"/>
        <v>4.8</v>
      </c>
      <c r="AC2" s="89">
        <f t="shared" si="0"/>
        <v>3.8</v>
      </c>
      <c r="AD2" s="89">
        <f t="shared" si="0"/>
        <v>0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6</v>
      </c>
      <c r="B4" s="66" t="s">
        <v>7</v>
      </c>
      <c r="C4" s="66" t="s">
        <v>8</v>
      </c>
      <c r="D4" s="65" t="s">
        <v>9</v>
      </c>
      <c r="E4" s="65" t="s">
        <v>10</v>
      </c>
      <c r="F4" s="65" t="s">
        <v>11</v>
      </c>
      <c r="G4" s="66" t="s">
        <v>12</v>
      </c>
      <c r="H4" s="66" t="s">
        <v>13</v>
      </c>
      <c r="I4" s="66" t="s">
        <v>14</v>
      </c>
      <c r="J4" s="66" t="s">
        <v>15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16</v>
      </c>
      <c r="AQ4" s="69" t="s">
        <v>17</v>
      </c>
      <c r="AR4" s="69" t="s">
        <v>18</v>
      </c>
      <c r="AS4" s="70" t="s">
        <v>19</v>
      </c>
      <c r="AT4" s="70" t="s">
        <v>20</v>
      </c>
      <c r="AU4" s="71" t="s">
        <v>21</v>
      </c>
      <c r="AV4" s="71" t="s">
        <v>22</v>
      </c>
      <c r="AW4" s="66" t="s">
        <v>23</v>
      </c>
    </row>
    <row r="5" spans="1:49" ht="15" customHeight="1" x14ac:dyDescent="0.2">
      <c r="A5" s="46">
        <v>17015010</v>
      </c>
      <c r="B5" s="47" t="s">
        <v>24</v>
      </c>
      <c r="C5" s="52" t="s">
        <v>25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26</v>
      </c>
      <c r="J5" s="63" t="s">
        <v>27</v>
      </c>
      <c r="K5" s="51">
        <v>26.8</v>
      </c>
      <c r="L5" s="51">
        <v>26.5</v>
      </c>
      <c r="M5" s="51">
        <v>28</v>
      </c>
      <c r="N5" s="51">
        <v>27.6</v>
      </c>
      <c r="O5" s="51">
        <v>27.7</v>
      </c>
      <c r="P5" s="51">
        <v>27.4</v>
      </c>
      <c r="Q5" s="51">
        <v>27.4</v>
      </c>
      <c r="R5" s="51">
        <v>26.3</v>
      </c>
      <c r="S5" s="51">
        <v>28.2</v>
      </c>
      <c r="T5" s="51">
        <v>26.8</v>
      </c>
      <c r="U5" s="51">
        <v>28.2</v>
      </c>
      <c r="V5" s="51">
        <v>28.1</v>
      </c>
      <c r="W5" s="51">
        <v>27.6</v>
      </c>
      <c r="X5" s="51">
        <v>28.1</v>
      </c>
      <c r="Y5" s="51">
        <v>26</v>
      </c>
      <c r="Z5" s="111">
        <v>24.1</v>
      </c>
      <c r="AA5" s="111">
        <v>27.8</v>
      </c>
      <c r="AB5" s="51">
        <v>28.2</v>
      </c>
      <c r="AC5" s="116">
        <v>27.8</v>
      </c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19</v>
      </c>
      <c r="AQ5" s="89">
        <f t="shared" ref="AQ5:AQ68" si="2">IF(AP5&gt;14,AVERAGE(K5:AO5),"")</f>
        <v>27.294736842105266</v>
      </c>
      <c r="AR5" s="89">
        <f>IFERROR(VLOOKUP(A5,Climatologia!A:U,9+$E$2,FALSE),"")</f>
        <v>26.01813723632689</v>
      </c>
      <c r="AS5" s="89">
        <f t="shared" ref="AS5:AS68" si="3">IF(OR(AQ5="",AR5=""),"",IFERROR(AQ5-AR5,""))</f>
        <v>1.2765996057783759</v>
      </c>
      <c r="AT5" s="90">
        <f t="shared" ref="AT5:AT68" si="4">IF(COUNT(K5:AO5)=0,"",MIN(K5:AO5))</f>
        <v>24.1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21.2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31677</v>
      </c>
      <c r="AW5" s="92">
        <f t="shared" ref="AW5:AW68" si="5">IF(OR(AT5="",AU5=""),"NA",IFERROR(AT5-AU5,"NA"))</f>
        <v>2.9000000000000021</v>
      </c>
    </row>
    <row r="6" spans="1:49" ht="15" customHeight="1" x14ac:dyDescent="0.2">
      <c r="A6" s="46">
        <v>17025020</v>
      </c>
      <c r="B6" s="52" t="s">
        <v>28</v>
      </c>
      <c r="C6" s="52" t="s">
        <v>25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26</v>
      </c>
      <c r="J6" s="64" t="s">
        <v>29</v>
      </c>
      <c r="K6" s="51">
        <v>26.1</v>
      </c>
      <c r="L6" s="51">
        <v>27.4</v>
      </c>
      <c r="M6" s="51">
        <v>28.1</v>
      </c>
      <c r="N6" s="51">
        <v>27.6</v>
      </c>
      <c r="O6" s="51">
        <v>28.1</v>
      </c>
      <c r="P6" s="51">
        <v>26.4</v>
      </c>
      <c r="Q6" s="51">
        <v>27.8</v>
      </c>
      <c r="R6" s="51">
        <v>28.4</v>
      </c>
      <c r="S6" s="51">
        <v>28.8</v>
      </c>
      <c r="T6" s="51">
        <v>28.6</v>
      </c>
      <c r="U6" s="51">
        <v>26.8</v>
      </c>
      <c r="V6" s="51">
        <v>27.6</v>
      </c>
      <c r="W6" s="51">
        <v>28.8</v>
      </c>
      <c r="X6" s="51">
        <v>27.6</v>
      </c>
      <c r="Y6" s="51">
        <v>28.5</v>
      </c>
      <c r="Z6" s="111">
        <v>26.8</v>
      </c>
      <c r="AA6" s="111">
        <v>28.1</v>
      </c>
      <c r="AB6" s="51">
        <v>27.6</v>
      </c>
      <c r="AC6" s="51">
        <v>28.2</v>
      </c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19</v>
      </c>
      <c r="AQ6" s="89">
        <f t="shared" si="2"/>
        <v>27.752631578947376</v>
      </c>
      <c r="AR6" s="89">
        <f>IFERROR(VLOOKUP(A6,Climatologia!A:U,9+$E$2,FALSE),"")</f>
        <v>25.709567576944131</v>
      </c>
      <c r="AS6" s="89">
        <f t="shared" si="3"/>
        <v>2.0430640020032449</v>
      </c>
      <c r="AT6" s="90">
        <f t="shared" si="4"/>
        <v>26.1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22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31680</v>
      </c>
      <c r="AW6" s="92">
        <f t="shared" si="5"/>
        <v>4.1000000000000014</v>
      </c>
    </row>
    <row r="7" spans="1:49" ht="15" customHeight="1" x14ac:dyDescent="0.2">
      <c r="A7" s="46">
        <v>15015050</v>
      </c>
      <c r="B7" s="52" t="s">
        <v>30</v>
      </c>
      <c r="C7" s="52" t="s">
        <v>25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31</v>
      </c>
      <c r="J7" s="64" t="s">
        <v>32</v>
      </c>
      <c r="K7" s="51">
        <v>27.6</v>
      </c>
      <c r="L7" s="51">
        <v>25.8</v>
      </c>
      <c r="M7" s="51">
        <v>26.4</v>
      </c>
      <c r="N7" s="51">
        <v>26.2</v>
      </c>
      <c r="O7" s="51">
        <v>27</v>
      </c>
      <c r="P7" s="51">
        <v>26.2</v>
      </c>
      <c r="Q7" s="51">
        <v>26.2</v>
      </c>
      <c r="R7" s="51">
        <v>26.9</v>
      </c>
      <c r="S7" s="51">
        <v>27</v>
      </c>
      <c r="T7" s="51">
        <v>27.8</v>
      </c>
      <c r="U7" s="51">
        <v>26.8</v>
      </c>
      <c r="V7" s="51">
        <v>26.4</v>
      </c>
      <c r="W7" s="51">
        <v>27.2</v>
      </c>
      <c r="X7" s="51">
        <v>26.4</v>
      </c>
      <c r="Y7" s="51">
        <v>27.8</v>
      </c>
      <c r="Z7" s="111">
        <v>27.6</v>
      </c>
      <c r="AA7" s="111">
        <v>26.8</v>
      </c>
      <c r="AB7" s="51">
        <v>27</v>
      </c>
      <c r="AC7" s="51">
        <v>28.4</v>
      </c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19</v>
      </c>
      <c r="AQ7" s="89">
        <f t="shared" si="2"/>
        <v>26.921052631578945</v>
      </c>
      <c r="AR7" s="89">
        <f>IFERROR(VLOOKUP(A7,Climatologia!A:U,9+$E$2,FALSE),"")</f>
        <v>24.686654351395731</v>
      </c>
      <c r="AS7" s="89">
        <f t="shared" si="3"/>
        <v>2.2343982801832141</v>
      </c>
      <c r="AT7" s="90">
        <f t="shared" si="4"/>
        <v>25.8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21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36430</v>
      </c>
      <c r="AW7" s="92">
        <f t="shared" si="5"/>
        <v>4.8000000000000007</v>
      </c>
    </row>
    <row r="8" spans="1:49" ht="15" customHeight="1" x14ac:dyDescent="0.2">
      <c r="A8" s="46">
        <v>14015080</v>
      </c>
      <c r="B8" s="47" t="s">
        <v>33</v>
      </c>
      <c r="C8" s="52" t="s">
        <v>25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34</v>
      </c>
      <c r="J8" s="63" t="s">
        <v>35</v>
      </c>
      <c r="K8" s="51">
        <v>26.9</v>
      </c>
      <c r="L8" s="51">
        <v>26.4</v>
      </c>
      <c r="M8" s="51">
        <v>26.3</v>
      </c>
      <c r="N8" s="51">
        <v>26.9</v>
      </c>
      <c r="O8" s="51">
        <v>27.5</v>
      </c>
      <c r="P8" s="51">
        <v>27.7</v>
      </c>
      <c r="Q8" s="51">
        <v>25.4</v>
      </c>
      <c r="R8" s="51">
        <v>28.3</v>
      </c>
      <c r="S8" s="51">
        <v>27.5</v>
      </c>
      <c r="T8" s="51">
        <v>28.1</v>
      </c>
      <c r="U8" s="51">
        <v>28.8</v>
      </c>
      <c r="V8" s="51">
        <v>27.5</v>
      </c>
      <c r="W8" s="51">
        <v>26.7</v>
      </c>
      <c r="X8" s="51">
        <v>27.5</v>
      </c>
      <c r="Y8" s="51">
        <v>28</v>
      </c>
      <c r="Z8" s="111">
        <v>26.6</v>
      </c>
      <c r="AA8" s="111">
        <v>26.9</v>
      </c>
      <c r="AB8" s="51">
        <v>27.9</v>
      </c>
      <c r="AC8" s="51">
        <v>28.7</v>
      </c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19</v>
      </c>
      <c r="AQ8" s="89">
        <f t="shared" si="2"/>
        <v>27.347368421052632</v>
      </c>
      <c r="AR8" s="89">
        <f>IFERROR(VLOOKUP(A8,Climatologia!A:U,9+$E$2,FALSE),"")</f>
        <v>25.822663111099491</v>
      </c>
      <c r="AS8" s="89">
        <f t="shared" si="3"/>
        <v>1.5247053099531414</v>
      </c>
      <c r="AT8" s="90">
        <f t="shared" si="4"/>
        <v>25.4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21.6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30955</v>
      </c>
      <c r="AW8" s="92">
        <f t="shared" si="5"/>
        <v>3.7999999999999972</v>
      </c>
    </row>
    <row r="9" spans="1:49" ht="15" customHeight="1" x14ac:dyDescent="0.2">
      <c r="A9" s="46">
        <v>29045190</v>
      </c>
      <c r="B9" s="47" t="s">
        <v>36</v>
      </c>
      <c r="C9" s="52" t="s">
        <v>25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37</v>
      </c>
      <c r="J9" s="63" t="s">
        <v>38</v>
      </c>
      <c r="K9" s="51">
        <v>24.9</v>
      </c>
      <c r="L9" s="51">
        <v>27.1</v>
      </c>
      <c r="M9" s="51">
        <v>25.3</v>
      </c>
      <c r="N9" s="51">
        <v>26</v>
      </c>
      <c r="O9" s="51">
        <v>26.9</v>
      </c>
      <c r="P9" s="51">
        <v>26.3</v>
      </c>
      <c r="Q9" s="51">
        <v>25.7</v>
      </c>
      <c r="R9" s="51">
        <v>26.7</v>
      </c>
      <c r="S9" s="51">
        <v>27.9</v>
      </c>
      <c r="T9" s="51">
        <v>26.6</v>
      </c>
      <c r="U9" s="51">
        <v>25.7</v>
      </c>
      <c r="V9" s="51">
        <v>25.5</v>
      </c>
      <c r="W9" s="51">
        <v>26.8</v>
      </c>
      <c r="X9" s="51">
        <v>25.5</v>
      </c>
      <c r="Y9" s="51">
        <v>26.2</v>
      </c>
      <c r="Z9" s="111">
        <v>25.6</v>
      </c>
      <c r="AA9" s="111">
        <v>27</v>
      </c>
      <c r="AB9" s="51">
        <v>27.3</v>
      </c>
      <c r="AC9" s="51">
        <v>27.9</v>
      </c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19</v>
      </c>
      <c r="AQ9" s="89">
        <f t="shared" si="2"/>
        <v>26.36315789473684</v>
      </c>
      <c r="AR9" s="89">
        <f>IFERROR(VLOOKUP(A9,Climatologia!A:U,9+$E$2,FALSE),"")</f>
        <v>24.328670251361899</v>
      </c>
      <c r="AS9" s="89">
        <f t="shared" si="3"/>
        <v>2.0344876433749413</v>
      </c>
      <c r="AT9" s="90">
        <f t="shared" si="4"/>
        <v>24.9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35333</v>
      </c>
      <c r="AW9" s="92">
        <f t="shared" si="5"/>
        <v>4.5</v>
      </c>
    </row>
    <row r="10" spans="1:49" ht="15" customHeight="1" x14ac:dyDescent="0.2">
      <c r="A10" s="46">
        <v>15065180</v>
      </c>
      <c r="B10" s="47" t="s">
        <v>39</v>
      </c>
      <c r="C10" s="52" t="s">
        <v>25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40</v>
      </c>
      <c r="J10" s="63" t="s">
        <v>41</v>
      </c>
      <c r="K10" s="51">
        <v>25.7</v>
      </c>
      <c r="L10" s="51">
        <v>26.7</v>
      </c>
      <c r="M10" s="51">
        <v>28.5</v>
      </c>
      <c r="N10" s="51">
        <v>27.5</v>
      </c>
      <c r="O10" s="51">
        <v>28.7</v>
      </c>
      <c r="P10" s="51">
        <v>28.9</v>
      </c>
      <c r="Q10" s="51">
        <v>29.3</v>
      </c>
      <c r="R10" s="51">
        <v>28.6</v>
      </c>
      <c r="S10" s="51">
        <v>28.4</v>
      </c>
      <c r="T10" s="51">
        <v>28.5</v>
      </c>
      <c r="U10" s="51">
        <v>28.7</v>
      </c>
      <c r="V10" s="51">
        <v>28.7</v>
      </c>
      <c r="W10" s="51">
        <v>28.4</v>
      </c>
      <c r="X10" s="51">
        <v>28.7</v>
      </c>
      <c r="Y10" s="51">
        <v>28.1</v>
      </c>
      <c r="Z10" s="111">
        <v>28.9</v>
      </c>
      <c r="AA10" s="111">
        <v>27.9</v>
      </c>
      <c r="AB10" s="51">
        <v>27.5</v>
      </c>
      <c r="AC10" s="51">
        <v>28.5</v>
      </c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19</v>
      </c>
      <c r="AQ10" s="89">
        <f t="shared" si="2"/>
        <v>28.221052631578942</v>
      </c>
      <c r="AR10" s="89">
        <f>IFERROR(VLOOKUP(A10,Climatologia!A:U,9+$E$2,FALSE),"")</f>
        <v>24.807709685406738</v>
      </c>
      <c r="AS10" s="89">
        <f t="shared" si="3"/>
        <v>3.4133429461722038</v>
      </c>
      <c r="AT10" s="90">
        <f t="shared" si="4"/>
        <v>25.7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19.2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34599</v>
      </c>
      <c r="AW10" s="92">
        <f t="shared" si="5"/>
        <v>6.5</v>
      </c>
    </row>
    <row r="11" spans="1:49" ht="15" customHeight="1" x14ac:dyDescent="0.2">
      <c r="A11" s="46">
        <v>28025502</v>
      </c>
      <c r="B11" s="55" t="s">
        <v>42</v>
      </c>
      <c r="C11" s="52" t="s">
        <v>25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43</v>
      </c>
      <c r="J11" s="55" t="s">
        <v>44</v>
      </c>
      <c r="K11" s="51">
        <v>23.4</v>
      </c>
      <c r="L11" s="51">
        <v>24.4</v>
      </c>
      <c r="M11" s="51">
        <v>24.8</v>
      </c>
      <c r="N11" s="51">
        <v>24.6</v>
      </c>
      <c r="O11" s="51">
        <v>26.8</v>
      </c>
      <c r="P11" s="51">
        <v>26.6</v>
      </c>
      <c r="Q11" s="51">
        <v>26.6</v>
      </c>
      <c r="R11" s="51">
        <v>26.8</v>
      </c>
      <c r="S11" s="51">
        <v>29.2</v>
      </c>
      <c r="T11" s="51">
        <v>27</v>
      </c>
      <c r="U11" s="51">
        <v>26</v>
      </c>
      <c r="V11" s="51">
        <v>26.4</v>
      </c>
      <c r="W11" s="51">
        <v>27.5</v>
      </c>
      <c r="X11" s="51">
        <v>26.4</v>
      </c>
      <c r="Y11" s="51">
        <v>27.4</v>
      </c>
      <c r="Z11" s="111">
        <v>26.6</v>
      </c>
      <c r="AA11" s="111">
        <v>26</v>
      </c>
      <c r="AB11" s="51">
        <v>26.2</v>
      </c>
      <c r="AC11" s="51">
        <v>27.2</v>
      </c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19</v>
      </c>
      <c r="AQ11" s="89">
        <f t="shared" si="2"/>
        <v>26.31052631578947</v>
      </c>
      <c r="AR11" s="89">
        <f>IFERROR(VLOOKUP(A11,Climatologia!A:U,9+$E$2,FALSE),"")</f>
        <v>23.800122349539521</v>
      </c>
      <c r="AS11" s="89">
        <f t="shared" si="3"/>
        <v>2.5104039662499495</v>
      </c>
      <c r="AT11" s="90">
        <f t="shared" si="4"/>
        <v>23.4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20.399999999999999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28740</v>
      </c>
      <c r="AW11" s="92">
        <f t="shared" si="5"/>
        <v>3</v>
      </c>
    </row>
    <row r="12" spans="1:49" ht="15" customHeight="1" x14ac:dyDescent="0.2">
      <c r="A12" s="46">
        <v>13035501</v>
      </c>
      <c r="B12" s="47" t="s">
        <v>45</v>
      </c>
      <c r="C12" s="52" t="s">
        <v>25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46</v>
      </c>
      <c r="J12" s="63" t="s">
        <v>47</v>
      </c>
      <c r="K12" s="51">
        <v>24.1</v>
      </c>
      <c r="L12" s="51">
        <v>26.3</v>
      </c>
      <c r="M12" s="51">
        <v>25.3</v>
      </c>
      <c r="N12" s="51">
        <v>25.4</v>
      </c>
      <c r="O12" s="51">
        <v>24.9</v>
      </c>
      <c r="P12" s="51">
        <v>26.3</v>
      </c>
      <c r="Q12" s="51">
        <v>24.4</v>
      </c>
      <c r="R12" s="51">
        <v>25.6</v>
      </c>
      <c r="S12" s="51">
        <v>26.8</v>
      </c>
      <c r="T12" s="51">
        <v>22.7</v>
      </c>
      <c r="U12" s="51">
        <v>23.3</v>
      </c>
      <c r="V12" s="51">
        <v>25.8</v>
      </c>
      <c r="W12" s="51">
        <v>27.6</v>
      </c>
      <c r="X12" s="51">
        <v>25.8</v>
      </c>
      <c r="Y12" s="51">
        <v>24.1</v>
      </c>
      <c r="Z12" s="111">
        <v>24.8</v>
      </c>
      <c r="AA12" s="111">
        <v>26.3</v>
      </c>
      <c r="AB12" s="51">
        <v>27.3</v>
      </c>
      <c r="AC12" s="51">
        <v>27.2</v>
      </c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19</v>
      </c>
      <c r="AQ12" s="89">
        <f t="shared" si="2"/>
        <v>25.473684210526322</v>
      </c>
      <c r="AR12" s="89">
        <f>IFERROR(VLOOKUP(A12,Climatologia!A:U,9+$E$2,FALSE),"")</f>
        <v>23.168302150308641</v>
      </c>
      <c r="AS12" s="89">
        <f t="shared" si="3"/>
        <v>2.3053820602176813</v>
      </c>
      <c r="AT12" s="90">
        <f t="shared" si="4"/>
        <v>22.7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36793</v>
      </c>
      <c r="AW12" s="92">
        <f t="shared" si="5"/>
        <v>2.8999999999999986</v>
      </c>
    </row>
    <row r="13" spans="1:49" ht="15" customHeight="1" x14ac:dyDescent="0.2">
      <c r="A13" s="46">
        <v>23155030</v>
      </c>
      <c r="B13" s="52" t="s">
        <v>48</v>
      </c>
      <c r="C13" s="52" t="s">
        <v>25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49</v>
      </c>
      <c r="J13" s="64" t="s">
        <v>50</v>
      </c>
      <c r="K13" s="51">
        <v>24.2</v>
      </c>
      <c r="L13" s="51">
        <v>24.2</v>
      </c>
      <c r="M13" s="51">
        <v>24.4</v>
      </c>
      <c r="N13" s="51">
        <v>25.2</v>
      </c>
      <c r="O13" s="51">
        <v>24.2</v>
      </c>
      <c r="P13" s="51">
        <v>26</v>
      </c>
      <c r="Q13" s="51">
        <v>26</v>
      </c>
      <c r="R13" s="51">
        <v>24.6</v>
      </c>
      <c r="S13" s="51">
        <v>25.8</v>
      </c>
      <c r="T13" s="51">
        <v>25.6</v>
      </c>
      <c r="U13" s="51">
        <v>23.4</v>
      </c>
      <c r="V13" s="51">
        <v>23.8</v>
      </c>
      <c r="W13" s="51">
        <v>26.8</v>
      </c>
      <c r="X13" s="51">
        <v>23.8</v>
      </c>
      <c r="Y13" s="51">
        <v>26.6</v>
      </c>
      <c r="Z13" s="111">
        <v>22.8</v>
      </c>
      <c r="AA13" s="111">
        <v>23.6</v>
      </c>
      <c r="AB13" s="51">
        <v>27.4</v>
      </c>
      <c r="AC13" s="51">
        <v>23.6</v>
      </c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19</v>
      </c>
      <c r="AQ13" s="89">
        <f t="shared" si="2"/>
        <v>24.842105263157897</v>
      </c>
      <c r="AR13" s="89">
        <f>IFERROR(VLOOKUP(A13,Climatologia!A:U,9+$E$2,FALSE),"")</f>
        <v>23.052718375560229</v>
      </c>
      <c r="AS13" s="89">
        <f t="shared" si="3"/>
        <v>1.7893868875976686</v>
      </c>
      <c r="AT13" s="90">
        <f t="shared" si="4"/>
        <v>22.8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34597</v>
      </c>
      <c r="AW13" s="92">
        <f t="shared" si="5"/>
        <v>2.8000000000000007</v>
      </c>
    </row>
    <row r="14" spans="1:49" ht="15" customHeight="1" x14ac:dyDescent="0.2">
      <c r="A14" s="46">
        <v>23195502</v>
      </c>
      <c r="B14" s="52" t="s">
        <v>51</v>
      </c>
      <c r="C14" s="52" t="s">
        <v>25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49</v>
      </c>
      <c r="J14" s="64" t="s">
        <v>52</v>
      </c>
      <c r="K14" s="51">
        <v>19.8</v>
      </c>
      <c r="L14" s="51">
        <v>18.8</v>
      </c>
      <c r="M14" s="51">
        <v>20.6</v>
      </c>
      <c r="N14" s="51">
        <v>19.399999999999999</v>
      </c>
      <c r="O14" s="51">
        <v>19.899999999999999</v>
      </c>
      <c r="P14" s="51">
        <v>20</v>
      </c>
      <c r="Q14" s="51">
        <v>20</v>
      </c>
      <c r="R14" s="51">
        <v>19.8</v>
      </c>
      <c r="S14" s="51">
        <v>20.5</v>
      </c>
      <c r="T14" s="51">
        <v>20.100000000000001</v>
      </c>
      <c r="U14" s="51">
        <v>17.600000000000001</v>
      </c>
      <c r="V14" s="51">
        <v>19.2</v>
      </c>
      <c r="W14" s="51">
        <v>20.100000000000001</v>
      </c>
      <c r="X14" s="51">
        <v>19.2</v>
      </c>
      <c r="Y14" s="51">
        <v>19.8</v>
      </c>
      <c r="Z14" s="111">
        <v>18.8</v>
      </c>
      <c r="AA14" s="111">
        <v>19.399999999999999</v>
      </c>
      <c r="AB14" s="51">
        <v>21.5</v>
      </c>
      <c r="AC14" s="51">
        <v>21.2</v>
      </c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19</v>
      </c>
      <c r="AQ14" s="89">
        <f t="shared" si="2"/>
        <v>19.773684210526316</v>
      </c>
      <c r="AR14" s="89">
        <f>IFERROR(VLOOKUP(A14,Climatologia!A:U,9+$E$2,FALSE),"")</f>
        <v>18.375069904788941</v>
      </c>
      <c r="AS14" s="89">
        <f t="shared" si="3"/>
        <v>1.3986143057373752</v>
      </c>
      <c r="AT14" s="90">
        <f t="shared" si="4"/>
        <v>17.600000000000001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15.6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30940</v>
      </c>
      <c r="AW14" s="92">
        <f t="shared" si="5"/>
        <v>2.0000000000000018</v>
      </c>
    </row>
    <row r="15" spans="1:49" ht="15" customHeight="1" x14ac:dyDescent="0.2">
      <c r="A15" s="46">
        <v>16015010</v>
      </c>
      <c r="B15" s="47" t="s">
        <v>53</v>
      </c>
      <c r="C15" s="52" t="s">
        <v>25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54</v>
      </c>
      <c r="J15" s="63" t="s">
        <v>55</v>
      </c>
      <c r="K15" s="51">
        <v>24.4</v>
      </c>
      <c r="L15" s="51">
        <v>25</v>
      </c>
      <c r="M15" s="51">
        <v>23.8</v>
      </c>
      <c r="N15" s="51">
        <v>24.4</v>
      </c>
      <c r="O15" s="51">
        <v>25.7</v>
      </c>
      <c r="P15" s="51">
        <v>27.8</v>
      </c>
      <c r="Q15" s="51">
        <v>24.6</v>
      </c>
      <c r="R15" s="51">
        <v>26.2</v>
      </c>
      <c r="S15" s="51">
        <v>27</v>
      </c>
      <c r="T15" s="51">
        <v>25.6</v>
      </c>
      <c r="U15" s="51">
        <v>23.2</v>
      </c>
      <c r="V15" s="51">
        <v>24.4</v>
      </c>
      <c r="W15" s="51">
        <v>25.3</v>
      </c>
      <c r="X15" s="51">
        <v>24.4</v>
      </c>
      <c r="Y15" s="51">
        <v>25.6</v>
      </c>
      <c r="Z15" s="111">
        <v>23.8</v>
      </c>
      <c r="AA15" s="51">
        <v>27.7</v>
      </c>
      <c r="AB15" s="51">
        <v>28</v>
      </c>
      <c r="AC15" s="51">
        <v>26.7</v>
      </c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19</v>
      </c>
      <c r="AQ15" s="89">
        <f t="shared" si="2"/>
        <v>25.452631578947365</v>
      </c>
      <c r="AR15" s="89">
        <f>IFERROR(VLOOKUP(A15,Climatologia!A:U,9+$E$2,FALSE),"")</f>
        <v>23.532452107279699</v>
      </c>
      <c r="AS15" s="89">
        <f t="shared" si="3"/>
        <v>1.9201794716676659</v>
      </c>
      <c r="AT15" s="90">
        <f t="shared" si="4"/>
        <v>23.2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18.600000000000001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31681</v>
      </c>
      <c r="AW15" s="92">
        <f t="shared" si="5"/>
        <v>4.5999999999999979</v>
      </c>
    </row>
    <row r="16" spans="1:49" ht="15" customHeight="1" x14ac:dyDescent="0.2">
      <c r="A16" s="46">
        <v>12015070</v>
      </c>
      <c r="B16" s="52" t="s">
        <v>56</v>
      </c>
      <c r="C16" s="52" t="s">
        <v>25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57</v>
      </c>
      <c r="J16" s="64" t="s">
        <v>58</v>
      </c>
      <c r="K16" s="51">
        <v>23.1</v>
      </c>
      <c r="L16" s="51">
        <v>25</v>
      </c>
      <c r="M16" s="51">
        <v>25.5</v>
      </c>
      <c r="N16" s="51">
        <v>24.4</v>
      </c>
      <c r="O16" s="51">
        <v>26.2</v>
      </c>
      <c r="P16" s="51">
        <v>24.7</v>
      </c>
      <c r="Q16" s="51">
        <v>25.5</v>
      </c>
      <c r="R16" s="51">
        <v>25.4</v>
      </c>
      <c r="S16" s="51">
        <v>26.2</v>
      </c>
      <c r="T16" s="51">
        <v>24.2</v>
      </c>
      <c r="U16" s="51">
        <v>23.5</v>
      </c>
      <c r="V16" s="51">
        <v>23.5</v>
      </c>
      <c r="W16" s="51">
        <v>25.3</v>
      </c>
      <c r="X16" s="51">
        <v>23.5</v>
      </c>
      <c r="Y16" s="51">
        <v>24.9</v>
      </c>
      <c r="Z16" s="111">
        <v>25.1</v>
      </c>
      <c r="AA16" s="51">
        <v>26.5</v>
      </c>
      <c r="AB16" s="51">
        <v>26.9</v>
      </c>
      <c r="AC16" s="51">
        <v>25.7</v>
      </c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19</v>
      </c>
      <c r="AQ16" s="89">
        <f t="shared" si="2"/>
        <v>25.005263157894735</v>
      </c>
      <c r="AR16" s="89">
        <f>IFERROR(VLOOKUP(A16,Climatologia!A:U,9+$E$2,FALSE),"")</f>
        <v>23.20104269293925</v>
      </c>
      <c r="AS16" s="89">
        <f t="shared" si="3"/>
        <v>1.8042204649554847</v>
      </c>
      <c r="AT16" s="90">
        <f t="shared" si="4"/>
        <v>23.1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34968</v>
      </c>
      <c r="AW16" s="92">
        <f t="shared" si="5"/>
        <v>4.1000000000000014</v>
      </c>
    </row>
    <row r="17" spans="1:49" ht="15" customHeight="1" x14ac:dyDescent="0.2">
      <c r="A17" s="46">
        <v>27015330</v>
      </c>
      <c r="B17" s="52" t="s">
        <v>59</v>
      </c>
      <c r="C17" s="52" t="s">
        <v>25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57</v>
      </c>
      <c r="J17" s="64" t="s">
        <v>60</v>
      </c>
      <c r="K17" s="51">
        <v>18</v>
      </c>
      <c r="L17" s="51">
        <v>18.2</v>
      </c>
      <c r="M17" s="51">
        <v>19.600000000000001</v>
      </c>
      <c r="N17" s="51">
        <v>19.899999999999999</v>
      </c>
      <c r="O17" s="51">
        <v>18.7</v>
      </c>
      <c r="P17" s="51">
        <v>18.7</v>
      </c>
      <c r="Q17" s="51">
        <v>18.7</v>
      </c>
      <c r="R17" s="51">
        <v>18.3</v>
      </c>
      <c r="S17" s="51">
        <v>19.2</v>
      </c>
      <c r="T17" s="51">
        <v>18.399999999999999</v>
      </c>
      <c r="U17" s="51">
        <v>17.399999999999999</v>
      </c>
      <c r="V17" s="51">
        <v>19.600000000000001</v>
      </c>
      <c r="W17" s="51">
        <v>19.2</v>
      </c>
      <c r="X17" s="51">
        <v>19.600000000000001</v>
      </c>
      <c r="Y17" s="51">
        <v>19.100000000000001</v>
      </c>
      <c r="Z17" s="111">
        <v>19.3</v>
      </c>
      <c r="AA17" s="51">
        <v>17.899999999999999</v>
      </c>
      <c r="AB17" s="51">
        <v>18.7</v>
      </c>
      <c r="AC17" s="51">
        <v>19</v>
      </c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19</v>
      </c>
      <c r="AQ17" s="89">
        <f t="shared" si="2"/>
        <v>18.815789473684209</v>
      </c>
      <c r="AR17" s="89">
        <f>IFERROR(VLOOKUP(A17,Climatologia!A:U,9+$E$2,FALSE),"")</f>
        <v>17.481532567049811</v>
      </c>
      <c r="AS17" s="89">
        <f t="shared" si="3"/>
        <v>1.3342569066343977</v>
      </c>
      <c r="AT17" s="90">
        <f t="shared" si="4"/>
        <v>17.399999999999999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31671</v>
      </c>
      <c r="AW17" s="92">
        <f t="shared" si="5"/>
        <v>5.3999999999999986</v>
      </c>
    </row>
    <row r="18" spans="1:49" ht="15" customHeight="1" x14ac:dyDescent="0.2">
      <c r="A18" s="46">
        <v>23085270</v>
      </c>
      <c r="B18" s="47" t="s">
        <v>61</v>
      </c>
      <c r="C18" s="52" t="s">
        <v>25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57</v>
      </c>
      <c r="J18" s="63" t="s">
        <v>62</v>
      </c>
      <c r="K18" s="51">
        <v>13.6</v>
      </c>
      <c r="L18" s="51">
        <v>14</v>
      </c>
      <c r="M18" s="51">
        <v>12</v>
      </c>
      <c r="N18" s="51">
        <v>13.4</v>
      </c>
      <c r="O18" s="51">
        <v>11.6</v>
      </c>
      <c r="P18" s="51">
        <v>10.6</v>
      </c>
      <c r="Q18" s="51">
        <v>10.3</v>
      </c>
      <c r="R18" s="51">
        <v>13</v>
      </c>
      <c r="S18" s="51">
        <v>10.8</v>
      </c>
      <c r="T18" s="51">
        <v>13.2</v>
      </c>
      <c r="U18" s="51">
        <v>13.3</v>
      </c>
      <c r="V18" s="51">
        <v>13.8</v>
      </c>
      <c r="W18" s="51">
        <v>12</v>
      </c>
      <c r="X18" s="51">
        <v>13.8</v>
      </c>
      <c r="Y18" s="51">
        <v>13.1</v>
      </c>
      <c r="Z18" s="111">
        <v>14.2</v>
      </c>
      <c r="AA18" s="51">
        <v>10.4</v>
      </c>
      <c r="AB18" s="51">
        <v>10</v>
      </c>
      <c r="AC18" s="51">
        <v>11.2</v>
      </c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19</v>
      </c>
      <c r="AQ18" s="89">
        <f t="shared" si="2"/>
        <v>12.331578947368421</v>
      </c>
      <c r="AR18" s="89">
        <f>IFERROR(VLOOKUP(A18,Climatologia!A:U,9+$E$2,FALSE),"")</f>
        <v>12.499881093935789</v>
      </c>
      <c r="AS18" s="89">
        <f t="shared" si="3"/>
        <v>-0.16830214656736864</v>
      </c>
      <c r="AT18" s="90">
        <f t="shared" si="4"/>
        <v>10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7.4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29852</v>
      </c>
      <c r="AW18" s="92">
        <f t="shared" si="5"/>
        <v>2.5999999999999996</v>
      </c>
    </row>
    <row r="19" spans="1:49" ht="15" customHeight="1" x14ac:dyDescent="0.2">
      <c r="A19" s="46">
        <v>26135040</v>
      </c>
      <c r="B19" s="47" t="s">
        <v>63</v>
      </c>
      <c r="C19" s="52" t="s">
        <v>25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64</v>
      </c>
      <c r="J19" s="63" t="s">
        <v>65</v>
      </c>
      <c r="K19" s="51">
        <v>19</v>
      </c>
      <c r="L19" s="51">
        <v>19</v>
      </c>
      <c r="M19" s="51">
        <v>19</v>
      </c>
      <c r="N19" s="51">
        <v>19.100000000000001</v>
      </c>
      <c r="O19" s="51">
        <v>18.8</v>
      </c>
      <c r="P19" s="51">
        <v>19.2</v>
      </c>
      <c r="Q19" s="51">
        <v>18</v>
      </c>
      <c r="R19" s="51">
        <v>17.5</v>
      </c>
      <c r="S19" s="51">
        <v>18.399999999999999</v>
      </c>
      <c r="T19" s="51">
        <v>19.100000000000001</v>
      </c>
      <c r="U19" s="51">
        <v>19.600000000000001</v>
      </c>
      <c r="V19" s="51">
        <v>18.2</v>
      </c>
      <c r="W19" s="51">
        <v>18.399999999999999</v>
      </c>
      <c r="X19" s="51">
        <v>18.2</v>
      </c>
      <c r="Y19" s="51">
        <v>18.399999999999999</v>
      </c>
      <c r="Z19" s="111">
        <v>19.2</v>
      </c>
      <c r="AA19" s="51">
        <v>18.5</v>
      </c>
      <c r="AB19" s="51">
        <v>19.899999999999999</v>
      </c>
      <c r="AC19" s="51">
        <v>19.8</v>
      </c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19</v>
      </c>
      <c r="AQ19" s="89">
        <f t="shared" si="2"/>
        <v>18.805263157894736</v>
      </c>
      <c r="AR19" s="89">
        <f>IFERROR(VLOOKUP(A19,Climatologia!A:U,9+$E$2,FALSE),"")</f>
        <v>17.517363619777409</v>
      </c>
      <c r="AS19" s="89">
        <f t="shared" si="3"/>
        <v>1.2878995381173262</v>
      </c>
      <c r="AT19" s="90">
        <f t="shared" si="4"/>
        <v>17.5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34596</v>
      </c>
      <c r="AW19" s="92">
        <f t="shared" si="5"/>
        <v>4.3000000000000007</v>
      </c>
    </row>
    <row r="20" spans="1:49" ht="15" customHeight="1" x14ac:dyDescent="0.2">
      <c r="A20" s="46">
        <v>26125061</v>
      </c>
      <c r="B20" s="47" t="s">
        <v>66</v>
      </c>
      <c r="C20" s="52" t="s">
        <v>25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67</v>
      </c>
      <c r="J20" s="63" t="s">
        <v>68</v>
      </c>
      <c r="K20" s="51">
        <v>18.899999999999999</v>
      </c>
      <c r="L20" s="51">
        <v>19.2</v>
      </c>
      <c r="M20" s="51">
        <v>19</v>
      </c>
      <c r="N20" s="51">
        <v>17.7</v>
      </c>
      <c r="O20" s="51">
        <v>17.600000000000001</v>
      </c>
      <c r="P20" s="51">
        <v>18.7</v>
      </c>
      <c r="Q20" s="51">
        <v>16.7</v>
      </c>
      <c r="R20" s="51">
        <v>15.4</v>
      </c>
      <c r="S20" s="51">
        <v>16.600000000000001</v>
      </c>
      <c r="T20" s="51">
        <v>17.3</v>
      </c>
      <c r="U20" s="51">
        <v>18.600000000000001</v>
      </c>
      <c r="V20" s="51">
        <v>17.5</v>
      </c>
      <c r="W20" s="51">
        <v>18</v>
      </c>
      <c r="X20" s="51">
        <v>17.5</v>
      </c>
      <c r="Y20" s="51">
        <v>17.8</v>
      </c>
      <c r="Z20" s="111">
        <v>18.3</v>
      </c>
      <c r="AA20" s="51">
        <v>16.100000000000001</v>
      </c>
      <c r="AB20" s="51">
        <v>18.2</v>
      </c>
      <c r="AC20" s="51">
        <v>18.8</v>
      </c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19</v>
      </c>
      <c r="AQ20" s="89">
        <f t="shared" si="2"/>
        <v>17.784210526315793</v>
      </c>
      <c r="AR20" s="89">
        <f>IFERROR(VLOOKUP(A20,Climatologia!A:U,9+$E$2,FALSE),"")</f>
        <v>16.802106227106218</v>
      </c>
      <c r="AS20" s="89">
        <f t="shared" si="3"/>
        <v>0.98210429920957409</v>
      </c>
      <c r="AT20" s="90">
        <f t="shared" si="4"/>
        <v>15.4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12.6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31660</v>
      </c>
      <c r="AW20" s="92">
        <f t="shared" si="5"/>
        <v>2.8000000000000007</v>
      </c>
    </row>
    <row r="21" spans="1:49" ht="15" customHeight="1" x14ac:dyDescent="0.2">
      <c r="A21" s="48">
        <v>21245040</v>
      </c>
      <c r="B21" s="55" t="s">
        <v>69</v>
      </c>
      <c r="C21" s="52" t="s">
        <v>25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70</v>
      </c>
      <c r="J21" s="55" t="s">
        <v>71</v>
      </c>
      <c r="K21" s="51">
        <v>21.1</v>
      </c>
      <c r="L21" s="51">
        <v>19.600000000000001</v>
      </c>
      <c r="M21" s="51">
        <v>20.9</v>
      </c>
      <c r="N21" s="51">
        <v>21.6</v>
      </c>
      <c r="O21" s="51">
        <v>21.8</v>
      </c>
      <c r="P21" s="51">
        <v>21.9</v>
      </c>
      <c r="Q21" s="51">
        <v>20.8</v>
      </c>
      <c r="R21" s="51">
        <v>21.4</v>
      </c>
      <c r="S21" s="51">
        <v>22</v>
      </c>
      <c r="T21" s="51">
        <v>21.7</v>
      </c>
      <c r="U21" s="51">
        <v>21.4</v>
      </c>
      <c r="V21" s="51">
        <v>19.600000000000001</v>
      </c>
      <c r="W21" s="51">
        <v>21.8</v>
      </c>
      <c r="X21" s="51">
        <v>19.600000000000001</v>
      </c>
      <c r="Y21" s="51">
        <v>22.1</v>
      </c>
      <c r="Z21" s="111">
        <v>21.6</v>
      </c>
      <c r="AA21" s="51">
        <v>21.9</v>
      </c>
      <c r="AB21" s="51">
        <v>23.4</v>
      </c>
      <c r="AC21" s="51">
        <v>22.2</v>
      </c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19</v>
      </c>
      <c r="AQ21" s="89">
        <f t="shared" si="2"/>
        <v>21.389473684210529</v>
      </c>
      <c r="AR21" s="89">
        <f>IFERROR(VLOOKUP(A21,Climatologia!A:U,9+$E$2,FALSE),"")</f>
        <v>19.232081736909329</v>
      </c>
      <c r="AS21" s="89">
        <f t="shared" si="3"/>
        <v>2.1573919473011998</v>
      </c>
      <c r="AT21" s="90">
        <f t="shared" si="4"/>
        <v>19.600000000000001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15.4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32765</v>
      </c>
      <c r="AW21" s="92">
        <f t="shared" si="5"/>
        <v>4.2000000000000011</v>
      </c>
    </row>
    <row r="22" spans="1:49" ht="15" customHeight="1" x14ac:dyDescent="0.2">
      <c r="A22" s="46">
        <v>21205791</v>
      </c>
      <c r="B22" s="52" t="s">
        <v>72</v>
      </c>
      <c r="C22" s="52" t="s">
        <v>25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73</v>
      </c>
      <c r="J22" s="64" t="s">
        <v>74</v>
      </c>
      <c r="K22" s="51">
        <v>9.6</v>
      </c>
      <c r="L22" s="51">
        <v>9.6</v>
      </c>
      <c r="M22" s="51">
        <v>9.6</v>
      </c>
      <c r="N22" s="51">
        <v>9</v>
      </c>
      <c r="O22" s="51">
        <v>9.6</v>
      </c>
      <c r="P22" s="51">
        <v>7.6</v>
      </c>
      <c r="Q22" s="51">
        <v>7.7</v>
      </c>
      <c r="R22" s="51">
        <v>7.4</v>
      </c>
      <c r="S22" s="51">
        <v>12.1</v>
      </c>
      <c r="T22" s="51">
        <v>7.8</v>
      </c>
      <c r="U22" s="51">
        <v>9.8000000000000007</v>
      </c>
      <c r="V22" s="51">
        <v>8.3000000000000007</v>
      </c>
      <c r="W22" s="51">
        <v>8.1</v>
      </c>
      <c r="X22" s="51">
        <v>8.3000000000000007</v>
      </c>
      <c r="Y22" s="51">
        <v>8.6</v>
      </c>
      <c r="Z22" s="111">
        <v>11.2</v>
      </c>
      <c r="AA22" s="51">
        <v>8.8000000000000007</v>
      </c>
      <c r="AB22" s="51">
        <v>7.9</v>
      </c>
      <c r="AC22" s="51">
        <v>8.9</v>
      </c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19</v>
      </c>
      <c r="AQ22" s="89">
        <f t="shared" si="2"/>
        <v>8.9421052631578952</v>
      </c>
      <c r="AR22" s="89">
        <f>IFERROR(VLOOKUP(A22,Climatologia!A:U,9+$E$2,FALSE),"")</f>
        <v>7.7788019451812538</v>
      </c>
      <c r="AS22" s="89">
        <f t="shared" si="3"/>
        <v>1.1633033179766414</v>
      </c>
      <c r="AT22" s="90">
        <f t="shared" si="4"/>
        <v>7.4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-0.2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22" s="92">
        <f t="shared" si="5"/>
        <v>7.6000000000000005</v>
      </c>
    </row>
    <row r="23" spans="1:49" ht="15" customHeight="1" x14ac:dyDescent="0.2">
      <c r="A23" s="46">
        <v>26075040</v>
      </c>
      <c r="B23" s="47" t="s">
        <v>75</v>
      </c>
      <c r="C23" s="52" t="s">
        <v>25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76</v>
      </c>
      <c r="J23" s="55" t="s">
        <v>77</v>
      </c>
      <c r="K23" s="51">
        <v>19.399999999999999</v>
      </c>
      <c r="L23" s="51">
        <v>19.100000000000001</v>
      </c>
      <c r="M23" s="51">
        <v>20.6</v>
      </c>
      <c r="N23" s="51">
        <v>19.7</v>
      </c>
      <c r="O23" s="51">
        <v>18.899999999999999</v>
      </c>
      <c r="P23" s="51">
        <v>19.3</v>
      </c>
      <c r="Q23" s="51">
        <v>20.399999999999999</v>
      </c>
      <c r="R23" s="51">
        <v>17.399999999999999</v>
      </c>
      <c r="S23" s="51">
        <v>18.3</v>
      </c>
      <c r="T23" s="51">
        <v>18.399999999999999</v>
      </c>
      <c r="U23" s="51">
        <v>20.8</v>
      </c>
      <c r="V23" s="51">
        <v>19.3</v>
      </c>
      <c r="W23" s="51">
        <v>19.3</v>
      </c>
      <c r="X23" s="51">
        <v>19.3</v>
      </c>
      <c r="Y23" s="51">
        <v>20.100000000000001</v>
      </c>
      <c r="Z23" s="111">
        <v>19.7</v>
      </c>
      <c r="AA23" s="51">
        <v>17.7</v>
      </c>
      <c r="AB23" s="51">
        <v>19.5</v>
      </c>
      <c r="AC23" s="51">
        <v>19</v>
      </c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19</v>
      </c>
      <c r="AQ23" s="89">
        <f t="shared" si="2"/>
        <v>19.273684210526319</v>
      </c>
      <c r="AR23" s="89">
        <f>IFERROR(VLOOKUP(A23,Climatologia!A:U,9+$E$2,FALSE),"")</f>
        <v>18.648510848126229</v>
      </c>
      <c r="AS23" s="89">
        <f t="shared" si="3"/>
        <v>0.62517336240009058</v>
      </c>
      <c r="AT23" s="90">
        <f t="shared" si="4"/>
        <v>17.399999999999999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14.2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28033</v>
      </c>
      <c r="AW23" s="92">
        <f t="shared" si="5"/>
        <v>3.1999999999999993</v>
      </c>
    </row>
    <row r="24" spans="1:49" ht="15" customHeight="1" x14ac:dyDescent="0.2">
      <c r="A24" s="46">
        <v>21115020</v>
      </c>
      <c r="B24" s="55" t="s">
        <v>78</v>
      </c>
      <c r="C24" s="52" t="s">
        <v>25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79</v>
      </c>
      <c r="J24" s="55" t="s">
        <v>80</v>
      </c>
      <c r="K24" s="51">
        <v>23.8</v>
      </c>
      <c r="L24" s="51">
        <v>23.8</v>
      </c>
      <c r="M24" s="51">
        <v>22.6</v>
      </c>
      <c r="N24" s="51">
        <v>23</v>
      </c>
      <c r="O24" s="51">
        <v>25.8</v>
      </c>
      <c r="P24" s="51">
        <v>26.6</v>
      </c>
      <c r="Q24" s="51">
        <v>26.8</v>
      </c>
      <c r="R24" s="51">
        <v>23.2</v>
      </c>
      <c r="S24" s="51">
        <v>23</v>
      </c>
      <c r="T24" s="51">
        <v>25</v>
      </c>
      <c r="U24" s="51">
        <v>24.8</v>
      </c>
      <c r="V24" s="51">
        <v>23.7</v>
      </c>
      <c r="W24" s="51">
        <v>24.7</v>
      </c>
      <c r="X24" s="51">
        <v>23.7</v>
      </c>
      <c r="Y24" s="51">
        <v>26.3</v>
      </c>
      <c r="Z24" s="111">
        <v>24</v>
      </c>
      <c r="AA24" s="51">
        <v>25.1</v>
      </c>
      <c r="AB24" s="51">
        <v>26.4</v>
      </c>
      <c r="AC24" s="51">
        <v>26.1</v>
      </c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19</v>
      </c>
      <c r="AQ24" s="89">
        <f t="shared" si="2"/>
        <v>24.652631578947368</v>
      </c>
      <c r="AR24" s="89">
        <f>IFERROR(VLOOKUP(A24,Climatologia!A:U,9+$E$2,FALSE),"")</f>
        <v>23.155076628352489</v>
      </c>
      <c r="AS24" s="89">
        <f t="shared" si="3"/>
        <v>1.4975549505948784</v>
      </c>
      <c r="AT24" s="90">
        <f t="shared" si="4"/>
        <v>22.6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17.600000000000001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34223</v>
      </c>
      <c r="AW24" s="92">
        <f t="shared" si="5"/>
        <v>5</v>
      </c>
    </row>
    <row r="25" spans="1:49" ht="15" customHeight="1" x14ac:dyDescent="0.2">
      <c r="A25" s="46">
        <v>52045020</v>
      </c>
      <c r="B25" s="52" t="s">
        <v>81</v>
      </c>
      <c r="C25" s="52" t="s">
        <v>25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82</v>
      </c>
      <c r="J25" s="64" t="s">
        <v>83</v>
      </c>
      <c r="K25" s="51">
        <v>12.6</v>
      </c>
      <c r="L25" s="51">
        <v>15.2</v>
      </c>
      <c r="M25" s="51">
        <v>17.2</v>
      </c>
      <c r="N25" s="51">
        <v>16</v>
      </c>
      <c r="O25" s="51">
        <v>16.8</v>
      </c>
      <c r="P25" s="51">
        <v>17</v>
      </c>
      <c r="Q25" s="51">
        <v>16.8</v>
      </c>
      <c r="R25" s="51">
        <v>16.5</v>
      </c>
      <c r="S25" s="51">
        <v>17.8</v>
      </c>
      <c r="T25" s="51">
        <v>14.4</v>
      </c>
      <c r="U25" s="51">
        <v>15.6</v>
      </c>
      <c r="V25" s="51">
        <v>15.4</v>
      </c>
      <c r="W25" s="51">
        <v>16</v>
      </c>
      <c r="X25" s="51">
        <v>15.4</v>
      </c>
      <c r="Y25" s="51">
        <v>16.2</v>
      </c>
      <c r="Z25" s="111">
        <v>16.2</v>
      </c>
      <c r="AA25" s="51">
        <v>16.899999999999999</v>
      </c>
      <c r="AB25" s="51">
        <v>16.600000000000001</v>
      </c>
      <c r="AC25" s="51">
        <v>16.2</v>
      </c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19</v>
      </c>
      <c r="AQ25" s="89">
        <f t="shared" si="2"/>
        <v>16.042105263157897</v>
      </c>
      <c r="AR25" s="89">
        <f>IFERROR(VLOOKUP(A25,Climatologia!A:U,9+$E$2,FALSE),"")</f>
        <v>14.47676179151804</v>
      </c>
      <c r="AS25" s="89">
        <f t="shared" si="3"/>
        <v>1.5653434716398564</v>
      </c>
      <c r="AT25" s="90">
        <f t="shared" si="4"/>
        <v>12.6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10.4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30937</v>
      </c>
      <c r="AW25" s="92">
        <f t="shared" si="5"/>
        <v>2.1999999999999993</v>
      </c>
    </row>
    <row r="26" spans="1:49" ht="15" customHeight="1" x14ac:dyDescent="0.2">
      <c r="A26" s="46">
        <v>52055230</v>
      </c>
      <c r="B26" s="52" t="s">
        <v>84</v>
      </c>
      <c r="C26" s="52" t="s">
        <v>25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82</v>
      </c>
      <c r="J26" s="64" t="s">
        <v>85</v>
      </c>
      <c r="K26" s="51">
        <v>2</v>
      </c>
      <c r="L26" s="51">
        <v>5.2</v>
      </c>
      <c r="M26" s="51">
        <v>6.4</v>
      </c>
      <c r="N26" s="51">
        <v>7.2</v>
      </c>
      <c r="O26" s="51">
        <v>7.6</v>
      </c>
      <c r="P26" s="51">
        <v>2.6</v>
      </c>
      <c r="Q26" s="51">
        <v>5</v>
      </c>
      <c r="R26" s="51">
        <v>4</v>
      </c>
      <c r="S26" s="51">
        <v>7.8</v>
      </c>
      <c r="T26" s="51">
        <v>7.2</v>
      </c>
      <c r="U26" s="51">
        <v>6.2</v>
      </c>
      <c r="V26" s="51">
        <v>4.2</v>
      </c>
      <c r="W26" s="51">
        <v>5.2</v>
      </c>
      <c r="X26" s="51">
        <v>4.2</v>
      </c>
      <c r="Y26" s="51">
        <v>9.4</v>
      </c>
      <c r="Z26" s="111">
        <v>6</v>
      </c>
      <c r="AA26" s="51">
        <v>8</v>
      </c>
      <c r="AB26" s="51">
        <v>7.4</v>
      </c>
      <c r="AC26" s="51">
        <v>7.6</v>
      </c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19</v>
      </c>
      <c r="AQ26" s="89">
        <f t="shared" si="2"/>
        <v>5.957894736842106</v>
      </c>
      <c r="AR26" s="89">
        <f>IFERROR(VLOOKUP(A26,Climatologia!A:U,9+$E$2,FALSE),"")</f>
        <v>4.5924256837098687</v>
      </c>
      <c r="AS26" s="89">
        <f t="shared" si="3"/>
        <v>1.3654690531322373</v>
      </c>
      <c r="AT26" s="90">
        <f t="shared" si="4"/>
        <v>2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-1.4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41168</v>
      </c>
      <c r="AW26" s="92">
        <f t="shared" si="5"/>
        <v>3.4</v>
      </c>
    </row>
    <row r="27" spans="1:49" ht="15" customHeight="1" x14ac:dyDescent="0.2">
      <c r="A27" s="46">
        <v>11045010</v>
      </c>
      <c r="B27" s="55" t="s">
        <v>86</v>
      </c>
      <c r="C27" s="52" t="s">
        <v>25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87</v>
      </c>
      <c r="J27" s="55" t="s">
        <v>88</v>
      </c>
      <c r="K27" s="51">
        <v>24.2</v>
      </c>
      <c r="L27" s="51">
        <v>24.4</v>
      </c>
      <c r="M27" s="51">
        <v>25.1</v>
      </c>
      <c r="N27" s="51">
        <v>24.3</v>
      </c>
      <c r="O27" s="51">
        <v>24.6</v>
      </c>
      <c r="P27" s="51">
        <v>23.6</v>
      </c>
      <c r="Q27" s="51">
        <v>24.1</v>
      </c>
      <c r="R27" s="51">
        <v>24.8</v>
      </c>
      <c r="S27" s="51">
        <v>25.7</v>
      </c>
      <c r="T27" s="51">
        <v>25.2</v>
      </c>
      <c r="U27" s="51">
        <v>23.9</v>
      </c>
      <c r="V27" s="51">
        <v>24.8</v>
      </c>
      <c r="W27" s="51">
        <v>25</v>
      </c>
      <c r="X27" s="51">
        <v>24.8</v>
      </c>
      <c r="Y27" s="51">
        <v>24.2</v>
      </c>
      <c r="Z27" s="111">
        <v>24.4</v>
      </c>
      <c r="AA27" s="51">
        <v>24.2</v>
      </c>
      <c r="AB27" s="51">
        <v>25.4</v>
      </c>
      <c r="AC27" s="51">
        <v>24.8</v>
      </c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19</v>
      </c>
      <c r="AQ27" s="89">
        <f t="shared" si="2"/>
        <v>24.605263157894733</v>
      </c>
      <c r="AR27" s="89">
        <f>IFERROR(VLOOKUP(A27,Climatologia!A:U,9+$E$2,FALSE),"")</f>
        <v>23.200678160919541</v>
      </c>
      <c r="AS27" s="89">
        <f t="shared" si="3"/>
        <v>1.404584996975192</v>
      </c>
      <c r="AT27" s="90">
        <f t="shared" si="4"/>
        <v>23.6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20.2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30220</v>
      </c>
      <c r="AW27" s="92">
        <f t="shared" si="5"/>
        <v>3.4000000000000021</v>
      </c>
    </row>
    <row r="28" spans="1:49" ht="15" customHeight="1" x14ac:dyDescent="0.2">
      <c r="A28" s="46">
        <v>37055010</v>
      </c>
      <c r="B28" s="55" t="s">
        <v>89</v>
      </c>
      <c r="C28" s="52" t="s">
        <v>25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90</v>
      </c>
      <c r="J28" s="55" t="s">
        <v>90</v>
      </c>
      <c r="K28" s="51">
        <v>24.2</v>
      </c>
      <c r="L28" s="51">
        <v>24.3</v>
      </c>
      <c r="M28" s="51">
        <v>22.4</v>
      </c>
      <c r="N28" s="51">
        <v>23.2</v>
      </c>
      <c r="O28" s="51">
        <v>23.3</v>
      </c>
      <c r="P28" s="51">
        <v>24.3</v>
      </c>
      <c r="Q28" s="51">
        <v>21.4</v>
      </c>
      <c r="R28" s="51">
        <v>22.8</v>
      </c>
      <c r="S28" s="51">
        <v>23.7</v>
      </c>
      <c r="T28" s="51">
        <v>24.5</v>
      </c>
      <c r="U28" s="51">
        <v>22.8</v>
      </c>
      <c r="V28" s="51">
        <v>24.3</v>
      </c>
      <c r="W28" s="51">
        <v>22.9</v>
      </c>
      <c r="X28" s="51">
        <v>24.3</v>
      </c>
      <c r="Y28" s="51">
        <v>25.2</v>
      </c>
      <c r="Z28" s="111">
        <v>23.2</v>
      </c>
      <c r="AA28" s="51">
        <v>24.4</v>
      </c>
      <c r="AB28" s="51">
        <v>23.2</v>
      </c>
      <c r="AC28" s="51">
        <v>24.3</v>
      </c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19</v>
      </c>
      <c r="AQ28" s="89">
        <f t="shared" si="2"/>
        <v>23.61578947368421</v>
      </c>
      <c r="AR28" s="89">
        <f>IFERROR(VLOOKUP(A28,Climatologia!A:U,9+$E$2,FALSE),"")</f>
        <v>22.923426719914591</v>
      </c>
      <c r="AS28" s="89">
        <f t="shared" si="3"/>
        <v>0.69236275376961842</v>
      </c>
      <c r="AT28" s="90">
        <f t="shared" si="4"/>
        <v>21.4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19.399999999999999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39703</v>
      </c>
      <c r="AW28" s="92">
        <f t="shared" si="5"/>
        <v>2</v>
      </c>
    </row>
    <row r="29" spans="1:49" ht="15" customHeight="1" x14ac:dyDescent="0.2">
      <c r="A29" s="46">
        <v>38015030</v>
      </c>
      <c r="B29" s="55" t="s">
        <v>91</v>
      </c>
      <c r="C29" s="52" t="s">
        <v>25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92</v>
      </c>
      <c r="J29" s="64" t="s">
        <v>93</v>
      </c>
      <c r="K29" s="51">
        <v>25.8</v>
      </c>
      <c r="L29" s="51">
        <v>26</v>
      </c>
      <c r="M29" s="51">
        <v>25</v>
      </c>
      <c r="N29" s="51">
        <v>25.6</v>
      </c>
      <c r="O29" s="51">
        <v>25.2</v>
      </c>
      <c r="P29" s="51">
        <v>24.8</v>
      </c>
      <c r="Q29" s="51">
        <v>25</v>
      </c>
      <c r="R29" s="51">
        <v>25.4</v>
      </c>
      <c r="S29" s="51">
        <v>25.2</v>
      </c>
      <c r="T29" s="51">
        <v>25.6</v>
      </c>
      <c r="U29" s="51">
        <v>25.4</v>
      </c>
      <c r="V29" s="51">
        <v>25.8</v>
      </c>
      <c r="W29" s="51">
        <v>24.8</v>
      </c>
      <c r="X29" s="51">
        <v>25.8</v>
      </c>
      <c r="Y29" s="51">
        <v>25.8</v>
      </c>
      <c r="Z29" s="111">
        <v>24.6</v>
      </c>
      <c r="AA29" s="51">
        <v>25</v>
      </c>
      <c r="AB29" s="51">
        <v>26</v>
      </c>
      <c r="AC29" s="51">
        <v>25.2</v>
      </c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19</v>
      </c>
      <c r="AQ29" s="89">
        <f t="shared" si="2"/>
        <v>25.368421052631582</v>
      </c>
      <c r="AR29" s="89">
        <f>IFERROR(VLOOKUP(A29,Climatologia!A:U,9+$E$2,FALSE),"")</f>
        <v>23.916765755053511</v>
      </c>
      <c r="AS29" s="89">
        <f t="shared" si="3"/>
        <v>1.4516552975780712</v>
      </c>
      <c r="AT29" s="90">
        <f t="shared" si="4"/>
        <v>24.6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19.5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35320</v>
      </c>
      <c r="AW29" s="92">
        <f t="shared" si="5"/>
        <v>5.1000000000000014</v>
      </c>
    </row>
    <row r="30" spans="1:49" ht="14.25" customHeight="1" x14ac:dyDescent="0.2">
      <c r="A30" s="46">
        <v>35035020</v>
      </c>
      <c r="B30" s="47" t="s">
        <v>94</v>
      </c>
      <c r="C30" s="52" t="s">
        <v>25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95</v>
      </c>
      <c r="J30" s="63" t="s">
        <v>96</v>
      </c>
      <c r="K30" s="51">
        <v>22.4</v>
      </c>
      <c r="L30" s="51">
        <v>21.7</v>
      </c>
      <c r="M30" s="51">
        <v>21</v>
      </c>
      <c r="N30" s="51">
        <v>22.2</v>
      </c>
      <c r="O30" s="51">
        <v>20.8</v>
      </c>
      <c r="P30" s="51">
        <v>21.8</v>
      </c>
      <c r="Q30" s="51">
        <v>21.4</v>
      </c>
      <c r="R30" s="51">
        <v>21.3</v>
      </c>
      <c r="S30" s="51">
        <v>22.8</v>
      </c>
      <c r="T30" s="51">
        <v>21.3</v>
      </c>
      <c r="U30" s="51">
        <v>20.399999999999999</v>
      </c>
      <c r="V30" s="51">
        <v>21.5</v>
      </c>
      <c r="W30" s="51">
        <v>21.2</v>
      </c>
      <c r="X30" s="51">
        <v>21.5</v>
      </c>
      <c r="Y30" s="51">
        <v>22.4</v>
      </c>
      <c r="Z30" s="111">
        <v>21.9</v>
      </c>
      <c r="AA30" s="51">
        <v>22.2</v>
      </c>
      <c r="AB30" s="51">
        <v>23</v>
      </c>
      <c r="AC30" s="51">
        <v>21.8</v>
      </c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19</v>
      </c>
      <c r="AQ30" s="89">
        <f t="shared" si="2"/>
        <v>21.715789473684207</v>
      </c>
      <c r="AR30" s="89">
        <f>IFERROR(VLOOKUP(A30,Climatologia!A:U,9+$E$2,FALSE),"")</f>
        <v>20.68482758620689</v>
      </c>
      <c r="AS30" s="89">
        <f t="shared" si="3"/>
        <v>1.0309618874773179</v>
      </c>
      <c r="AT30" s="90">
        <f t="shared" si="4"/>
        <v>20.399999999999999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17.8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33868</v>
      </c>
      <c r="AW30" s="92">
        <f t="shared" si="5"/>
        <v>2.5999999999999979</v>
      </c>
    </row>
    <row r="31" spans="1:49" ht="16.149999999999999" customHeight="1" x14ac:dyDescent="0.2">
      <c r="A31" s="98">
        <v>48015050</v>
      </c>
      <c r="B31" s="99" t="s">
        <v>97</v>
      </c>
      <c r="C31" s="100" t="s">
        <v>25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98</v>
      </c>
      <c r="J31" s="103" t="s">
        <v>99</v>
      </c>
      <c r="K31" s="108">
        <v>24</v>
      </c>
      <c r="L31" s="108">
        <v>23.4</v>
      </c>
      <c r="M31" s="108">
        <v>23.3</v>
      </c>
      <c r="N31" s="108">
        <v>24.2</v>
      </c>
      <c r="O31" s="108">
        <v>24.5</v>
      </c>
      <c r="P31" s="108">
        <v>22.5</v>
      </c>
      <c r="Q31" s="108">
        <v>24</v>
      </c>
      <c r="R31" s="108">
        <v>21.6</v>
      </c>
      <c r="S31" s="108">
        <v>22.4</v>
      </c>
      <c r="T31" s="108">
        <v>23.2</v>
      </c>
      <c r="U31" s="108">
        <v>24.8</v>
      </c>
      <c r="V31" s="108">
        <v>23.3</v>
      </c>
      <c r="W31" s="108">
        <v>23.9</v>
      </c>
      <c r="X31" s="108">
        <v>23.3</v>
      </c>
      <c r="Y31" s="108">
        <v>22.5</v>
      </c>
      <c r="Z31" s="115">
        <v>22.6</v>
      </c>
      <c r="AA31" s="108">
        <v>23.6</v>
      </c>
      <c r="AB31" s="108">
        <v>24.3</v>
      </c>
      <c r="AC31" s="108">
        <v>23.7</v>
      </c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19</v>
      </c>
      <c r="AQ31" s="89">
        <f t="shared" si="2"/>
        <v>23.426315789473687</v>
      </c>
      <c r="AR31" s="89">
        <f>IFERROR(VLOOKUP(A31,Climatologia!A:U,9+$E$2,FALSE),"")</f>
        <v>22.350396614879379</v>
      </c>
      <c r="AS31" s="89">
        <f t="shared" si="3"/>
        <v>1.0759191745943077</v>
      </c>
      <c r="AT31" s="90">
        <f t="shared" si="4"/>
        <v>21.6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16.399999999999999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29481</v>
      </c>
      <c r="AW31" s="92">
        <f t="shared" si="5"/>
        <v>5.2000000000000028</v>
      </c>
    </row>
    <row r="32" spans="1:49" ht="14.25" customHeight="1" x14ac:dyDescent="0.2">
      <c r="A32" s="48">
        <v>11075020</v>
      </c>
      <c r="B32" s="52" t="s">
        <v>100</v>
      </c>
      <c r="C32" s="52" t="s">
        <v>101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57</v>
      </c>
      <c r="J32" s="55" t="s">
        <v>100</v>
      </c>
      <c r="K32" s="51">
        <v>14.8</v>
      </c>
      <c r="L32" s="51">
        <v>15.2</v>
      </c>
      <c r="M32" s="51">
        <v>14.8</v>
      </c>
      <c r="N32" s="51">
        <v>15</v>
      </c>
      <c r="O32" s="51">
        <v>14.2</v>
      </c>
      <c r="P32" s="51">
        <v>13.8</v>
      </c>
      <c r="Q32" s="51">
        <v>14</v>
      </c>
      <c r="R32" s="51">
        <v>14.2</v>
      </c>
      <c r="S32" s="51">
        <v>13</v>
      </c>
      <c r="T32" s="51">
        <v>13.4</v>
      </c>
      <c r="U32" s="51">
        <v>15</v>
      </c>
      <c r="V32" s="51">
        <v>14</v>
      </c>
      <c r="W32" s="51">
        <v>14.2</v>
      </c>
      <c r="X32" s="51">
        <v>13.2</v>
      </c>
      <c r="Y32" s="51">
        <v>15</v>
      </c>
      <c r="Z32" s="111">
        <v>16.2</v>
      </c>
      <c r="AA32" s="51">
        <v>12</v>
      </c>
      <c r="AB32" s="51">
        <v>14.8</v>
      </c>
      <c r="AC32" s="51">
        <v>15.2</v>
      </c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19</v>
      </c>
      <c r="AQ32" s="89">
        <f t="shared" si="2"/>
        <v>14.315789473684207</v>
      </c>
      <c r="AR32" s="89">
        <f>IFERROR(VLOOKUP(A32,Climatologia!A:U,9+$E$2,FALSE),"")</f>
        <v>13.518105175598549</v>
      </c>
      <c r="AS32" s="89">
        <f t="shared" si="3"/>
        <v>0.79768429808565777</v>
      </c>
      <c r="AT32" s="90">
        <f t="shared" si="4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36067</v>
      </c>
      <c r="AW32" s="92">
        <f t="shared" si="5"/>
        <v>3.1999999999999993</v>
      </c>
    </row>
    <row r="33" spans="1:49" ht="14.25" customHeight="1" x14ac:dyDescent="0.2">
      <c r="A33" s="48">
        <v>12015020</v>
      </c>
      <c r="B33" s="52" t="s">
        <v>102</v>
      </c>
      <c r="C33" s="52" t="s">
        <v>101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57</v>
      </c>
      <c r="J33" s="55" t="s">
        <v>103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23.367963593239459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29482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104</v>
      </c>
      <c r="C34" s="52" t="s">
        <v>101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57</v>
      </c>
      <c r="J34" s="55" t="s">
        <v>105</v>
      </c>
      <c r="K34" s="51">
        <v>16.8</v>
      </c>
      <c r="L34" s="51">
        <v>15.8</v>
      </c>
      <c r="M34" s="51">
        <v>16.8</v>
      </c>
      <c r="N34" s="51">
        <v>16.600000000000001</v>
      </c>
      <c r="O34" s="51">
        <v>16.8</v>
      </c>
      <c r="P34" s="51">
        <v>15</v>
      </c>
      <c r="Q34" s="51">
        <v>14.8</v>
      </c>
      <c r="R34" s="51">
        <v>15.8</v>
      </c>
      <c r="S34" s="51">
        <v>15.8</v>
      </c>
      <c r="T34" s="51">
        <v>15.6</v>
      </c>
      <c r="U34" s="51">
        <v>16</v>
      </c>
      <c r="V34" s="51">
        <v>17</v>
      </c>
      <c r="W34" s="51">
        <v>16.8</v>
      </c>
      <c r="X34" s="51">
        <v>16</v>
      </c>
      <c r="Y34" s="51">
        <v>16.2</v>
      </c>
      <c r="Z34" s="111">
        <v>15.8</v>
      </c>
      <c r="AA34" s="51">
        <v>16.399999999999999</v>
      </c>
      <c r="AB34" s="51">
        <v>16.600000000000001</v>
      </c>
      <c r="AC34" s="51">
        <v>16.399999999999999</v>
      </c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19</v>
      </c>
      <c r="AQ34" s="89">
        <f t="shared" si="2"/>
        <v>16.157894736842106</v>
      </c>
      <c r="AR34" s="89">
        <f>IFERROR(VLOOKUP(A34,Climatologia!A:U,9+$E$2,FALSE),"")</f>
        <v>15.0297619047619</v>
      </c>
      <c r="AS34" s="89">
        <f t="shared" si="3"/>
        <v>1.1281328320802064</v>
      </c>
      <c r="AT34" s="90">
        <f t="shared" si="4"/>
        <v>14.8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37888</v>
      </c>
      <c r="AW34" s="92">
        <f t="shared" si="5"/>
        <v>4.8000000000000007</v>
      </c>
    </row>
    <row r="35" spans="1:49" ht="14.25" customHeight="1" x14ac:dyDescent="0.2">
      <c r="A35" s="48">
        <v>23085110</v>
      </c>
      <c r="B35" s="52" t="s">
        <v>106</v>
      </c>
      <c r="C35" s="52" t="s">
        <v>101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57</v>
      </c>
      <c r="J35" s="55" t="s">
        <v>107</v>
      </c>
      <c r="K35" s="51">
        <v>14.4</v>
      </c>
      <c r="L35" s="51">
        <v>14.8</v>
      </c>
      <c r="M35" s="51">
        <v>15.2</v>
      </c>
      <c r="N35" s="51">
        <v>15.6</v>
      </c>
      <c r="O35" s="51">
        <v>15.4</v>
      </c>
      <c r="P35" s="51">
        <v>15.2</v>
      </c>
      <c r="Q35" s="51">
        <v>14.8</v>
      </c>
      <c r="R35" s="51">
        <v>15</v>
      </c>
      <c r="S35" s="51">
        <v>15.6</v>
      </c>
      <c r="T35" s="51">
        <v>14.8</v>
      </c>
      <c r="U35" s="51">
        <v>15</v>
      </c>
      <c r="V35" s="51">
        <v>15.2</v>
      </c>
      <c r="W35" s="51">
        <v>15.4</v>
      </c>
      <c r="X35" s="51">
        <v>15.6</v>
      </c>
      <c r="Y35" s="51">
        <v>14.2</v>
      </c>
      <c r="Z35" s="111">
        <v>15</v>
      </c>
      <c r="AA35" s="51">
        <v>14.8</v>
      </c>
      <c r="AB35" s="51">
        <v>15.8</v>
      </c>
      <c r="AC35" s="51">
        <v>15.6</v>
      </c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19</v>
      </c>
      <c r="AQ35" s="89">
        <f t="shared" si="2"/>
        <v>15.126315789473686</v>
      </c>
      <c r="AR35" s="89">
        <f>IFERROR(VLOOKUP(A35,Climatologia!A:U,9+$E$2,FALSE),"")</f>
        <v>13.05107074438971</v>
      </c>
      <c r="AS35" s="89">
        <f t="shared" si="3"/>
        <v>2.0752450450839763</v>
      </c>
      <c r="AT35" s="90">
        <f t="shared" si="4"/>
        <v>14.2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8.6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36797</v>
      </c>
      <c r="AW35" s="92">
        <f t="shared" si="5"/>
        <v>5.6</v>
      </c>
    </row>
    <row r="36" spans="1:49" ht="14.25" customHeight="1" x14ac:dyDescent="0.2">
      <c r="A36" s="48">
        <v>26175040</v>
      </c>
      <c r="B36" s="52" t="s">
        <v>108</v>
      </c>
      <c r="C36" s="52" t="s">
        <v>101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57</v>
      </c>
      <c r="J36" s="55" t="s">
        <v>109</v>
      </c>
      <c r="K36" s="51">
        <v>20.2</v>
      </c>
      <c r="L36" s="51">
        <v>20.399999999999999</v>
      </c>
      <c r="M36" s="51">
        <v>17</v>
      </c>
      <c r="N36" s="51">
        <v>19.399999999999999</v>
      </c>
      <c r="O36" s="51">
        <v>18.399999999999999</v>
      </c>
      <c r="P36" s="51">
        <v>17.399999999999999</v>
      </c>
      <c r="Q36" s="51">
        <v>17.399999999999999</v>
      </c>
      <c r="R36" s="120"/>
      <c r="S36" s="51">
        <v>17.2</v>
      </c>
      <c r="T36" s="51">
        <v>19.600000000000001</v>
      </c>
      <c r="U36" s="51">
        <v>20.399999999999999</v>
      </c>
      <c r="V36" s="51">
        <v>19.2</v>
      </c>
      <c r="W36" s="51">
        <v>19.600000000000001</v>
      </c>
      <c r="X36" s="51">
        <v>19.399999999999999</v>
      </c>
      <c r="Y36" s="51">
        <v>19.600000000000001</v>
      </c>
      <c r="Z36" s="111">
        <v>20</v>
      </c>
      <c r="AA36" s="51">
        <v>17.8</v>
      </c>
      <c r="AB36" s="51">
        <v>17.600000000000001</v>
      </c>
      <c r="AC36" s="51">
        <v>18.8</v>
      </c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18</v>
      </c>
      <c r="AQ36" s="89">
        <f t="shared" si="2"/>
        <v>18.855555555555558</v>
      </c>
      <c r="AR36" s="89">
        <f>IFERROR(VLOOKUP(A36,Climatologia!A:U,9+$E$2,FALSE),"")</f>
        <v>19.576900580794259</v>
      </c>
      <c r="AS36" s="89">
        <f t="shared" si="3"/>
        <v>-0.72134502523870125</v>
      </c>
      <c r="AT36" s="90">
        <f t="shared" si="4"/>
        <v>17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16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40081</v>
      </c>
      <c r="AW36" s="92">
        <f t="shared" si="5"/>
        <v>1</v>
      </c>
    </row>
    <row r="37" spans="1:49" ht="14.25" customHeight="1" x14ac:dyDescent="0.2">
      <c r="A37" s="48">
        <v>26185020</v>
      </c>
      <c r="B37" s="52" t="s">
        <v>110</v>
      </c>
      <c r="C37" s="52" t="s">
        <v>101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57</v>
      </c>
      <c r="J37" s="55" t="s">
        <v>111</v>
      </c>
      <c r="K37" s="51">
        <v>8.8000000000000007</v>
      </c>
      <c r="L37" s="51">
        <v>9</v>
      </c>
      <c r="M37" s="51">
        <v>8.4</v>
      </c>
      <c r="N37" s="51">
        <v>9.8000000000000007</v>
      </c>
      <c r="O37" s="51">
        <v>10.6</v>
      </c>
      <c r="P37" s="51">
        <v>10.199999999999999</v>
      </c>
      <c r="Q37" s="51">
        <v>8.4</v>
      </c>
      <c r="R37" s="51">
        <v>8.8000000000000007</v>
      </c>
      <c r="S37" s="51">
        <v>11.6</v>
      </c>
      <c r="T37" s="51">
        <v>8.4</v>
      </c>
      <c r="U37" s="51">
        <v>8.8000000000000007</v>
      </c>
      <c r="V37" s="51">
        <v>9.6</v>
      </c>
      <c r="W37" s="51">
        <v>8</v>
      </c>
      <c r="X37" s="51">
        <v>9.8000000000000007</v>
      </c>
      <c r="Y37" s="51">
        <v>9.6</v>
      </c>
      <c r="Z37" s="111">
        <v>9.1999999999999993</v>
      </c>
      <c r="AA37" s="51">
        <v>8.4</v>
      </c>
      <c r="AB37" s="109">
        <v>6</v>
      </c>
      <c r="AC37" s="51">
        <v>10</v>
      </c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19</v>
      </c>
      <c r="AQ37" s="89">
        <f t="shared" si="2"/>
        <v>9.1263157894736828</v>
      </c>
      <c r="AR37" s="89">
        <f>IFERROR(VLOOKUP(A37,Climatologia!A:U,9+$E$2,FALSE),"")</f>
        <v>9.8631470471660734</v>
      </c>
      <c r="AS37" s="89">
        <f t="shared" si="3"/>
        <v>-0.73683125769239055</v>
      </c>
      <c r="AT37" s="90">
        <f t="shared" si="4"/>
        <v>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112</v>
      </c>
      <c r="C38" s="52" t="s">
        <v>101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57</v>
      </c>
      <c r="J38" s="55" t="s">
        <v>60</v>
      </c>
      <c r="K38" s="51">
        <v>16</v>
      </c>
      <c r="L38" s="51">
        <v>16.399999999999999</v>
      </c>
      <c r="M38" s="51">
        <v>17</v>
      </c>
      <c r="N38" s="51">
        <v>16.600000000000001</v>
      </c>
      <c r="O38" s="51">
        <v>17.399999999999999</v>
      </c>
      <c r="P38" s="51">
        <v>17.8</v>
      </c>
      <c r="Q38" s="51">
        <v>17.399999999999999</v>
      </c>
      <c r="R38" s="51">
        <v>17</v>
      </c>
      <c r="S38" s="51">
        <v>18</v>
      </c>
      <c r="T38" s="51">
        <v>17.600000000000001</v>
      </c>
      <c r="U38" s="51">
        <v>16</v>
      </c>
      <c r="V38" s="51">
        <v>16</v>
      </c>
      <c r="W38" s="51">
        <v>17.399999999999999</v>
      </c>
      <c r="X38" s="51">
        <v>16.8</v>
      </c>
      <c r="Y38" s="51">
        <v>17</v>
      </c>
      <c r="Z38" s="111">
        <v>17.8</v>
      </c>
      <c r="AA38" s="51">
        <v>17</v>
      </c>
      <c r="AB38" s="51">
        <v>16.8</v>
      </c>
      <c r="AC38" s="51">
        <v>17.399999999999999</v>
      </c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19</v>
      </c>
      <c r="AQ38" s="89">
        <f t="shared" si="2"/>
        <v>17.021052631578947</v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44444</v>
      </c>
      <c r="AW38" s="92">
        <f t="shared" si="5"/>
        <v>2</v>
      </c>
    </row>
    <row r="39" spans="1:49" ht="14.25" customHeight="1" x14ac:dyDescent="0.2">
      <c r="A39" s="48">
        <v>27015090</v>
      </c>
      <c r="B39" s="52" t="s">
        <v>113</v>
      </c>
      <c r="C39" s="52" t="s">
        <v>101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57</v>
      </c>
      <c r="J39" s="55" t="s">
        <v>114</v>
      </c>
      <c r="K39" s="51">
        <v>18.2</v>
      </c>
      <c r="L39" s="51">
        <v>18.8</v>
      </c>
      <c r="M39" s="51">
        <v>20</v>
      </c>
      <c r="N39" s="51">
        <v>20</v>
      </c>
      <c r="O39" s="51">
        <v>19.600000000000001</v>
      </c>
      <c r="P39" s="51">
        <v>19.2</v>
      </c>
      <c r="Q39" s="51">
        <v>18.8</v>
      </c>
      <c r="R39" s="51">
        <v>19.399999999999999</v>
      </c>
      <c r="S39" s="51">
        <v>19.8</v>
      </c>
      <c r="T39" s="51">
        <v>18.600000000000001</v>
      </c>
      <c r="U39" s="51">
        <v>18</v>
      </c>
      <c r="V39" s="51">
        <v>20.399999999999999</v>
      </c>
      <c r="W39" s="51">
        <v>20.2</v>
      </c>
      <c r="X39" s="51">
        <v>20</v>
      </c>
      <c r="Y39" s="51">
        <v>19.399999999999999</v>
      </c>
      <c r="Z39" s="111">
        <v>19.399999999999999</v>
      </c>
      <c r="AA39" s="51">
        <v>19</v>
      </c>
      <c r="AB39" s="51">
        <v>19</v>
      </c>
      <c r="AC39" s="51">
        <v>19.600000000000001</v>
      </c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19</v>
      </c>
      <c r="AQ39" s="89">
        <f t="shared" si="2"/>
        <v>19.336842105263155</v>
      </c>
      <c r="AR39" s="89">
        <f>IFERROR(VLOOKUP(A39,Climatologia!A:U,9+$E$2,FALSE),"")</f>
        <v>17.370087470001259</v>
      </c>
      <c r="AS39" s="89">
        <f t="shared" si="3"/>
        <v>1.9667546352618963</v>
      </c>
      <c r="AT39" s="90">
        <f t="shared" si="4"/>
        <v>18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13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33494</v>
      </c>
      <c r="AW39" s="92">
        <f t="shared" si="5"/>
        <v>5</v>
      </c>
    </row>
    <row r="40" spans="1:49" ht="14.25" customHeight="1" x14ac:dyDescent="0.2">
      <c r="A40" s="48">
        <v>27015260</v>
      </c>
      <c r="B40" s="52" t="s">
        <v>115</v>
      </c>
      <c r="C40" s="52" t="s">
        <v>101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57</v>
      </c>
      <c r="J40" s="55" t="s">
        <v>116</v>
      </c>
      <c r="K40" s="51">
        <v>14.6</v>
      </c>
      <c r="L40" s="51">
        <v>15.2</v>
      </c>
      <c r="M40" s="51">
        <v>14.8</v>
      </c>
      <c r="N40" s="51">
        <v>15</v>
      </c>
      <c r="O40" s="51">
        <v>14.2</v>
      </c>
      <c r="P40" s="51">
        <v>13</v>
      </c>
      <c r="Q40" s="51">
        <v>14</v>
      </c>
      <c r="R40" s="51">
        <v>13</v>
      </c>
      <c r="S40" s="51">
        <v>13.8</v>
      </c>
      <c r="T40" s="51">
        <v>14.2</v>
      </c>
      <c r="U40" s="51">
        <v>15</v>
      </c>
      <c r="V40" s="51">
        <v>15.8</v>
      </c>
      <c r="W40" s="51">
        <v>14.4</v>
      </c>
      <c r="X40" s="51">
        <v>14.2</v>
      </c>
      <c r="Y40" s="51">
        <v>14.4</v>
      </c>
      <c r="Z40" s="111">
        <v>15.4</v>
      </c>
      <c r="AA40" s="51">
        <v>14</v>
      </c>
      <c r="AB40" s="51">
        <v>13</v>
      </c>
      <c r="AC40" s="51">
        <v>14.2</v>
      </c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19</v>
      </c>
      <c r="AQ40" s="89">
        <f t="shared" si="2"/>
        <v>14.326315789473684</v>
      </c>
      <c r="AR40" s="89">
        <f>IFERROR(VLOOKUP(A40,Climatologia!A:U,9+$E$2,FALSE),"")</f>
        <v>13.01098388839768</v>
      </c>
      <c r="AS40" s="89">
        <f t="shared" si="3"/>
        <v>1.3153319010760036</v>
      </c>
      <c r="AT40" s="90">
        <f t="shared" si="4"/>
        <v>13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9.1999999999999993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37508</v>
      </c>
      <c r="AW40" s="92">
        <f t="shared" si="5"/>
        <v>3.8000000000000007</v>
      </c>
    </row>
    <row r="41" spans="1:49" ht="14.25" customHeight="1" x14ac:dyDescent="0.2">
      <c r="A41" s="48">
        <v>12045010</v>
      </c>
      <c r="B41" s="52" t="s">
        <v>117</v>
      </c>
      <c r="C41" s="52" t="s">
        <v>118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57</v>
      </c>
      <c r="J41" s="55" t="s">
        <v>117</v>
      </c>
      <c r="K41" s="51">
        <v>22.6</v>
      </c>
      <c r="L41" s="51">
        <v>25.4</v>
      </c>
      <c r="M41" s="51">
        <v>25.2</v>
      </c>
      <c r="N41" s="51">
        <v>26</v>
      </c>
      <c r="O41" s="51">
        <v>26.8</v>
      </c>
      <c r="P41" s="51">
        <v>25</v>
      </c>
      <c r="Q41" s="51">
        <v>22.4</v>
      </c>
      <c r="R41" s="51">
        <v>25.6</v>
      </c>
      <c r="S41" s="51">
        <v>26.8</v>
      </c>
      <c r="T41" s="51">
        <v>24.8</v>
      </c>
      <c r="U41" s="51">
        <v>22.6</v>
      </c>
      <c r="V41" s="51">
        <v>23.6</v>
      </c>
      <c r="W41" s="51">
        <v>26.2</v>
      </c>
      <c r="X41" s="51">
        <v>22</v>
      </c>
      <c r="Y41" s="51">
        <v>23.4</v>
      </c>
      <c r="Z41" s="111">
        <v>24.2</v>
      </c>
      <c r="AA41" s="51">
        <v>26</v>
      </c>
      <c r="AB41" s="51">
        <v>26.8</v>
      </c>
      <c r="AC41" s="51">
        <v>26</v>
      </c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19</v>
      </c>
      <c r="AQ41" s="89">
        <f t="shared" si="2"/>
        <v>24.810526315789474</v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17.600000000000001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37523</v>
      </c>
      <c r="AW41" s="92">
        <f t="shared" si="5"/>
        <v>4.3999999999999986</v>
      </c>
    </row>
    <row r="42" spans="1:49" ht="14.25" customHeight="1" x14ac:dyDescent="0.2">
      <c r="A42" s="48">
        <v>12045020</v>
      </c>
      <c r="B42" s="52" t="s">
        <v>119</v>
      </c>
      <c r="C42" s="52" t="s">
        <v>118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46</v>
      </c>
      <c r="J42" s="55" t="s">
        <v>120</v>
      </c>
      <c r="K42" s="51">
        <v>25</v>
      </c>
      <c r="L42" s="51">
        <v>26.2</v>
      </c>
      <c r="M42" s="51">
        <v>24.6</v>
      </c>
      <c r="N42" s="51">
        <v>26.2</v>
      </c>
      <c r="O42" s="51">
        <v>27</v>
      </c>
      <c r="P42" s="51">
        <v>27.2</v>
      </c>
      <c r="Q42" s="51">
        <v>24.6</v>
      </c>
      <c r="R42" s="51">
        <v>26.6</v>
      </c>
      <c r="S42" s="51">
        <v>27</v>
      </c>
      <c r="T42" s="51">
        <v>24.2</v>
      </c>
      <c r="U42" s="51">
        <v>23.6</v>
      </c>
      <c r="V42" s="51">
        <v>25.2</v>
      </c>
      <c r="W42" s="51">
        <v>26.6</v>
      </c>
      <c r="X42" s="51">
        <v>23.4</v>
      </c>
      <c r="Y42" s="51">
        <v>23.4</v>
      </c>
      <c r="Z42" s="111">
        <v>24.8</v>
      </c>
      <c r="AA42" s="51">
        <v>26.6</v>
      </c>
      <c r="AB42" s="51">
        <v>26.8</v>
      </c>
      <c r="AC42" s="51">
        <v>25.6</v>
      </c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19</v>
      </c>
      <c r="AQ42" s="89">
        <f t="shared" si="2"/>
        <v>25.505263157894738</v>
      </c>
      <c r="AR42" s="89">
        <f>IFERROR(VLOOKUP(A42,Climatologia!A:U,9+$E$2,FALSE),"")</f>
        <v>24.10281124033644</v>
      </c>
      <c r="AS42" s="89">
        <f t="shared" si="3"/>
        <v>1.4024519175582988</v>
      </c>
      <c r="AT42" s="90">
        <f t="shared" si="4"/>
        <v>23.4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121</v>
      </c>
      <c r="C43" s="52" t="s">
        <v>118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46</v>
      </c>
      <c r="J43" s="55" t="s">
        <v>122</v>
      </c>
      <c r="K43" s="51">
        <v>22.4</v>
      </c>
      <c r="L43" s="51">
        <v>23.8</v>
      </c>
      <c r="M43" s="51">
        <v>26.6</v>
      </c>
      <c r="N43" s="51">
        <v>22.8</v>
      </c>
      <c r="O43" s="51">
        <v>24.9</v>
      </c>
      <c r="P43" s="51">
        <v>26</v>
      </c>
      <c r="Q43" s="51">
        <v>24.6</v>
      </c>
      <c r="R43" s="51">
        <v>24.6</v>
      </c>
      <c r="S43" s="51">
        <v>26</v>
      </c>
      <c r="T43" s="51">
        <v>20</v>
      </c>
      <c r="U43" s="51">
        <v>22</v>
      </c>
      <c r="V43" s="51">
        <v>23.9</v>
      </c>
      <c r="W43" s="51">
        <v>23.8</v>
      </c>
      <c r="X43" s="51">
        <v>24</v>
      </c>
      <c r="Y43" s="51">
        <v>24</v>
      </c>
      <c r="Z43" s="111">
        <v>24</v>
      </c>
      <c r="AA43" s="51">
        <v>23.8</v>
      </c>
      <c r="AB43" s="51">
        <v>26.8</v>
      </c>
      <c r="AC43" s="51">
        <v>25.5</v>
      </c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19</v>
      </c>
      <c r="AQ43" s="89">
        <f t="shared" si="2"/>
        <v>24.184210526315791</v>
      </c>
      <c r="AR43" s="89">
        <f>IFERROR(VLOOKUP(A43,Climatologia!A:U,9+$E$2,FALSE),"")</f>
        <v>23.744525938089151</v>
      </c>
      <c r="AS43" s="89">
        <f t="shared" si="3"/>
        <v>0.43968458822664047</v>
      </c>
      <c r="AT43" s="90">
        <f t="shared" si="4"/>
        <v>20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39712</v>
      </c>
      <c r="AW43" s="92">
        <f t="shared" si="5"/>
        <v>1</v>
      </c>
    </row>
    <row r="44" spans="1:49" ht="14.25" customHeight="1" x14ac:dyDescent="0.2">
      <c r="A44" s="48">
        <v>13075010</v>
      </c>
      <c r="B44" s="52" t="s">
        <v>123</v>
      </c>
      <c r="C44" s="52" t="s">
        <v>118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57</v>
      </c>
      <c r="J44" s="55" t="s">
        <v>124</v>
      </c>
      <c r="K44" s="51">
        <v>23.4</v>
      </c>
      <c r="L44" s="51">
        <v>23.6</v>
      </c>
      <c r="M44" s="51">
        <v>24.2</v>
      </c>
      <c r="N44" s="51">
        <v>24</v>
      </c>
      <c r="O44" s="51">
        <v>25</v>
      </c>
      <c r="P44" s="51">
        <v>25.4</v>
      </c>
      <c r="Q44" s="51">
        <v>24.2</v>
      </c>
      <c r="R44" s="51">
        <v>25</v>
      </c>
      <c r="S44" s="51">
        <v>25.4</v>
      </c>
      <c r="T44" s="51">
        <v>23.8</v>
      </c>
      <c r="U44" s="51">
        <v>22.8</v>
      </c>
      <c r="V44" s="51">
        <v>23.2</v>
      </c>
      <c r="W44" s="51">
        <v>25.6</v>
      </c>
      <c r="X44" s="51">
        <v>23.4</v>
      </c>
      <c r="Y44" s="51">
        <v>23.6</v>
      </c>
      <c r="Z44" s="111">
        <v>23.2</v>
      </c>
      <c r="AA44" s="51">
        <v>24.6</v>
      </c>
      <c r="AB44" s="51">
        <v>25.4</v>
      </c>
      <c r="AC44" s="51">
        <v>25</v>
      </c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19</v>
      </c>
      <c r="AQ44" s="89">
        <f t="shared" si="2"/>
        <v>24.252631578947369</v>
      </c>
      <c r="AR44" s="89">
        <f>IFERROR(VLOOKUP(A44,Climatologia!A:U,9+$E$2,FALSE),"")</f>
        <v>22.988656597627109</v>
      </c>
      <c r="AS44" s="89">
        <f t="shared" si="3"/>
        <v>1.2639749813202599</v>
      </c>
      <c r="AT44" s="90">
        <f t="shared" si="4"/>
        <v>22.8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33118</v>
      </c>
      <c r="AW44" s="92">
        <f t="shared" si="5"/>
        <v>5.6000000000000014</v>
      </c>
    </row>
    <row r="45" spans="1:49" ht="14.25" customHeight="1" x14ac:dyDescent="0.2">
      <c r="A45" s="48">
        <v>13075020</v>
      </c>
      <c r="B45" s="52" t="s">
        <v>125</v>
      </c>
      <c r="C45" s="52" t="s">
        <v>118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46</v>
      </c>
      <c r="J45" s="55" t="s">
        <v>126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23.250966831086199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17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29850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127</v>
      </c>
      <c r="C46" s="52" t="s">
        <v>118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46</v>
      </c>
      <c r="J46" s="55" t="s">
        <v>127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22.241141302681989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32760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128</v>
      </c>
      <c r="C47" s="52" t="s">
        <v>118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129</v>
      </c>
      <c r="J47" s="55" t="s">
        <v>130</v>
      </c>
      <c r="K47" s="51">
        <v>23</v>
      </c>
      <c r="L47" s="51">
        <v>24.8</v>
      </c>
      <c r="M47" s="51">
        <v>23</v>
      </c>
      <c r="N47" s="51">
        <v>23.8</v>
      </c>
      <c r="O47" s="51">
        <v>26</v>
      </c>
      <c r="P47" s="51">
        <v>26.4</v>
      </c>
      <c r="Q47" s="51">
        <v>25.6</v>
      </c>
      <c r="R47" s="51">
        <v>25.4</v>
      </c>
      <c r="S47" s="51">
        <v>25.4</v>
      </c>
      <c r="T47" s="51">
        <v>26.8</v>
      </c>
      <c r="U47" s="51">
        <v>23</v>
      </c>
      <c r="V47" s="51">
        <v>23.2</v>
      </c>
      <c r="W47" s="51">
        <v>26.8</v>
      </c>
      <c r="X47" s="51">
        <v>25.2</v>
      </c>
      <c r="Y47" s="51">
        <v>22.8</v>
      </c>
      <c r="Z47" s="111">
        <v>23.8</v>
      </c>
      <c r="AA47" s="51">
        <v>24.6</v>
      </c>
      <c r="AB47" s="51">
        <v>27</v>
      </c>
      <c r="AC47" s="51">
        <v>27.2</v>
      </c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19</v>
      </c>
      <c r="AQ47" s="89">
        <f t="shared" si="2"/>
        <v>24.93684210526316</v>
      </c>
      <c r="AR47" s="89">
        <f>IFERROR(VLOOKUP(A47,Climatologia!A:U,9+$E$2,FALSE),"")</f>
        <v>22.692015599343179</v>
      </c>
      <c r="AS47" s="89">
        <f t="shared" si="3"/>
        <v>2.2448265059199812</v>
      </c>
      <c r="AT47" s="90">
        <f t="shared" si="4"/>
        <v>22.8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40426</v>
      </c>
      <c r="AW47" s="92">
        <f t="shared" si="5"/>
        <v>5</v>
      </c>
    </row>
    <row r="48" spans="1:49" ht="14.25" customHeight="1" x14ac:dyDescent="0.2">
      <c r="A48" s="48">
        <v>25025160</v>
      </c>
      <c r="B48" s="52" t="s">
        <v>131</v>
      </c>
      <c r="C48" s="52" t="s">
        <v>118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46</v>
      </c>
      <c r="J48" s="55" t="s">
        <v>132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22.870691637545079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19.2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32762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133</v>
      </c>
      <c r="C49" s="52" t="s">
        <v>118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46</v>
      </c>
      <c r="J49" s="55" t="s">
        <v>134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23.264589393806901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33126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135</v>
      </c>
      <c r="C50" s="52" t="s">
        <v>118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34</v>
      </c>
      <c r="J50" s="55" t="s">
        <v>135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18.399999999999999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43732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136</v>
      </c>
      <c r="C51" s="52" t="s">
        <v>118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129</v>
      </c>
      <c r="J51" s="55" t="s">
        <v>137</v>
      </c>
      <c r="K51" s="51">
        <v>22.6</v>
      </c>
      <c r="L51" s="51">
        <v>24.6</v>
      </c>
      <c r="M51" s="51">
        <v>23</v>
      </c>
      <c r="N51" s="51">
        <v>24.8</v>
      </c>
      <c r="O51" s="51">
        <v>26.2</v>
      </c>
      <c r="P51" s="51">
        <v>26.4</v>
      </c>
      <c r="Q51" s="51">
        <v>24.8</v>
      </c>
      <c r="R51" s="51">
        <v>25.8</v>
      </c>
      <c r="S51" s="51">
        <v>25.6</v>
      </c>
      <c r="T51" s="51">
        <v>24.8</v>
      </c>
      <c r="U51" s="51">
        <v>21.8</v>
      </c>
      <c r="V51" s="51">
        <v>23</v>
      </c>
      <c r="W51" s="51">
        <v>25.4</v>
      </c>
      <c r="X51" s="51">
        <v>24</v>
      </c>
      <c r="Y51" s="51">
        <v>22.2</v>
      </c>
      <c r="Z51" s="111">
        <v>23.6</v>
      </c>
      <c r="AA51" s="51">
        <v>24.2</v>
      </c>
      <c r="AB51" s="51">
        <v>26.4</v>
      </c>
      <c r="AC51" s="51">
        <v>27.2</v>
      </c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19</v>
      </c>
      <c r="AQ51" s="89">
        <f t="shared" si="2"/>
        <v>24.547368421052632</v>
      </c>
      <c r="AR51" s="89">
        <f>IFERROR(VLOOKUP(A51,Climatologia!A:U,9+$E$2,FALSE),"")</f>
        <v>23.050863235049139</v>
      </c>
      <c r="AS51" s="89">
        <f t="shared" si="3"/>
        <v>1.4965051860034926</v>
      </c>
      <c r="AT51" s="90">
        <f t="shared" si="4"/>
        <v>21.8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18.2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32755</v>
      </c>
      <c r="AW51" s="92">
        <f t="shared" si="5"/>
        <v>3.6000000000000014</v>
      </c>
    </row>
    <row r="52" spans="1:49" ht="14.25" customHeight="1" x14ac:dyDescent="0.2">
      <c r="A52" s="48">
        <v>25025380</v>
      </c>
      <c r="B52" s="52" t="s">
        <v>138</v>
      </c>
      <c r="C52" s="52" t="s">
        <v>118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129</v>
      </c>
      <c r="J52" s="55" t="s">
        <v>139</v>
      </c>
      <c r="K52" s="51">
        <v>24</v>
      </c>
      <c r="L52" s="51">
        <v>25.6</v>
      </c>
      <c r="M52" s="51">
        <v>24.2</v>
      </c>
      <c r="N52" s="51">
        <v>24</v>
      </c>
      <c r="O52" s="51">
        <v>24</v>
      </c>
      <c r="P52" s="51">
        <v>23.8</v>
      </c>
      <c r="Q52" s="51">
        <v>24.6</v>
      </c>
      <c r="R52" s="51">
        <v>24.4</v>
      </c>
      <c r="S52" s="51">
        <v>24.6</v>
      </c>
      <c r="T52" s="51">
        <v>24.8</v>
      </c>
      <c r="U52" s="51">
        <v>22.4</v>
      </c>
      <c r="V52" s="51">
        <v>22.2</v>
      </c>
      <c r="W52" s="51">
        <v>22.4</v>
      </c>
      <c r="X52" s="51">
        <v>22.6</v>
      </c>
      <c r="Y52" s="51">
        <v>22.2</v>
      </c>
      <c r="Z52" s="111">
        <v>24.4</v>
      </c>
      <c r="AA52" s="51">
        <v>24.4</v>
      </c>
      <c r="AB52" s="51">
        <v>24.2</v>
      </c>
      <c r="AC52" s="51">
        <v>24.2</v>
      </c>
      <c r="AD52" s="51"/>
      <c r="AE52" s="51"/>
      <c r="AF52" s="51"/>
      <c r="AG52" s="51"/>
      <c r="AH52" s="119"/>
      <c r="AI52" s="119"/>
      <c r="AJ52" s="119"/>
      <c r="AK52" s="119"/>
      <c r="AL52" s="51"/>
      <c r="AM52" s="51"/>
      <c r="AN52" s="51"/>
      <c r="AO52" s="51"/>
      <c r="AP52" s="88">
        <f t="shared" si="1"/>
        <v>19</v>
      </c>
      <c r="AQ52" s="89">
        <f t="shared" si="2"/>
        <v>23.84210526315789</v>
      </c>
      <c r="AR52" s="89">
        <f>IFERROR(VLOOKUP(A52,Climatologia!A:U,9+$E$2,FALSE),"")</f>
        <v>22.452709359605912</v>
      </c>
      <c r="AS52" s="89">
        <f t="shared" si="3"/>
        <v>1.3893959035519785</v>
      </c>
      <c r="AT52" s="90">
        <f t="shared" si="4"/>
        <v>22.2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40426</v>
      </c>
      <c r="AW52" s="92">
        <f t="shared" si="5"/>
        <v>4</v>
      </c>
    </row>
    <row r="53" spans="1:49" ht="14.25" customHeight="1" x14ac:dyDescent="0.2">
      <c r="A53" s="48">
        <v>29015000</v>
      </c>
      <c r="B53" s="52" t="s">
        <v>140</v>
      </c>
      <c r="C53" s="52" t="s">
        <v>118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34</v>
      </c>
      <c r="J53" s="55" t="s">
        <v>141</v>
      </c>
      <c r="K53" s="51">
        <v>25.6</v>
      </c>
      <c r="L53" s="51">
        <v>25.6</v>
      </c>
      <c r="M53" s="51">
        <v>23.2</v>
      </c>
      <c r="N53" s="51">
        <v>24.2</v>
      </c>
      <c r="O53" s="51">
        <v>26.2</v>
      </c>
      <c r="P53" s="51">
        <v>25.4</v>
      </c>
      <c r="Q53" s="51">
        <v>23.2</v>
      </c>
      <c r="R53" s="51">
        <v>24.8</v>
      </c>
      <c r="S53" s="51">
        <v>25.4</v>
      </c>
      <c r="T53" s="51">
        <v>26</v>
      </c>
      <c r="U53" s="51">
        <v>25.8</v>
      </c>
      <c r="V53" s="51">
        <v>25.6</v>
      </c>
      <c r="W53" s="51"/>
      <c r="X53" s="51"/>
      <c r="Y53" s="51">
        <v>25.6</v>
      </c>
      <c r="Z53" s="111">
        <v>25.6</v>
      </c>
      <c r="AA53" s="51">
        <v>25.4</v>
      </c>
      <c r="AB53" s="51">
        <v>26.2</v>
      </c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16</v>
      </c>
      <c r="AQ53" s="89">
        <f t="shared" si="2"/>
        <v>25.237500000000004</v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23.2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20.2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36046</v>
      </c>
      <c r="AW53" s="92">
        <f t="shared" si="5"/>
        <v>3</v>
      </c>
    </row>
    <row r="54" spans="1:49" ht="14.25" customHeight="1" x14ac:dyDescent="0.2">
      <c r="A54" s="48">
        <v>29035000</v>
      </c>
      <c r="B54" s="52" t="s">
        <v>142</v>
      </c>
      <c r="C54" s="52" t="s">
        <v>118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34</v>
      </c>
      <c r="J54" s="55" t="s">
        <v>143</v>
      </c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0</v>
      </c>
      <c r="AQ54" s="89" t="str">
        <f t="shared" si="2"/>
        <v/>
      </c>
      <c r="AR54" s="89" t="str">
        <f>IFERROR(VLOOKUP(A54,Climatologia!A:U,9+$E$2,FALSE),"")</f>
        <v/>
      </c>
      <c r="AS54" s="89" t="str">
        <f t="shared" si="3"/>
        <v/>
      </c>
      <c r="AT54" s="90" t="str">
        <f t="shared" si="4"/>
        <v/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31296</v>
      </c>
      <c r="AW54" s="92" t="str">
        <f t="shared" si="5"/>
        <v>NA</v>
      </c>
    </row>
    <row r="55" spans="1:49" ht="14.25" customHeight="1" x14ac:dyDescent="0.2">
      <c r="A55" s="48">
        <v>29035030</v>
      </c>
      <c r="B55" s="52" t="s">
        <v>144</v>
      </c>
      <c r="C55" s="52" t="s">
        <v>118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34</v>
      </c>
      <c r="J55" s="55" t="s">
        <v>145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41536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146</v>
      </c>
      <c r="C56" s="52" t="s">
        <v>118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37</v>
      </c>
      <c r="J56" s="55" t="s">
        <v>147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24.120038760462609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36051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148</v>
      </c>
      <c r="C57" s="52" t="s">
        <v>118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34</v>
      </c>
      <c r="J57" s="55" t="s">
        <v>145</v>
      </c>
      <c r="K57" s="51">
        <v>25</v>
      </c>
      <c r="L57" s="51">
        <v>25.2</v>
      </c>
      <c r="M57" s="51">
        <v>23.6</v>
      </c>
      <c r="N57" s="51">
        <v>24.4</v>
      </c>
      <c r="O57" s="51">
        <v>25.2</v>
      </c>
      <c r="P57" s="51">
        <v>25</v>
      </c>
      <c r="Q57" s="51">
        <v>24.6</v>
      </c>
      <c r="R57" s="51">
        <v>25.4</v>
      </c>
      <c r="S57" s="51">
        <v>25</v>
      </c>
      <c r="T57" s="51">
        <v>25.4</v>
      </c>
      <c r="U57" s="51">
        <v>25.8</v>
      </c>
      <c r="V57" s="51">
        <v>26.8</v>
      </c>
      <c r="W57" s="51">
        <v>25.6</v>
      </c>
      <c r="X57" s="51">
        <v>25.8</v>
      </c>
      <c r="Y57" s="51">
        <v>25</v>
      </c>
      <c r="Z57" s="111">
        <v>25.2</v>
      </c>
      <c r="AA57" s="51">
        <v>25.8</v>
      </c>
      <c r="AB57" s="51">
        <v>26.6</v>
      </c>
      <c r="AC57" s="51">
        <v>23.8</v>
      </c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19</v>
      </c>
      <c r="AQ57" s="89">
        <f t="shared" si="2"/>
        <v>25.221052631578953</v>
      </c>
      <c r="AR57" s="89">
        <f>IFERROR(VLOOKUP(A57,Climatologia!A:U,9+$E$2,FALSE),"")</f>
        <v>23.7254865927842</v>
      </c>
      <c r="AS57" s="89">
        <f t="shared" si="3"/>
        <v>1.4955660387947525</v>
      </c>
      <c r="AT57" s="90">
        <f t="shared" si="4"/>
        <v>23.6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17.2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28734</v>
      </c>
      <c r="AW57" s="92">
        <f t="shared" si="5"/>
        <v>6.4000000000000021</v>
      </c>
    </row>
    <row r="58" spans="1:49" ht="14.25" customHeight="1" x14ac:dyDescent="0.2">
      <c r="A58" s="48">
        <v>31015010</v>
      </c>
      <c r="B58" s="52" t="s">
        <v>149</v>
      </c>
      <c r="C58" s="52" t="s">
        <v>150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151</v>
      </c>
      <c r="J58" s="55" t="s">
        <v>152</v>
      </c>
      <c r="K58" s="51">
        <v>24.6</v>
      </c>
      <c r="L58" s="51">
        <v>23.6</v>
      </c>
      <c r="M58" s="51"/>
      <c r="N58" s="51">
        <v>23.6</v>
      </c>
      <c r="O58" s="51">
        <v>22.2</v>
      </c>
      <c r="P58" s="51">
        <v>21.8</v>
      </c>
      <c r="Q58" s="51">
        <v>22.4</v>
      </c>
      <c r="R58" s="51">
        <v>23.4</v>
      </c>
      <c r="S58" s="51">
        <v>22.6</v>
      </c>
      <c r="T58" s="51"/>
      <c r="U58" s="51">
        <v>22.4</v>
      </c>
      <c r="V58" s="51">
        <v>19.600000000000001</v>
      </c>
      <c r="W58" s="51"/>
      <c r="X58" s="51">
        <v>23.2</v>
      </c>
      <c r="Y58" s="51">
        <v>22.8</v>
      </c>
      <c r="Z58" s="111">
        <v>22</v>
      </c>
      <c r="AA58" s="51">
        <v>25.8</v>
      </c>
      <c r="AB58" s="51">
        <v>23.6</v>
      </c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15</v>
      </c>
      <c r="AQ58" s="89">
        <f t="shared" si="2"/>
        <v>22.90666666666667</v>
      </c>
      <c r="AR58" s="89">
        <f>IFERROR(VLOOKUP(A58,Climatologia!A:U,9+$E$2,FALSE),"")</f>
        <v>21.37518499513471</v>
      </c>
      <c r="AS58" s="89">
        <f t="shared" si="3"/>
        <v>1.5314816715319601</v>
      </c>
      <c r="AT58" s="90">
        <f t="shared" si="4"/>
        <v>19.600000000000001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15.8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31302</v>
      </c>
      <c r="AW58" s="92">
        <f t="shared" si="5"/>
        <v>3.8000000000000007</v>
      </c>
    </row>
    <row r="59" spans="1:49" ht="14.25" customHeight="1" x14ac:dyDescent="0.2">
      <c r="A59" s="48">
        <v>31095030</v>
      </c>
      <c r="B59" s="52" t="s">
        <v>153</v>
      </c>
      <c r="C59" s="52" t="s">
        <v>150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154</v>
      </c>
      <c r="J59" s="55" t="s">
        <v>155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22.62268199233716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18.2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29842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156</v>
      </c>
      <c r="C60" s="52" t="s">
        <v>150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95</v>
      </c>
      <c r="J60" s="55" t="s">
        <v>156</v>
      </c>
      <c r="K60" s="51">
        <v>22.4</v>
      </c>
      <c r="L60" s="51">
        <v>23</v>
      </c>
      <c r="M60" s="51">
        <v>21.8</v>
      </c>
      <c r="N60" s="51">
        <v>22.8</v>
      </c>
      <c r="O60" s="51">
        <v>21.4</v>
      </c>
      <c r="P60" s="51">
        <v>20.6</v>
      </c>
      <c r="Q60" s="51">
        <v>22.4</v>
      </c>
      <c r="R60" s="51">
        <v>22.6</v>
      </c>
      <c r="S60" s="51">
        <v>22</v>
      </c>
      <c r="T60" s="51">
        <v>22.8</v>
      </c>
      <c r="U60" s="51">
        <v>22.2</v>
      </c>
      <c r="V60" s="51">
        <v>23</v>
      </c>
      <c r="W60" s="51"/>
      <c r="X60" s="51"/>
      <c r="Y60" s="51">
        <v>21.8</v>
      </c>
      <c r="Z60" s="111">
        <v>21.4</v>
      </c>
      <c r="AA60" s="51">
        <v>22.6</v>
      </c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15</v>
      </c>
      <c r="AQ60" s="89">
        <f t="shared" si="2"/>
        <v>22.186666666666667</v>
      </c>
      <c r="AR60" s="89">
        <f>IFERROR(VLOOKUP(A60,Climatologia!A:U,9+$E$2,FALSE),"")</f>
        <v>21.711950830140491</v>
      </c>
      <c r="AS60" s="89">
        <f t="shared" si="3"/>
        <v>0.4747158365261761</v>
      </c>
      <c r="AT60" s="90">
        <f t="shared" si="4"/>
        <v>20.6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17.100000000000001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30568</v>
      </c>
      <c r="AW60" s="92">
        <f t="shared" si="5"/>
        <v>3.5</v>
      </c>
    </row>
    <row r="61" spans="1:49" ht="14.25" customHeight="1" x14ac:dyDescent="0.2">
      <c r="A61" s="48">
        <v>32075050</v>
      </c>
      <c r="B61" s="52" t="s">
        <v>157</v>
      </c>
      <c r="C61" s="52" t="s">
        <v>150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95</v>
      </c>
      <c r="J61" s="55" t="s">
        <v>157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19.32154907161804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158</v>
      </c>
      <c r="C62" s="52" t="s">
        <v>150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154</v>
      </c>
      <c r="J62" s="55" t="s">
        <v>159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22.15150467164079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18.5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33488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160</v>
      </c>
      <c r="C63" s="52" t="s">
        <v>150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92</v>
      </c>
      <c r="J63" s="55" t="s">
        <v>160</v>
      </c>
      <c r="K63" s="51">
        <v>23.6</v>
      </c>
      <c r="L63" s="51">
        <v>22.6</v>
      </c>
      <c r="M63" s="51">
        <v>23</v>
      </c>
      <c r="N63" s="51">
        <v>21.2</v>
      </c>
      <c r="O63" s="51">
        <v>21.6</v>
      </c>
      <c r="P63" s="51">
        <v>20.399999999999999</v>
      </c>
      <c r="Q63" s="51">
        <v>21.6</v>
      </c>
      <c r="R63" s="51">
        <v>22</v>
      </c>
      <c r="S63" s="51">
        <v>23.8</v>
      </c>
      <c r="T63" s="51">
        <v>23.6</v>
      </c>
      <c r="U63" s="51">
        <v>21.2</v>
      </c>
      <c r="V63" s="51"/>
      <c r="W63" s="51"/>
      <c r="X63" s="51">
        <v>22.6</v>
      </c>
      <c r="Y63" s="51">
        <v>23.6</v>
      </c>
      <c r="Z63" s="111">
        <v>21.8</v>
      </c>
      <c r="AA63" s="51">
        <v>22.6</v>
      </c>
      <c r="AB63" s="51">
        <v>23</v>
      </c>
      <c r="AC63" s="51">
        <v>22.6</v>
      </c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17</v>
      </c>
      <c r="AQ63" s="89">
        <f t="shared" si="2"/>
        <v>22.400000000000006</v>
      </c>
      <c r="AR63" s="89">
        <f>IFERROR(VLOOKUP(A63,Climatologia!A:U,9+$E$2,FALSE),"")</f>
        <v>22.363032714412022</v>
      </c>
      <c r="AS63" s="89">
        <f t="shared" si="3"/>
        <v>3.6967285587984122E-2</v>
      </c>
      <c r="AT63" s="90">
        <f t="shared" si="4"/>
        <v>20.399999999999999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37882</v>
      </c>
      <c r="AW63" s="92">
        <f t="shared" si="5"/>
        <v>2.5999999999999979</v>
      </c>
    </row>
    <row r="64" spans="1:49" ht="14.25" customHeight="1" x14ac:dyDescent="0.2">
      <c r="A64" s="48">
        <v>34015010</v>
      </c>
      <c r="B64" s="52" t="s">
        <v>161</v>
      </c>
      <c r="C64" s="52" t="s">
        <v>150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92</v>
      </c>
      <c r="J64" s="55" t="s">
        <v>160</v>
      </c>
      <c r="K64" s="51">
        <v>23.2</v>
      </c>
      <c r="L64" s="51">
        <v>24</v>
      </c>
      <c r="M64" s="51">
        <v>23</v>
      </c>
      <c r="N64" s="51">
        <v>23.8</v>
      </c>
      <c r="O64" s="51">
        <v>22</v>
      </c>
      <c r="P64" s="51">
        <v>21.8</v>
      </c>
      <c r="Q64" s="51">
        <v>22.8</v>
      </c>
      <c r="R64" s="51">
        <v>21.8</v>
      </c>
      <c r="S64" s="51">
        <v>23.4</v>
      </c>
      <c r="T64" s="51">
        <v>24</v>
      </c>
      <c r="U64" s="51">
        <v>22.2</v>
      </c>
      <c r="V64" s="51">
        <v>23.6</v>
      </c>
      <c r="W64" s="51">
        <v>22.6</v>
      </c>
      <c r="X64" s="51">
        <v>23.6</v>
      </c>
      <c r="Y64" s="51">
        <v>24.2</v>
      </c>
      <c r="Z64" s="111">
        <v>21.8</v>
      </c>
      <c r="AA64" s="51">
        <v>21.6</v>
      </c>
      <c r="AB64" s="51">
        <v>23.6</v>
      </c>
      <c r="AC64" s="51">
        <v>22</v>
      </c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19</v>
      </c>
      <c r="AQ64" s="89">
        <f t="shared" si="2"/>
        <v>22.894736842105271</v>
      </c>
      <c r="AR64" s="89">
        <f>IFERROR(VLOOKUP(A64,Climatologia!A:U,9+$E$2,FALSE),"")</f>
        <v>22.055755336617409</v>
      </c>
      <c r="AS64" s="89">
        <f t="shared" si="3"/>
        <v>0.83898150548786177</v>
      </c>
      <c r="AT64" s="90">
        <f t="shared" si="4"/>
        <v>21.6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33493</v>
      </c>
      <c r="AW64" s="92">
        <f t="shared" si="5"/>
        <v>3.7000000000000028</v>
      </c>
    </row>
    <row r="65" spans="1:49" ht="14.25" customHeight="1" x14ac:dyDescent="0.2">
      <c r="A65" s="48">
        <v>35025110</v>
      </c>
      <c r="B65" s="52" t="s">
        <v>162</v>
      </c>
      <c r="C65" s="52" t="s">
        <v>150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95</v>
      </c>
      <c r="J65" s="55" t="s">
        <v>96</v>
      </c>
      <c r="K65" s="51">
        <v>24</v>
      </c>
      <c r="L65" s="51">
        <v>22.2</v>
      </c>
      <c r="M65" s="51">
        <v>22.2</v>
      </c>
      <c r="N65" s="51">
        <v>22.8</v>
      </c>
      <c r="O65" s="51">
        <v>22.8</v>
      </c>
      <c r="P65" s="51">
        <v>22.4</v>
      </c>
      <c r="Q65" s="51">
        <v>23.2</v>
      </c>
      <c r="R65" s="51">
        <v>22</v>
      </c>
      <c r="S65" s="51">
        <v>24</v>
      </c>
      <c r="T65" s="51">
        <v>21.8</v>
      </c>
      <c r="U65" s="51">
        <v>21.8</v>
      </c>
      <c r="V65" s="51">
        <v>22</v>
      </c>
      <c r="W65" s="51">
        <v>22.6</v>
      </c>
      <c r="X65" s="51">
        <v>22.2</v>
      </c>
      <c r="Y65" s="51">
        <v>23.4</v>
      </c>
      <c r="Z65" s="111">
        <v>22.2</v>
      </c>
      <c r="AA65" s="51">
        <v>23.4</v>
      </c>
      <c r="AB65" s="51">
        <v>24</v>
      </c>
      <c r="AC65" s="51">
        <v>22.2</v>
      </c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19</v>
      </c>
      <c r="AQ65" s="89">
        <f t="shared" si="2"/>
        <v>22.694736842105261</v>
      </c>
      <c r="AR65" s="89">
        <f>IFERROR(VLOOKUP(A65,Climatologia!A:U,9+$E$2,FALSE),"")</f>
        <v>21.68406544285855</v>
      </c>
      <c r="AS65" s="89">
        <f t="shared" si="3"/>
        <v>1.0106713992467107</v>
      </c>
      <c r="AT65" s="90">
        <f t="shared" si="4"/>
        <v>21.8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39330</v>
      </c>
      <c r="AW65" s="92">
        <f t="shared" si="5"/>
        <v>3.8000000000000007</v>
      </c>
    </row>
    <row r="66" spans="1:49" ht="14.25" customHeight="1" x14ac:dyDescent="0.2">
      <c r="A66" s="48">
        <v>35045020</v>
      </c>
      <c r="B66" s="52" t="s">
        <v>163</v>
      </c>
      <c r="C66" s="52" t="s">
        <v>150</v>
      </c>
      <c r="D66" s="53">
        <v>-73.357500000000002</v>
      </c>
      <c r="E66" s="53">
        <v>4.300444444</v>
      </c>
      <c r="F66" s="48">
        <v>310</v>
      </c>
      <c r="G66" s="46">
        <v>50</v>
      </c>
      <c r="H66" s="46">
        <v>50226</v>
      </c>
      <c r="I66" s="55" t="s">
        <v>95</v>
      </c>
      <c r="J66" s="55" t="s">
        <v>164</v>
      </c>
      <c r="K66" s="51">
        <v>21.4</v>
      </c>
      <c r="L66" s="51">
        <v>22</v>
      </c>
      <c r="M66" s="51">
        <v>20.8</v>
      </c>
      <c r="N66" s="51">
        <v>21.6</v>
      </c>
      <c r="O66" s="51">
        <v>21</v>
      </c>
      <c r="P66" s="51">
        <v>20.6</v>
      </c>
      <c r="Q66" s="51">
        <v>21.2</v>
      </c>
      <c r="R66" s="51">
        <v>20</v>
      </c>
      <c r="S66" s="51">
        <v>21</v>
      </c>
      <c r="T66" s="51">
        <v>19.2</v>
      </c>
      <c r="U66" s="51">
        <v>19.399999999999999</v>
      </c>
      <c r="V66" s="51">
        <v>20</v>
      </c>
      <c r="W66" s="51">
        <v>21.8</v>
      </c>
      <c r="X66" s="51">
        <v>21</v>
      </c>
      <c r="Y66" s="51">
        <v>20.6</v>
      </c>
      <c r="Z66" s="111">
        <v>20</v>
      </c>
      <c r="AA66" s="51">
        <v>21.2</v>
      </c>
      <c r="AB66" s="51">
        <v>21.4</v>
      </c>
      <c r="AC66" s="51">
        <v>20.8</v>
      </c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19</v>
      </c>
      <c r="AQ66" s="89">
        <f t="shared" si="2"/>
        <v>20.789473684210527</v>
      </c>
      <c r="AR66" s="89">
        <f>IFERROR(VLOOKUP(A66,Climatologia!A:U,9+$E$2,FALSE),"")</f>
        <v>21.265392804773391</v>
      </c>
      <c r="AS66" s="89">
        <f t="shared" si="3"/>
        <v>-0.4759191205628639</v>
      </c>
      <c r="AT66" s="90">
        <f t="shared" si="4"/>
        <v>19.2</v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18.2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30931</v>
      </c>
      <c r="AW66" s="92">
        <f t="shared" si="5"/>
        <v>1</v>
      </c>
    </row>
    <row r="67" spans="1:49" ht="14.25" customHeight="1" x14ac:dyDescent="0.2">
      <c r="A67" s="48">
        <v>35095110</v>
      </c>
      <c r="B67" s="52" t="s">
        <v>165</v>
      </c>
      <c r="C67" s="52" t="s">
        <v>150</v>
      </c>
      <c r="D67" s="53">
        <v>-72.915458000000001</v>
      </c>
      <c r="E67" s="53">
        <v>4.65144</v>
      </c>
      <c r="F67" s="48">
        <v>345</v>
      </c>
      <c r="G67" s="46">
        <v>85</v>
      </c>
      <c r="H67" s="46">
        <v>85440</v>
      </c>
      <c r="I67" s="55" t="s">
        <v>166</v>
      </c>
      <c r="J67" s="55" t="s">
        <v>167</v>
      </c>
      <c r="K67" s="51">
        <v>20.2</v>
      </c>
      <c r="L67" s="51">
        <v>21.4</v>
      </c>
      <c r="M67" s="51">
        <v>21.6</v>
      </c>
      <c r="N67" s="51">
        <v>22</v>
      </c>
      <c r="O67" s="51">
        <v>21.8</v>
      </c>
      <c r="P67" s="51">
        <v>20</v>
      </c>
      <c r="Q67" s="51">
        <v>20.100000000000001</v>
      </c>
      <c r="R67" s="51">
        <v>21.1</v>
      </c>
      <c r="S67" s="51">
        <v>22.2</v>
      </c>
      <c r="T67" s="51">
        <v>20.2</v>
      </c>
      <c r="U67" s="51">
        <v>21</v>
      </c>
      <c r="V67" s="51">
        <v>20</v>
      </c>
      <c r="W67" s="51">
        <v>21.6</v>
      </c>
      <c r="X67" s="51">
        <v>20.8</v>
      </c>
      <c r="Y67" s="51">
        <v>22.6</v>
      </c>
      <c r="Z67" s="111">
        <v>21</v>
      </c>
      <c r="AA67" s="51">
        <v>22.2</v>
      </c>
      <c r="AB67" s="51">
        <v>22</v>
      </c>
      <c r="AC67" s="51">
        <v>22.2</v>
      </c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19</v>
      </c>
      <c r="AQ67" s="89">
        <f t="shared" si="2"/>
        <v>21.263157894736842</v>
      </c>
      <c r="AR67" s="89">
        <f>IFERROR(VLOOKUP(A67,Climatologia!A:U,9+$E$2,FALSE),"")</f>
        <v>21.303087027914611</v>
      </c>
      <c r="AS67" s="89">
        <f t="shared" si="3"/>
        <v>-3.992913317776825E-2</v>
      </c>
      <c r="AT67" s="90">
        <f t="shared" si="4"/>
        <v>20</v>
      </c>
      <c r="AU67" s="90" t="str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/>
      </c>
      <c r="AV67" s="91" t="str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7" s="92" t="str">
        <f t="shared" si="5"/>
        <v>NA</v>
      </c>
    </row>
    <row r="68" spans="1:49" ht="14.25" customHeight="1" x14ac:dyDescent="0.2">
      <c r="A68" s="48">
        <v>35105050</v>
      </c>
      <c r="B68" s="52" t="s">
        <v>168</v>
      </c>
      <c r="C68" s="52" t="s">
        <v>150</v>
      </c>
      <c r="D68" s="53">
        <v>-72.953639999999993</v>
      </c>
      <c r="E68" s="53">
        <v>4.4686500000000002</v>
      </c>
      <c r="F68" s="48">
        <v>199</v>
      </c>
      <c r="G68" s="46">
        <v>50</v>
      </c>
      <c r="H68" s="46">
        <v>50110</v>
      </c>
      <c r="I68" s="55" t="s">
        <v>95</v>
      </c>
      <c r="J68" s="55" t="s">
        <v>169</v>
      </c>
      <c r="K68" s="51">
        <v>23.6</v>
      </c>
      <c r="L68" s="51">
        <v>22.6</v>
      </c>
      <c r="M68" s="51">
        <v>22.4</v>
      </c>
      <c r="N68" s="51">
        <v>23.8</v>
      </c>
      <c r="O68" s="51">
        <v>22.8</v>
      </c>
      <c r="P68" s="51">
        <v>22.8</v>
      </c>
      <c r="Q68" s="51">
        <v>21.4</v>
      </c>
      <c r="R68" s="51">
        <v>22.8</v>
      </c>
      <c r="S68" s="51">
        <v>24.2</v>
      </c>
      <c r="T68" s="51">
        <v>22.2</v>
      </c>
      <c r="U68" s="51">
        <v>21.4</v>
      </c>
      <c r="V68" s="51">
        <v>22.2</v>
      </c>
      <c r="W68" s="51">
        <v>23.2</v>
      </c>
      <c r="X68" s="51">
        <v>23.2</v>
      </c>
      <c r="Y68" s="51">
        <v>23.2</v>
      </c>
      <c r="Z68" s="111">
        <v>22.2</v>
      </c>
      <c r="AA68" s="51">
        <v>22.6</v>
      </c>
      <c r="AB68" s="51">
        <v>24</v>
      </c>
      <c r="AC68" s="51">
        <v>23.2</v>
      </c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19</v>
      </c>
      <c r="AQ68" s="89">
        <f t="shared" si="2"/>
        <v>22.831578947368417</v>
      </c>
      <c r="AR68" s="89">
        <f>IFERROR(VLOOKUP(A68,Climatologia!A:U,9+$E$2,FALSE),"")</f>
        <v>21.233794084615539</v>
      </c>
      <c r="AS68" s="89">
        <f t="shared" si="3"/>
        <v>1.5977848627528779</v>
      </c>
      <c r="AT68" s="90">
        <f t="shared" si="4"/>
        <v>21.4</v>
      </c>
      <c r="AU68" s="90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>18.399999999999999</v>
      </c>
      <c r="AV68" s="91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>35323</v>
      </c>
      <c r="AW68" s="92">
        <f t="shared" si="5"/>
        <v>3</v>
      </c>
    </row>
    <row r="69" spans="1:49" ht="14.25" customHeight="1" x14ac:dyDescent="0.2">
      <c r="A69" s="48">
        <v>35225030</v>
      </c>
      <c r="B69" s="52" t="s">
        <v>170</v>
      </c>
      <c r="C69" s="52" t="s">
        <v>150</v>
      </c>
      <c r="D69" s="53">
        <v>-71.433082999999996</v>
      </c>
      <c r="E69" s="53">
        <v>4.9105280000000002</v>
      </c>
      <c r="F69" s="48">
        <v>139</v>
      </c>
      <c r="G69" s="46">
        <v>85</v>
      </c>
      <c r="H69" s="46">
        <v>85230</v>
      </c>
      <c r="I69" s="55" t="s">
        <v>166</v>
      </c>
      <c r="J69" s="55" t="s">
        <v>171</v>
      </c>
      <c r="K69" s="51">
        <v>24.2</v>
      </c>
      <c r="L69" s="51">
        <v>22.3</v>
      </c>
      <c r="M69" s="51">
        <v>24</v>
      </c>
      <c r="N69" s="51">
        <v>23.3</v>
      </c>
      <c r="O69" s="51">
        <v>24</v>
      </c>
      <c r="P69" s="51"/>
      <c r="Q69" s="51">
        <v>23</v>
      </c>
      <c r="R69" s="51">
        <v>23.4</v>
      </c>
      <c r="S69" s="51">
        <v>24.4</v>
      </c>
      <c r="T69" s="51">
        <v>24.3</v>
      </c>
      <c r="U69" s="51">
        <v>22.3</v>
      </c>
      <c r="V69" s="51">
        <v>23.3</v>
      </c>
      <c r="W69" s="51">
        <v>21.3</v>
      </c>
      <c r="X69" s="51">
        <v>23.4</v>
      </c>
      <c r="Y69" s="51">
        <v>24.4</v>
      </c>
      <c r="Z69" s="111">
        <v>23.1</v>
      </c>
      <c r="AA69" s="51">
        <v>24</v>
      </c>
      <c r="AB69" s="51">
        <v>24.4</v>
      </c>
      <c r="AC69" s="51">
        <v>22.4</v>
      </c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18</v>
      </c>
      <c r="AQ69" s="89">
        <f t="shared" ref="AQ69:AQ132" si="7">IF(AP69&gt;14,AVERAGE(K69:AO69),"")</f>
        <v>23.416666666666668</v>
      </c>
      <c r="AR69" s="89">
        <f>IFERROR(VLOOKUP(A69,Climatologia!A:U,9+$E$2,FALSE),"")</f>
        <v>22.62335339263911</v>
      </c>
      <c r="AS69" s="89">
        <f t="shared" ref="AS69:AS132" si="8">IF(OR(AQ69="",AR69=""),"",IFERROR(AQ69-AR69,""))</f>
        <v>0.79331327402755747</v>
      </c>
      <c r="AT69" s="90">
        <f t="shared" ref="AT69:AT132" si="9">IF(COUNT(K69:AO69)=0,"",MIN(K69:AO69))</f>
        <v>21.3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14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30207</v>
      </c>
      <c r="AW69" s="92">
        <f t="shared" ref="AW69:AW132" si="10">IF(OR(AT69="",AU69=""),"NA",IFERROR(AT69-AU69,"NA"))</f>
        <v>7.3000000000000007</v>
      </c>
    </row>
    <row r="70" spans="1:49" ht="14.25" customHeight="1" x14ac:dyDescent="0.2">
      <c r="A70" s="48">
        <v>42075010</v>
      </c>
      <c r="B70" s="52" t="s">
        <v>172</v>
      </c>
      <c r="C70" s="52" t="s">
        <v>150</v>
      </c>
      <c r="D70" s="53">
        <v>-70.239204000000001</v>
      </c>
      <c r="E70" s="53">
        <v>1.2597020000000001</v>
      </c>
      <c r="F70" s="48">
        <v>168</v>
      </c>
      <c r="G70" s="46">
        <v>97</v>
      </c>
      <c r="H70" s="46">
        <v>97001</v>
      </c>
      <c r="I70" s="55" t="s">
        <v>173</v>
      </c>
      <c r="J70" s="55" t="s">
        <v>174</v>
      </c>
      <c r="K70" s="51">
        <v>23.3</v>
      </c>
      <c r="L70" s="51">
        <v>23.3</v>
      </c>
      <c r="M70" s="51">
        <v>22.3</v>
      </c>
      <c r="N70" s="51">
        <v>21.3</v>
      </c>
      <c r="O70" s="51">
        <v>21.3</v>
      </c>
      <c r="P70" s="51">
        <v>21.3</v>
      </c>
      <c r="Q70" s="51">
        <v>21.2</v>
      </c>
      <c r="R70" s="51">
        <v>21.1</v>
      </c>
      <c r="S70" s="51">
        <v>22</v>
      </c>
      <c r="T70" s="51">
        <v>22.2</v>
      </c>
      <c r="U70" s="51">
        <v>22.3</v>
      </c>
      <c r="V70" s="51">
        <v>22.3</v>
      </c>
      <c r="W70" s="51">
        <v>22.4</v>
      </c>
      <c r="X70" s="51">
        <v>22.2</v>
      </c>
      <c r="Y70" s="51">
        <v>22.2</v>
      </c>
      <c r="Z70" s="111">
        <v>21.3</v>
      </c>
      <c r="AA70" s="51">
        <v>21.1</v>
      </c>
      <c r="AB70" s="51">
        <v>22.4</v>
      </c>
      <c r="AC70" s="51">
        <v>22</v>
      </c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19</v>
      </c>
      <c r="AQ70" s="89">
        <f t="shared" si="7"/>
        <v>21.973684210526311</v>
      </c>
      <c r="AR70" s="89">
        <f>IFERROR(VLOOKUP(A70,Climatologia!A:U,9+$E$2,FALSE),"")</f>
        <v>21.58913993796752</v>
      </c>
      <c r="AS70" s="89">
        <f t="shared" si="8"/>
        <v>0.38454427255879153</v>
      </c>
      <c r="AT70" s="90">
        <f t="shared" si="9"/>
        <v>21.1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17.2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37136</v>
      </c>
      <c r="AW70" s="92">
        <f t="shared" si="10"/>
        <v>3.9000000000000021</v>
      </c>
    </row>
    <row r="71" spans="1:49" ht="14.25" customHeight="1" x14ac:dyDescent="0.2">
      <c r="A71" s="48">
        <v>3502500006</v>
      </c>
      <c r="B71" s="52" t="s">
        <v>175</v>
      </c>
      <c r="C71" s="52" t="s">
        <v>150</v>
      </c>
      <c r="D71" s="53">
        <v>-73.242963888999995</v>
      </c>
      <c r="E71" s="53">
        <v>3.9325472220000002</v>
      </c>
      <c r="F71" s="48">
        <v>277</v>
      </c>
      <c r="G71" s="46">
        <v>50</v>
      </c>
      <c r="H71" s="46">
        <v>50680</v>
      </c>
      <c r="I71" s="55" t="s">
        <v>95</v>
      </c>
      <c r="J71" s="55" t="s">
        <v>176</v>
      </c>
      <c r="K71" s="51">
        <v>20.8</v>
      </c>
      <c r="L71" s="51">
        <v>21.8</v>
      </c>
      <c r="M71" s="51">
        <v>20.8</v>
      </c>
      <c r="N71" s="51">
        <v>20.8</v>
      </c>
      <c r="O71" s="51">
        <v>21</v>
      </c>
      <c r="P71" s="51">
        <v>20.8</v>
      </c>
      <c r="Q71" s="51"/>
      <c r="R71" s="51">
        <v>20.6</v>
      </c>
      <c r="S71" s="51">
        <v>22.6</v>
      </c>
      <c r="T71" s="51">
        <v>20.6</v>
      </c>
      <c r="U71" s="51">
        <v>20.399999999999999</v>
      </c>
      <c r="V71" s="51">
        <v>21.4</v>
      </c>
      <c r="W71" s="51"/>
      <c r="X71" s="51"/>
      <c r="Y71" s="51">
        <v>21.6</v>
      </c>
      <c r="Z71" s="111">
        <v>21</v>
      </c>
      <c r="AA71" s="51">
        <v>21</v>
      </c>
      <c r="AB71" s="51">
        <v>21</v>
      </c>
      <c r="AC71" s="51">
        <v>21.2</v>
      </c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16</v>
      </c>
      <c r="AQ71" s="89">
        <f t="shared" si="7"/>
        <v>21.087499999999999</v>
      </c>
      <c r="AR71" s="89" t="str">
        <f>IFERROR(VLOOKUP(A71,Climatologia!A:U,9+$E$2,FALSE),"")</f>
        <v/>
      </c>
      <c r="AS71" s="89" t="str">
        <f t="shared" si="8"/>
        <v/>
      </c>
      <c r="AT71" s="90">
        <f t="shared" si="9"/>
        <v>20.399999999999999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19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44091</v>
      </c>
      <c r="AW71" s="92">
        <f t="shared" si="10"/>
        <v>1.3999999999999986</v>
      </c>
    </row>
    <row r="72" spans="1:49" ht="14.25" customHeight="1" x14ac:dyDescent="0.2">
      <c r="A72" s="48">
        <v>21025030</v>
      </c>
      <c r="B72" s="52" t="s">
        <v>177</v>
      </c>
      <c r="C72" s="52" t="s">
        <v>178</v>
      </c>
      <c r="D72" s="53">
        <v>-75.736222220000002</v>
      </c>
      <c r="E72" s="53">
        <v>2.079166667</v>
      </c>
      <c r="F72" s="48">
        <v>1368</v>
      </c>
      <c r="G72" s="46">
        <v>41</v>
      </c>
      <c r="H72" s="46">
        <v>41026</v>
      </c>
      <c r="I72" s="55" t="s">
        <v>79</v>
      </c>
      <c r="J72" s="55" t="s">
        <v>179</v>
      </c>
      <c r="K72" s="51">
        <v>18.2</v>
      </c>
      <c r="L72" s="51">
        <v>16.399999999999999</v>
      </c>
      <c r="M72" s="51">
        <v>17.2</v>
      </c>
      <c r="N72" s="51">
        <v>18.2</v>
      </c>
      <c r="O72" s="51">
        <v>17.2</v>
      </c>
      <c r="P72" s="51">
        <v>17.399999999999999</v>
      </c>
      <c r="Q72" s="51">
        <v>17</v>
      </c>
      <c r="R72" s="51">
        <v>17.2</v>
      </c>
      <c r="S72" s="51">
        <v>18.399999999999999</v>
      </c>
      <c r="T72" s="51">
        <v>17.399999999999999</v>
      </c>
      <c r="U72" s="51">
        <v>18</v>
      </c>
      <c r="V72" s="51">
        <v>18.2</v>
      </c>
      <c r="W72" s="51">
        <v>20.399999999999999</v>
      </c>
      <c r="X72" s="51">
        <v>18</v>
      </c>
      <c r="Y72" s="51">
        <v>17.399999999999999</v>
      </c>
      <c r="Z72" s="111">
        <v>17</v>
      </c>
      <c r="AA72" s="51">
        <v>17.399999999999999</v>
      </c>
      <c r="AB72" s="51">
        <v>18.2</v>
      </c>
      <c r="AC72" s="51">
        <v>16.399999999999999</v>
      </c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19</v>
      </c>
      <c r="AQ72" s="89">
        <f t="shared" si="7"/>
        <v>17.663157894736838</v>
      </c>
      <c r="AR72" s="89">
        <f>IFERROR(VLOOKUP(A72,Climatologia!A:U,9+$E$2,FALSE),"")</f>
        <v>16.856863660477451</v>
      </c>
      <c r="AS72" s="89">
        <f t="shared" si="8"/>
        <v>0.8062942342593864</v>
      </c>
      <c r="AT72" s="90">
        <f t="shared" si="9"/>
        <v>16.399999999999999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14.2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37510</v>
      </c>
      <c r="AW72" s="92">
        <f t="shared" si="10"/>
        <v>2.1999999999999993</v>
      </c>
    </row>
    <row r="73" spans="1:49" ht="14.25" customHeight="1" x14ac:dyDescent="0.2">
      <c r="A73" s="48">
        <v>21055030</v>
      </c>
      <c r="B73" s="52" t="s">
        <v>180</v>
      </c>
      <c r="C73" s="52" t="s">
        <v>178</v>
      </c>
      <c r="D73" s="53">
        <v>-76.16</v>
      </c>
      <c r="E73" s="53">
        <v>2.2400000000000002</v>
      </c>
      <c r="F73" s="48">
        <v>2085</v>
      </c>
      <c r="G73" s="46">
        <v>19</v>
      </c>
      <c r="H73" s="46">
        <v>19355</v>
      </c>
      <c r="I73" s="55" t="s">
        <v>181</v>
      </c>
      <c r="J73" s="55" t="s">
        <v>182</v>
      </c>
      <c r="K73" s="51">
        <v>11.2</v>
      </c>
      <c r="L73" s="51">
        <v>11.2</v>
      </c>
      <c r="M73" s="51">
        <v>13</v>
      </c>
      <c r="N73" s="51">
        <v>12.2</v>
      </c>
      <c r="O73" s="51">
        <v>12.4</v>
      </c>
      <c r="P73" s="51">
        <v>12.2</v>
      </c>
      <c r="Q73" s="51">
        <v>12</v>
      </c>
      <c r="R73" s="51">
        <v>11.6</v>
      </c>
      <c r="S73" s="51">
        <v>12.4</v>
      </c>
      <c r="T73" s="51">
        <v>11.4</v>
      </c>
      <c r="U73" s="51">
        <v>12.6</v>
      </c>
      <c r="V73" s="51">
        <v>11</v>
      </c>
      <c r="W73" s="51">
        <v>12</v>
      </c>
      <c r="X73" s="51">
        <v>12.4</v>
      </c>
      <c r="Y73" s="51">
        <v>12</v>
      </c>
      <c r="Z73" s="111">
        <v>12.4</v>
      </c>
      <c r="AA73" s="51">
        <v>11.2</v>
      </c>
      <c r="AB73" s="51">
        <v>11.4</v>
      </c>
      <c r="AC73" s="51">
        <v>12.8</v>
      </c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19</v>
      </c>
      <c r="AQ73" s="89">
        <f t="shared" si="7"/>
        <v>11.968421052631578</v>
      </c>
      <c r="AR73" s="89">
        <f>IFERROR(VLOOKUP(A73,Climatologia!A:U,9+$E$2,FALSE),"")</f>
        <v>11.565427904789971</v>
      </c>
      <c r="AS73" s="89">
        <f t="shared" si="8"/>
        <v>0.40299314784160778</v>
      </c>
      <c r="AT73" s="90">
        <f t="shared" si="9"/>
        <v>11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8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34218</v>
      </c>
      <c r="AW73" s="92">
        <f t="shared" si="10"/>
        <v>3</v>
      </c>
    </row>
    <row r="74" spans="1:49" ht="14.25" customHeight="1" x14ac:dyDescent="0.2">
      <c r="A74" s="48">
        <v>21065040</v>
      </c>
      <c r="B74" s="52" t="s">
        <v>183</v>
      </c>
      <c r="C74" s="52" t="s">
        <v>178</v>
      </c>
      <c r="D74" s="53">
        <v>-75.529444440000006</v>
      </c>
      <c r="E74" s="53">
        <v>2.2524999999999999</v>
      </c>
      <c r="F74" s="48">
        <v>1270</v>
      </c>
      <c r="G74" s="46">
        <v>41</v>
      </c>
      <c r="H74" s="46">
        <v>41298</v>
      </c>
      <c r="I74" s="55" t="s">
        <v>79</v>
      </c>
      <c r="J74" s="55" t="s">
        <v>184</v>
      </c>
      <c r="K74" s="51">
        <v>14.2</v>
      </c>
      <c r="L74" s="51">
        <v>14</v>
      </c>
      <c r="M74" s="51">
        <v>17.2</v>
      </c>
      <c r="N74" s="51">
        <v>16.2</v>
      </c>
      <c r="O74" s="51">
        <v>17.2</v>
      </c>
      <c r="P74" s="51">
        <v>17</v>
      </c>
      <c r="Q74" s="51">
        <v>15.2</v>
      </c>
      <c r="R74" s="51">
        <v>14</v>
      </c>
      <c r="S74" s="51">
        <v>17.2</v>
      </c>
      <c r="T74" s="51">
        <v>14.8</v>
      </c>
      <c r="U74" s="51">
        <v>16.899999999999999</v>
      </c>
      <c r="V74" s="51">
        <v>14.2</v>
      </c>
      <c r="W74" s="51">
        <v>16.2</v>
      </c>
      <c r="X74" s="51">
        <v>16.8</v>
      </c>
      <c r="Y74" s="51">
        <v>15.2</v>
      </c>
      <c r="Z74" s="111">
        <v>17</v>
      </c>
      <c r="AA74" s="51">
        <v>15.2</v>
      </c>
      <c r="AB74" s="51">
        <v>17</v>
      </c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18</v>
      </c>
      <c r="AQ74" s="89">
        <f t="shared" si="7"/>
        <v>15.861111111111111</v>
      </c>
      <c r="AR74" s="89">
        <f>IFERROR(VLOOKUP(A74,Climatologia!A:U,9+$E$2,FALSE),"")</f>
        <v>15.41515998624619</v>
      </c>
      <c r="AS74" s="89">
        <f t="shared" si="8"/>
        <v>0.44595112486492106</v>
      </c>
      <c r="AT74" s="90">
        <f t="shared" si="9"/>
        <v>14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11.4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30571</v>
      </c>
      <c r="AW74" s="92">
        <f t="shared" si="10"/>
        <v>2.5999999999999996</v>
      </c>
    </row>
    <row r="75" spans="1:49" ht="14.25" customHeight="1" x14ac:dyDescent="0.2">
      <c r="A75" s="48">
        <v>21115100</v>
      </c>
      <c r="B75" s="52" t="s">
        <v>185</v>
      </c>
      <c r="C75" s="52" t="s">
        <v>178</v>
      </c>
      <c r="D75" s="53">
        <v>-75.066388889999999</v>
      </c>
      <c r="E75" s="53">
        <v>2.9426388889999999</v>
      </c>
      <c r="F75" s="48">
        <v>1100</v>
      </c>
      <c r="G75" s="46">
        <v>41</v>
      </c>
      <c r="H75" s="46">
        <v>41001</v>
      </c>
      <c r="I75" s="55" t="s">
        <v>79</v>
      </c>
      <c r="J75" s="55" t="s">
        <v>80</v>
      </c>
      <c r="K75" s="51">
        <v>18</v>
      </c>
      <c r="L75" s="51">
        <v>16</v>
      </c>
      <c r="M75" s="51">
        <v>15.8</v>
      </c>
      <c r="N75" s="51">
        <v>18.2</v>
      </c>
      <c r="O75" s="51">
        <v>17.8</v>
      </c>
      <c r="P75" s="51">
        <v>18</v>
      </c>
      <c r="Q75" s="51">
        <v>17</v>
      </c>
      <c r="R75" s="51">
        <v>15.4</v>
      </c>
      <c r="S75" s="51">
        <v>18</v>
      </c>
      <c r="T75" s="51">
        <v>17.600000000000001</v>
      </c>
      <c r="U75" s="51">
        <v>16.2</v>
      </c>
      <c r="V75" s="51">
        <v>17.2</v>
      </c>
      <c r="W75" s="51">
        <v>17.8</v>
      </c>
      <c r="X75" s="51">
        <v>19</v>
      </c>
      <c r="Y75" s="51">
        <v>17.399999999999999</v>
      </c>
      <c r="Z75" s="111">
        <v>16.2</v>
      </c>
      <c r="AA75" s="51">
        <v>17.399999999999999</v>
      </c>
      <c r="AB75" s="51">
        <v>18.399999999999999</v>
      </c>
      <c r="AC75" s="51"/>
      <c r="AD75" s="51"/>
      <c r="AE75" s="51"/>
      <c r="AF75" s="51"/>
      <c r="AG75" s="51"/>
      <c r="AH75" s="51"/>
      <c r="AI75" s="51"/>
      <c r="AJ75" s="51"/>
      <c r="AK75" s="51"/>
      <c r="AL75" s="116"/>
      <c r="AM75" s="51"/>
      <c r="AN75" s="51"/>
      <c r="AO75" s="51"/>
      <c r="AP75" s="88">
        <f t="shared" si="6"/>
        <v>18</v>
      </c>
      <c r="AQ75" s="89">
        <f t="shared" si="7"/>
        <v>17.299999999999997</v>
      </c>
      <c r="AR75" s="89">
        <f>IFERROR(VLOOKUP(A75,Climatologia!A:U,9+$E$2,FALSE),"")</f>
        <v>18.656310283027459</v>
      </c>
      <c r="AS75" s="89">
        <f t="shared" si="8"/>
        <v>-1.3563102830274616</v>
      </c>
      <c r="AT75" s="90">
        <f t="shared" si="9"/>
        <v>15.4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14.6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33873</v>
      </c>
      <c r="AW75" s="92">
        <f t="shared" si="10"/>
        <v>0.80000000000000071</v>
      </c>
    </row>
    <row r="76" spans="1:49" ht="14.25" customHeight="1" x14ac:dyDescent="0.2">
      <c r="A76" s="48">
        <v>21135030</v>
      </c>
      <c r="B76" s="52" t="s">
        <v>186</v>
      </c>
      <c r="C76" s="52" t="s">
        <v>178</v>
      </c>
      <c r="D76" s="53">
        <v>-75.108999999999995</v>
      </c>
      <c r="E76" s="53">
        <v>3.5738333330000001</v>
      </c>
      <c r="F76" s="48">
        <v>415</v>
      </c>
      <c r="G76" s="46">
        <v>73</v>
      </c>
      <c r="H76" s="46">
        <v>73483</v>
      </c>
      <c r="I76" s="55" t="s">
        <v>70</v>
      </c>
      <c r="J76" s="55" t="s">
        <v>187</v>
      </c>
      <c r="K76" s="51">
        <v>26</v>
      </c>
      <c r="L76" s="51">
        <v>25.8</v>
      </c>
      <c r="M76" s="51">
        <v>24</v>
      </c>
      <c r="N76" s="51">
        <v>27.8</v>
      </c>
      <c r="O76" s="51">
        <v>28.8</v>
      </c>
      <c r="P76" s="51">
        <v>28.8</v>
      </c>
      <c r="Q76" s="51">
        <v>29</v>
      </c>
      <c r="R76" s="51">
        <v>24</v>
      </c>
      <c r="S76" s="51">
        <v>28.6</v>
      </c>
      <c r="T76" s="51">
        <v>27.4</v>
      </c>
      <c r="U76" s="51">
        <v>29</v>
      </c>
      <c r="V76" s="51">
        <v>26.4</v>
      </c>
      <c r="W76" s="51">
        <v>28.6</v>
      </c>
      <c r="X76" s="51">
        <v>28.8</v>
      </c>
      <c r="Y76" s="51">
        <v>28.2</v>
      </c>
      <c r="Z76" s="111">
        <v>26.6</v>
      </c>
      <c r="AA76" s="51">
        <v>27.2</v>
      </c>
      <c r="AB76" s="51">
        <v>29.2</v>
      </c>
      <c r="AC76" s="51">
        <v>27.4</v>
      </c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19</v>
      </c>
      <c r="AQ76" s="89">
        <f t="shared" si="7"/>
        <v>27.452631578947368</v>
      </c>
      <c r="AR76" s="89">
        <f>IFERROR(VLOOKUP(A76,Climatologia!A:U,9+$E$2,FALSE),"")</f>
        <v>24.258489020705198</v>
      </c>
      <c r="AS76" s="89">
        <f t="shared" si="8"/>
        <v>3.1941425582421701</v>
      </c>
      <c r="AT76" s="90">
        <f t="shared" si="9"/>
        <v>24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18.600000000000001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29833</v>
      </c>
      <c r="AW76" s="92">
        <f t="shared" si="10"/>
        <v>5.3999999999999986</v>
      </c>
    </row>
    <row r="77" spans="1:49" ht="14.25" customHeight="1" x14ac:dyDescent="0.2">
      <c r="A77" s="48">
        <v>21145040</v>
      </c>
      <c r="B77" s="52" t="s">
        <v>188</v>
      </c>
      <c r="C77" s="52" t="s">
        <v>178</v>
      </c>
      <c r="D77" s="53">
        <v>-75.110111110000005</v>
      </c>
      <c r="E77" s="53">
        <v>3.3733611109999999</v>
      </c>
      <c r="F77" s="48">
        <v>440</v>
      </c>
      <c r="G77" s="46">
        <v>41</v>
      </c>
      <c r="H77" s="46">
        <v>41872</v>
      </c>
      <c r="I77" s="55" t="s">
        <v>79</v>
      </c>
      <c r="J77" s="55" t="s">
        <v>189</v>
      </c>
      <c r="K77" s="51">
        <v>24.6</v>
      </c>
      <c r="L77" s="51">
        <v>23.6</v>
      </c>
      <c r="M77" s="51">
        <v>22.6</v>
      </c>
      <c r="N77" s="51">
        <v>24.8</v>
      </c>
      <c r="O77" s="51">
        <v>24.8</v>
      </c>
      <c r="P77" s="51">
        <v>27.8</v>
      </c>
      <c r="Q77" s="51">
        <v>27.4</v>
      </c>
      <c r="R77" s="51">
        <v>24.6</v>
      </c>
      <c r="S77" s="51">
        <v>27.4</v>
      </c>
      <c r="T77" s="51">
        <v>25.4</v>
      </c>
      <c r="U77" s="51">
        <v>26.2</v>
      </c>
      <c r="V77" s="51">
        <v>26</v>
      </c>
      <c r="W77" s="51">
        <v>26.6</v>
      </c>
      <c r="X77" s="51">
        <v>27</v>
      </c>
      <c r="Y77" s="51">
        <v>26.6</v>
      </c>
      <c r="Z77" s="111">
        <v>25.4</v>
      </c>
      <c r="AA77" s="51">
        <v>25.6</v>
      </c>
      <c r="AB77" s="51">
        <v>26.2</v>
      </c>
      <c r="AC77" s="51">
        <v>26</v>
      </c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19</v>
      </c>
      <c r="AQ77" s="89">
        <f t="shared" si="7"/>
        <v>25.715789473684215</v>
      </c>
      <c r="AR77" s="89">
        <f>IFERROR(VLOOKUP(A77,Climatologia!A:U,9+$E$2,FALSE),"")</f>
        <v>23.486005023711911</v>
      </c>
      <c r="AS77" s="89">
        <f t="shared" si="8"/>
        <v>2.2297844499723034</v>
      </c>
      <c r="AT77" s="90">
        <f t="shared" si="9"/>
        <v>22.6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29099</v>
      </c>
      <c r="AW77" s="92">
        <f t="shared" si="10"/>
        <v>4.6000000000000014</v>
      </c>
    </row>
    <row r="78" spans="1:49" ht="14.25" customHeight="1" x14ac:dyDescent="0.2">
      <c r="A78" s="48">
        <v>21145080</v>
      </c>
      <c r="B78" s="52" t="s">
        <v>190</v>
      </c>
      <c r="C78" s="52" t="s">
        <v>178</v>
      </c>
      <c r="D78" s="53">
        <v>-74.702944439999996</v>
      </c>
      <c r="E78" s="53">
        <v>3.5897777780000002</v>
      </c>
      <c r="F78" s="48">
        <v>1410</v>
      </c>
      <c r="G78" s="46">
        <v>41</v>
      </c>
      <c r="H78" s="46">
        <v>41206</v>
      </c>
      <c r="I78" s="55" t="s">
        <v>79</v>
      </c>
      <c r="J78" s="55" t="s">
        <v>191</v>
      </c>
      <c r="K78" s="51">
        <v>14.8</v>
      </c>
      <c r="L78" s="51">
        <v>15</v>
      </c>
      <c r="M78" s="51">
        <v>14.4</v>
      </c>
      <c r="N78" s="51">
        <v>14.2</v>
      </c>
      <c r="O78" s="51">
        <v>14.2</v>
      </c>
      <c r="P78" s="51">
        <v>15.2</v>
      </c>
      <c r="Q78" s="51">
        <v>14.4</v>
      </c>
      <c r="R78" s="51">
        <v>15.8</v>
      </c>
      <c r="S78" s="51">
        <v>18</v>
      </c>
      <c r="T78" s="51">
        <v>13.6</v>
      </c>
      <c r="U78" s="51">
        <v>15.4</v>
      </c>
      <c r="V78" s="51">
        <v>14.2</v>
      </c>
      <c r="W78" s="51">
        <v>15</v>
      </c>
      <c r="X78" s="51">
        <v>15.2</v>
      </c>
      <c r="Y78" s="51">
        <v>14.2</v>
      </c>
      <c r="Z78" s="111">
        <v>16.2</v>
      </c>
      <c r="AA78" s="51">
        <v>14.2</v>
      </c>
      <c r="AB78" s="51">
        <v>15.6</v>
      </c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18</v>
      </c>
      <c r="AQ78" s="89">
        <f t="shared" si="7"/>
        <v>14.977777777777776</v>
      </c>
      <c r="AR78" s="89">
        <f>IFERROR(VLOOKUP(A78,Climatologia!A:U,9+$E$2,FALSE),"")</f>
        <v>15.67780219897565</v>
      </c>
      <c r="AS78" s="89">
        <f t="shared" si="8"/>
        <v>-0.70002442119787389</v>
      </c>
      <c r="AT78" s="90">
        <f t="shared" si="9"/>
        <v>13.6</v>
      </c>
      <c r="AU78" s="90" t="str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/>
      </c>
      <c r="AV78" s="91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8" s="92" t="str">
        <f t="shared" si="10"/>
        <v>NA</v>
      </c>
    </row>
    <row r="79" spans="1:49" ht="14.25" customHeight="1" x14ac:dyDescent="0.2">
      <c r="A79" s="48">
        <v>44045010</v>
      </c>
      <c r="B79" s="52" t="s">
        <v>192</v>
      </c>
      <c r="C79" s="52" t="s">
        <v>178</v>
      </c>
      <c r="D79" s="53">
        <v>-75.961500000000001</v>
      </c>
      <c r="E79" s="53">
        <v>1.325138889</v>
      </c>
      <c r="F79" s="48">
        <v>320</v>
      </c>
      <c r="G79" s="46">
        <v>18</v>
      </c>
      <c r="H79" s="46">
        <v>18610</v>
      </c>
      <c r="I79" s="55" t="s">
        <v>193</v>
      </c>
      <c r="J79" s="55" t="s">
        <v>194</v>
      </c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0</v>
      </c>
      <c r="AQ79" s="89" t="str">
        <f t="shared" si="7"/>
        <v/>
      </c>
      <c r="AR79" s="89">
        <f>IFERROR(VLOOKUP(A79,Climatologia!A:U,9+$E$2,FALSE),"")</f>
        <v>20.9214094475129</v>
      </c>
      <c r="AS79" s="89" t="str">
        <f t="shared" si="8"/>
        <v/>
      </c>
      <c r="AT79" s="90" t="str">
        <f t="shared" si="9"/>
        <v/>
      </c>
      <c r="AU79" s="90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>17</v>
      </c>
      <c r="AV79" s="91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79" s="92" t="str">
        <f t="shared" si="10"/>
        <v>NA</v>
      </c>
    </row>
    <row r="80" spans="1:49" ht="14.25" customHeight="1" x14ac:dyDescent="0.2">
      <c r="A80" s="48">
        <v>44045020</v>
      </c>
      <c r="B80" s="52" t="s">
        <v>195</v>
      </c>
      <c r="C80" s="52" t="s">
        <v>178</v>
      </c>
      <c r="D80" s="53">
        <v>-75.70447222</v>
      </c>
      <c r="E80" s="53">
        <v>1.1952499999999999</v>
      </c>
      <c r="F80" s="48">
        <v>270</v>
      </c>
      <c r="G80" s="46">
        <v>18</v>
      </c>
      <c r="H80" s="46">
        <v>18860</v>
      </c>
      <c r="I80" s="55" t="s">
        <v>193</v>
      </c>
      <c r="J80" s="55" t="s">
        <v>196</v>
      </c>
      <c r="K80" s="51">
        <v>23.6</v>
      </c>
      <c r="L80" s="51">
        <v>23.2</v>
      </c>
      <c r="M80" s="51">
        <v>23.2</v>
      </c>
      <c r="N80" s="51">
        <v>23.8</v>
      </c>
      <c r="O80" s="51">
        <v>23.6</v>
      </c>
      <c r="P80" s="51">
        <v>23.4</v>
      </c>
      <c r="Q80" s="51">
        <v>23</v>
      </c>
      <c r="R80" s="51">
        <v>23</v>
      </c>
      <c r="S80" s="51">
        <v>23.8</v>
      </c>
      <c r="T80" s="51">
        <v>22.4</v>
      </c>
      <c r="U80" s="51">
        <v>22.6</v>
      </c>
      <c r="V80" s="51">
        <v>23.6</v>
      </c>
      <c r="W80" s="51">
        <v>23.4</v>
      </c>
      <c r="X80" s="51">
        <v>22.6</v>
      </c>
      <c r="Y80" s="51">
        <v>23</v>
      </c>
      <c r="Z80" s="111">
        <v>22.2</v>
      </c>
      <c r="AA80" s="51">
        <v>23</v>
      </c>
      <c r="AB80" s="51">
        <v>23.6</v>
      </c>
      <c r="AC80" s="51">
        <v>23.2</v>
      </c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19</v>
      </c>
      <c r="AQ80" s="89">
        <f t="shared" si="7"/>
        <v>23.168421052631583</v>
      </c>
      <c r="AR80" s="89">
        <f>IFERROR(VLOOKUP(A80,Climatologia!A:U,9+$E$2,FALSE),"")</f>
        <v>22.145798455144551</v>
      </c>
      <c r="AS80" s="89">
        <f t="shared" si="8"/>
        <v>1.0226225974870324</v>
      </c>
      <c r="AT80" s="90">
        <f t="shared" si="9"/>
        <v>22.2</v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17.600000000000001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80" s="92">
        <f t="shared" si="10"/>
        <v>4.5999999999999979</v>
      </c>
    </row>
    <row r="81" spans="1:50" ht="14.25" customHeight="1" x14ac:dyDescent="0.2">
      <c r="A81" s="48">
        <v>15045010</v>
      </c>
      <c r="B81" s="52" t="s">
        <v>197</v>
      </c>
      <c r="C81" s="52" t="s">
        <v>198</v>
      </c>
      <c r="D81" s="53">
        <v>-73.030277780000006</v>
      </c>
      <c r="E81" s="53">
        <v>11.26388889</v>
      </c>
      <c r="F81" s="48">
        <v>20</v>
      </c>
      <c r="G81" s="46">
        <v>44</v>
      </c>
      <c r="H81" s="46">
        <v>44001</v>
      </c>
      <c r="I81" s="55" t="s">
        <v>40</v>
      </c>
      <c r="J81" s="55" t="s">
        <v>41</v>
      </c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0</v>
      </c>
      <c r="AQ81" s="89" t="str">
        <f t="shared" si="7"/>
        <v/>
      </c>
      <c r="AR81" s="89" t="str">
        <f>IFERROR(VLOOKUP(A81,Climatologia!A:U,9+$E$2,FALSE),"")</f>
        <v/>
      </c>
      <c r="AS81" s="89" t="str">
        <f t="shared" si="8"/>
        <v/>
      </c>
      <c r="AT81" s="90" t="str">
        <f t="shared" si="9"/>
        <v/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18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29125</v>
      </c>
      <c r="AW81" s="92" t="str">
        <f t="shared" si="10"/>
        <v>NA</v>
      </c>
    </row>
    <row r="82" spans="1:50" ht="14.25" customHeight="1" x14ac:dyDescent="0.2">
      <c r="A82" s="48">
        <v>15075030</v>
      </c>
      <c r="B82" s="52" t="s">
        <v>199</v>
      </c>
      <c r="C82" s="52" t="s">
        <v>198</v>
      </c>
      <c r="D82" s="53">
        <v>-72.463499999999996</v>
      </c>
      <c r="E82" s="53">
        <v>11.78105556</v>
      </c>
      <c r="F82" s="48">
        <v>1</v>
      </c>
      <c r="G82" s="46">
        <v>44</v>
      </c>
      <c r="H82" s="46">
        <v>44560</v>
      </c>
      <c r="I82" s="55" t="s">
        <v>40</v>
      </c>
      <c r="J82" s="55" t="s">
        <v>199</v>
      </c>
      <c r="K82" s="51">
        <v>27.2</v>
      </c>
      <c r="L82" s="51">
        <v>26.8</v>
      </c>
      <c r="M82" s="51">
        <v>27</v>
      </c>
      <c r="N82" s="51">
        <v>27.4</v>
      </c>
      <c r="O82" s="51">
        <v>28</v>
      </c>
      <c r="P82" s="51">
        <v>28.8</v>
      </c>
      <c r="Q82" s="51">
        <v>29.4</v>
      </c>
      <c r="R82" s="51">
        <v>28.6</v>
      </c>
      <c r="S82" s="51">
        <v>27.4</v>
      </c>
      <c r="T82" s="51">
        <v>28.4</v>
      </c>
      <c r="U82" s="51">
        <v>28.8</v>
      </c>
      <c r="V82" s="51"/>
      <c r="W82" s="51">
        <v>28.2</v>
      </c>
      <c r="X82" s="51">
        <v>27.2</v>
      </c>
      <c r="Y82" s="51">
        <v>27.6</v>
      </c>
      <c r="Z82" s="111">
        <v>28.8</v>
      </c>
      <c r="AA82" s="51">
        <v>27.8</v>
      </c>
      <c r="AB82" s="51">
        <v>29</v>
      </c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17</v>
      </c>
      <c r="AQ82" s="89">
        <f t="shared" si="7"/>
        <v>28.023529411764709</v>
      </c>
      <c r="AR82" s="89" t="str">
        <f>IFERROR(VLOOKUP(A82,Climatologia!A:U,9+$E$2,FALSE),"")</f>
        <v/>
      </c>
      <c r="AS82" s="89" t="str">
        <f t="shared" si="8"/>
        <v/>
      </c>
      <c r="AT82" s="90">
        <f t="shared" si="9"/>
        <v>26.8</v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17.8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31662</v>
      </c>
      <c r="AW82" s="92">
        <f t="shared" si="10"/>
        <v>9</v>
      </c>
    </row>
    <row r="83" spans="1:50" ht="14.25" customHeight="1" x14ac:dyDescent="0.2">
      <c r="A83" s="48">
        <v>15085030</v>
      </c>
      <c r="B83" s="52" t="s">
        <v>200</v>
      </c>
      <c r="C83" s="52" t="s">
        <v>198</v>
      </c>
      <c r="D83" s="53">
        <v>-72.359944440000007</v>
      </c>
      <c r="E83" s="53">
        <v>11.216749999999999</v>
      </c>
      <c r="F83" s="48">
        <v>118</v>
      </c>
      <c r="G83" s="46">
        <v>44</v>
      </c>
      <c r="H83" s="46">
        <v>44430</v>
      </c>
      <c r="I83" s="55" t="s">
        <v>40</v>
      </c>
      <c r="J83" s="55" t="s">
        <v>201</v>
      </c>
      <c r="K83" s="51">
        <v>25.4</v>
      </c>
      <c r="L83" s="51">
        <v>26.8</v>
      </c>
      <c r="M83" s="51">
        <v>27.2</v>
      </c>
      <c r="N83" s="51">
        <v>26</v>
      </c>
      <c r="O83" s="51">
        <v>27.6</v>
      </c>
      <c r="P83" s="51">
        <v>27</v>
      </c>
      <c r="Q83" s="51">
        <v>27.8</v>
      </c>
      <c r="R83" s="51">
        <v>27.2</v>
      </c>
      <c r="S83" s="51">
        <v>27.8</v>
      </c>
      <c r="T83" s="51">
        <v>27.6</v>
      </c>
      <c r="U83" s="51">
        <v>27</v>
      </c>
      <c r="V83" s="51">
        <v>27.6</v>
      </c>
      <c r="W83" s="51">
        <v>27</v>
      </c>
      <c r="X83" s="51">
        <v>27.4</v>
      </c>
      <c r="Y83" s="51">
        <v>26.8</v>
      </c>
      <c r="Z83" s="111">
        <v>27.8</v>
      </c>
      <c r="AA83" s="51">
        <v>27.2</v>
      </c>
      <c r="AB83" s="51">
        <v>28</v>
      </c>
      <c r="AC83" s="51">
        <v>28</v>
      </c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19</v>
      </c>
      <c r="AQ83" s="89">
        <f t="shared" si="7"/>
        <v>27.221052631578949</v>
      </c>
      <c r="AR83" s="89">
        <f>IFERROR(VLOOKUP(A83,Climatologia!A:U,9+$E$2,FALSE),"")</f>
        <v>23.18181172727245</v>
      </c>
      <c r="AS83" s="89">
        <f t="shared" si="8"/>
        <v>4.0392409043064994</v>
      </c>
      <c r="AT83" s="90">
        <f t="shared" si="9"/>
        <v>25.4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15.2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33120</v>
      </c>
      <c r="AW83" s="92">
        <f t="shared" si="10"/>
        <v>10.199999999999999</v>
      </c>
    </row>
    <row r="84" spans="1:50" ht="14.25" customHeight="1" x14ac:dyDescent="0.2">
      <c r="A84" s="48">
        <v>25025002</v>
      </c>
      <c r="B84" s="52" t="s">
        <v>202</v>
      </c>
      <c r="C84" s="52" t="s">
        <v>198</v>
      </c>
      <c r="D84" s="53">
        <v>-74.273638890000001</v>
      </c>
      <c r="E84" s="53">
        <v>9.3040555559999998</v>
      </c>
      <c r="F84" s="48">
        <v>25</v>
      </c>
      <c r="G84" s="46">
        <v>47</v>
      </c>
      <c r="H84" s="46">
        <v>47692</v>
      </c>
      <c r="I84" s="55" t="s">
        <v>31</v>
      </c>
      <c r="J84" s="55" t="s">
        <v>203</v>
      </c>
      <c r="K84" s="51">
        <v>23.6</v>
      </c>
      <c r="L84" s="51">
        <v>25.2</v>
      </c>
      <c r="M84" s="51">
        <v>23.6</v>
      </c>
      <c r="N84" s="51">
        <v>26.6</v>
      </c>
      <c r="O84" s="51">
        <v>24.8</v>
      </c>
      <c r="P84" s="51">
        <v>24.6</v>
      </c>
      <c r="Q84" s="51">
        <v>24.4</v>
      </c>
      <c r="R84" s="51">
        <v>24.7</v>
      </c>
      <c r="S84" s="51">
        <v>25.4</v>
      </c>
      <c r="T84" s="51">
        <v>26.2</v>
      </c>
      <c r="U84" s="51">
        <v>24</v>
      </c>
      <c r="V84" s="51">
        <v>24.6</v>
      </c>
      <c r="W84" s="51">
        <v>24.8</v>
      </c>
      <c r="X84" s="51">
        <v>25.2</v>
      </c>
      <c r="Y84" s="51">
        <v>22.8</v>
      </c>
      <c r="Z84" s="111">
        <v>22.2</v>
      </c>
      <c r="AA84" s="51">
        <v>26.6</v>
      </c>
      <c r="AB84" s="51"/>
      <c r="AC84" s="51">
        <v>22.4</v>
      </c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18</v>
      </c>
      <c r="AQ84" s="89">
        <f t="shared" si="7"/>
        <v>24.538888888888891</v>
      </c>
      <c r="AR84" s="89">
        <f>IFERROR(VLOOKUP(A84,Climatologia!A:U,9+$E$2,FALSE),"")</f>
        <v>22.978702810599369</v>
      </c>
      <c r="AS84" s="89">
        <f t="shared" si="8"/>
        <v>1.5601860782895223</v>
      </c>
      <c r="AT84" s="90">
        <f t="shared" si="9"/>
        <v>22.2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18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38244</v>
      </c>
      <c r="AW84" s="92">
        <f t="shared" si="10"/>
        <v>4.1999999999999993</v>
      </c>
    </row>
    <row r="85" spans="1:50" ht="14.25" customHeight="1" x14ac:dyDescent="0.2">
      <c r="A85" s="48">
        <v>28015070</v>
      </c>
      <c r="B85" s="52" t="s">
        <v>204</v>
      </c>
      <c r="C85" s="52" t="s">
        <v>198</v>
      </c>
      <c r="D85" s="53">
        <v>-73.016388890000002</v>
      </c>
      <c r="E85" s="53">
        <v>10.566388890000001</v>
      </c>
      <c r="F85" s="48">
        <v>255</v>
      </c>
      <c r="G85" s="46">
        <v>44</v>
      </c>
      <c r="H85" s="46">
        <v>44855</v>
      </c>
      <c r="I85" s="55" t="s">
        <v>40</v>
      </c>
      <c r="J85" s="55" t="s">
        <v>205</v>
      </c>
      <c r="K85" s="51">
        <v>20</v>
      </c>
      <c r="L85" s="51">
        <v>19.8</v>
      </c>
      <c r="M85" s="51">
        <v>21.8</v>
      </c>
      <c r="N85" s="51">
        <v>20</v>
      </c>
      <c r="O85" s="51">
        <v>21.8</v>
      </c>
      <c r="P85" s="51">
        <v>21.6</v>
      </c>
      <c r="Q85" s="51">
        <v>20.6</v>
      </c>
      <c r="R85" s="51">
        <v>20.399999999999999</v>
      </c>
      <c r="S85" s="51">
        <v>22</v>
      </c>
      <c r="T85" s="51">
        <v>22.2</v>
      </c>
      <c r="U85" s="51">
        <v>20.8</v>
      </c>
      <c r="V85" s="51">
        <v>21.4</v>
      </c>
      <c r="W85" s="51">
        <v>21.4</v>
      </c>
      <c r="X85" s="51">
        <v>22.8</v>
      </c>
      <c r="Y85" s="51">
        <v>21</v>
      </c>
      <c r="Z85" s="111">
        <v>22</v>
      </c>
      <c r="AA85" s="51">
        <v>21.6</v>
      </c>
      <c r="AB85" s="51">
        <v>21.4</v>
      </c>
      <c r="AC85" s="51">
        <v>21</v>
      </c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19</v>
      </c>
      <c r="AQ85" s="89">
        <f t="shared" si="7"/>
        <v>21.242105263157896</v>
      </c>
      <c r="AR85" s="89">
        <f>IFERROR(VLOOKUP(A85,Climatologia!A:U,9+$E$2,FALSE),"")</f>
        <v>22.3738564692013</v>
      </c>
      <c r="AS85" s="89">
        <f t="shared" si="8"/>
        <v>-1.1317512060434041</v>
      </c>
      <c r="AT85" s="90">
        <f t="shared" si="9"/>
        <v>19.8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18.5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36430</v>
      </c>
      <c r="AW85" s="92">
        <f t="shared" si="10"/>
        <v>1.3000000000000007</v>
      </c>
    </row>
    <row r="86" spans="1:50" ht="14.25" customHeight="1" x14ac:dyDescent="0.2">
      <c r="A86" s="48">
        <v>28035010</v>
      </c>
      <c r="B86" s="52" t="s">
        <v>206</v>
      </c>
      <c r="C86" s="52" t="s">
        <v>198</v>
      </c>
      <c r="D86" s="53">
        <v>-73.547388889999993</v>
      </c>
      <c r="E86" s="53">
        <v>10.190666670000001</v>
      </c>
      <c r="F86" s="48">
        <v>70</v>
      </c>
      <c r="G86" s="46">
        <v>20</v>
      </c>
      <c r="H86" s="46">
        <v>20001</v>
      </c>
      <c r="I86" s="55" t="s">
        <v>43</v>
      </c>
      <c r="J86" s="55" t="s">
        <v>44</v>
      </c>
      <c r="K86" s="51">
        <v>23.4</v>
      </c>
      <c r="L86" s="51"/>
      <c r="M86" s="51">
        <v>24.2</v>
      </c>
      <c r="N86" s="51">
        <v>24</v>
      </c>
      <c r="O86" s="51">
        <v>26.6</v>
      </c>
      <c r="P86" s="51">
        <v>25</v>
      </c>
      <c r="Q86" s="51">
        <v>24.2</v>
      </c>
      <c r="R86" s="51">
        <v>25.2</v>
      </c>
      <c r="S86" s="51">
        <v>27.2</v>
      </c>
      <c r="T86" s="51">
        <v>27.8</v>
      </c>
      <c r="U86" s="51">
        <v>25.6</v>
      </c>
      <c r="V86" s="51">
        <v>26.4</v>
      </c>
      <c r="W86" s="51">
        <v>26.2</v>
      </c>
      <c r="X86" s="51">
        <v>27.6</v>
      </c>
      <c r="Y86" s="51">
        <v>27.6</v>
      </c>
      <c r="Z86" s="111">
        <v>22.8</v>
      </c>
      <c r="AA86" s="51">
        <v>25.6</v>
      </c>
      <c r="AB86" s="51">
        <v>25.8</v>
      </c>
      <c r="AC86" s="51">
        <v>26.4</v>
      </c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18</v>
      </c>
      <c r="AQ86" s="89">
        <f t="shared" si="7"/>
        <v>25.644444444444446</v>
      </c>
      <c r="AR86" s="89">
        <f>IFERROR(VLOOKUP(A86,Climatologia!A:U,9+$E$2,FALSE),"")</f>
        <v>23.309072933771219</v>
      </c>
      <c r="AS86" s="89">
        <f t="shared" si="8"/>
        <v>2.3353715106732267</v>
      </c>
      <c r="AT86" s="90">
        <f t="shared" si="9"/>
        <v>22.8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31684</v>
      </c>
      <c r="AW86" s="92">
        <f t="shared" si="10"/>
        <v>4.8000000000000007</v>
      </c>
    </row>
    <row r="87" spans="1:50" ht="14.25" customHeight="1" x14ac:dyDescent="0.2">
      <c r="A87" s="48">
        <v>28035020</v>
      </c>
      <c r="B87" s="52" t="s">
        <v>207</v>
      </c>
      <c r="C87" s="52" t="s">
        <v>198</v>
      </c>
      <c r="D87" s="53">
        <v>-73.319444439999998</v>
      </c>
      <c r="E87" s="53">
        <v>10.363055559999999</v>
      </c>
      <c r="F87" s="48">
        <v>110</v>
      </c>
      <c r="G87" s="46">
        <v>20</v>
      </c>
      <c r="H87" s="46">
        <v>20001</v>
      </c>
      <c r="I87" s="55" t="s">
        <v>43</v>
      </c>
      <c r="J87" s="55" t="s">
        <v>44</v>
      </c>
      <c r="K87" s="51">
        <v>24</v>
      </c>
      <c r="L87" s="51">
        <v>24.2</v>
      </c>
      <c r="M87" s="51">
        <v>23.6</v>
      </c>
      <c r="N87" s="51">
        <v>22.8</v>
      </c>
      <c r="O87" s="51">
        <v>25.6</v>
      </c>
      <c r="P87" s="51">
        <v>25</v>
      </c>
      <c r="Q87" s="51">
        <v>23.4</v>
      </c>
      <c r="R87" s="51">
        <v>26.6</v>
      </c>
      <c r="S87" s="51">
        <v>28.4</v>
      </c>
      <c r="T87" s="51">
        <v>27.4</v>
      </c>
      <c r="U87" s="51">
        <v>25.2</v>
      </c>
      <c r="V87" s="51">
        <v>26.6</v>
      </c>
      <c r="W87" s="51">
        <v>27.8</v>
      </c>
      <c r="X87" s="51">
        <v>27.6</v>
      </c>
      <c r="Y87" s="51">
        <v>27.6</v>
      </c>
      <c r="Z87" s="111">
        <v>25.6</v>
      </c>
      <c r="AA87" s="51">
        <v>25.6</v>
      </c>
      <c r="AB87" s="51">
        <v>27.4</v>
      </c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18</v>
      </c>
      <c r="AQ87" s="89">
        <f t="shared" si="7"/>
        <v>25.800000000000008</v>
      </c>
      <c r="AR87" s="89">
        <f>IFERROR(VLOOKUP(A87,Climatologia!A:U,9+$E$2,FALSE),"")</f>
        <v>22.641522648439089</v>
      </c>
      <c r="AS87" s="89">
        <f t="shared" si="8"/>
        <v>3.1584773515609186</v>
      </c>
      <c r="AT87" s="90">
        <f t="shared" si="9"/>
        <v>22.8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17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29469</v>
      </c>
      <c r="AW87" s="92">
        <f t="shared" si="10"/>
        <v>5.8000000000000007</v>
      </c>
    </row>
    <row r="88" spans="1:50" s="118" customFormat="1" ht="14.25" customHeight="1" x14ac:dyDescent="0.2">
      <c r="A88" s="48">
        <v>25025330</v>
      </c>
      <c r="B88" s="52" t="s">
        <v>208</v>
      </c>
      <c r="C88" s="52" t="s">
        <v>198</v>
      </c>
      <c r="D88" s="53">
        <v>-73.630083330000005</v>
      </c>
      <c r="E88" s="53">
        <v>8.9542222220000003</v>
      </c>
      <c r="F88" s="48">
        <v>50</v>
      </c>
      <c r="G88" s="46">
        <v>20</v>
      </c>
      <c r="H88" s="46">
        <v>20517</v>
      </c>
      <c r="I88" s="55" t="s">
        <v>43</v>
      </c>
      <c r="J88" s="55" t="s">
        <v>209</v>
      </c>
      <c r="K88" s="116">
        <v>24.8</v>
      </c>
      <c r="L88" s="116">
        <v>24.2</v>
      </c>
      <c r="M88" s="116">
        <v>24.2</v>
      </c>
      <c r="N88" s="116">
        <v>25.8</v>
      </c>
      <c r="O88" s="116">
        <v>25.6</v>
      </c>
      <c r="P88" s="116">
        <v>26.2</v>
      </c>
      <c r="Q88" s="116">
        <v>25.2</v>
      </c>
      <c r="R88" s="116">
        <v>26.2</v>
      </c>
      <c r="S88" s="116">
        <v>26.8</v>
      </c>
      <c r="T88" s="116">
        <v>27.4</v>
      </c>
      <c r="U88" s="116">
        <v>25</v>
      </c>
      <c r="V88" s="116">
        <v>25.8</v>
      </c>
      <c r="W88" s="116">
        <v>27.2</v>
      </c>
      <c r="X88" s="116">
        <v>25.6</v>
      </c>
      <c r="Y88" s="116">
        <v>24.6</v>
      </c>
      <c r="Z88" s="117">
        <v>24.6</v>
      </c>
      <c r="AA88" s="116">
        <v>25.4</v>
      </c>
      <c r="AB88" s="116">
        <v>27</v>
      </c>
      <c r="AC88" s="116">
        <v>27.8</v>
      </c>
      <c r="AD88" s="116"/>
      <c r="AE88" s="116"/>
      <c r="AF88" s="116"/>
      <c r="AG88" s="116"/>
      <c r="AH88" s="116"/>
      <c r="AI88" s="116"/>
      <c r="AJ88" s="116"/>
      <c r="AK88" s="116"/>
      <c r="AL88" s="116"/>
      <c r="AM88" s="116"/>
      <c r="AN88" s="116"/>
      <c r="AO88" s="116"/>
      <c r="AP88" s="88">
        <f t="shared" si="6"/>
        <v>19</v>
      </c>
      <c r="AQ88" s="89">
        <f t="shared" si="7"/>
        <v>25.757894736842108</v>
      </c>
      <c r="AR88" s="89">
        <f>IFERROR(VLOOKUP(A88,Climatologia!A:U,9+$E$2,FALSE),"")</f>
        <v>22.80732142857142</v>
      </c>
      <c r="AS88" s="89">
        <f t="shared" si="8"/>
        <v>2.9505733082706875</v>
      </c>
      <c r="AT88" s="90">
        <f t="shared" si="9"/>
        <v>24.2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14.2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34231</v>
      </c>
      <c r="AW88" s="92">
        <f t="shared" si="10"/>
        <v>10</v>
      </c>
      <c r="AX88" s="74"/>
    </row>
    <row r="89" spans="1:50" ht="14.25" customHeight="1" x14ac:dyDescent="0.2">
      <c r="A89" s="48">
        <v>23125100</v>
      </c>
      <c r="B89" s="52" t="s">
        <v>210</v>
      </c>
      <c r="C89" s="52" t="s">
        <v>211</v>
      </c>
      <c r="D89" s="53">
        <v>-73.943111110000004</v>
      </c>
      <c r="E89" s="53">
        <v>5.5149166669999996</v>
      </c>
      <c r="F89" s="48">
        <v>2200</v>
      </c>
      <c r="G89" s="46">
        <v>15</v>
      </c>
      <c r="H89" s="46">
        <v>15109</v>
      </c>
      <c r="I89" s="55" t="s">
        <v>212</v>
      </c>
      <c r="J89" s="55" t="s">
        <v>210</v>
      </c>
      <c r="K89" s="51">
        <v>11.2</v>
      </c>
      <c r="L89" s="51">
        <v>10.199999999999999</v>
      </c>
      <c r="M89" s="51">
        <v>11</v>
      </c>
      <c r="N89" s="51">
        <v>11</v>
      </c>
      <c r="O89" s="51">
        <v>13.2</v>
      </c>
      <c r="P89" s="51">
        <v>11.6</v>
      </c>
      <c r="Q89" s="51">
        <v>11.8</v>
      </c>
      <c r="R89" s="51">
        <v>10.4</v>
      </c>
      <c r="S89" s="51">
        <v>12</v>
      </c>
      <c r="T89" s="51">
        <v>12.4</v>
      </c>
      <c r="U89" s="51">
        <v>13</v>
      </c>
      <c r="V89" s="51">
        <v>11.2</v>
      </c>
      <c r="W89" s="51">
        <v>11</v>
      </c>
      <c r="X89" s="51">
        <v>14</v>
      </c>
      <c r="Y89" s="51">
        <v>13</v>
      </c>
      <c r="Z89" s="111">
        <v>11.4</v>
      </c>
      <c r="AA89" s="51">
        <v>13.8</v>
      </c>
      <c r="AB89" s="51">
        <v>13</v>
      </c>
      <c r="AC89" s="51">
        <v>12</v>
      </c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88">
        <f t="shared" si="6"/>
        <v>19</v>
      </c>
      <c r="AQ89" s="89">
        <f t="shared" si="7"/>
        <v>11.957894736842107</v>
      </c>
      <c r="AR89" s="89">
        <f>IFERROR(VLOOKUP(A89,Climatologia!A:U,9+$E$2,FALSE),"")</f>
        <v>11.04377011494253</v>
      </c>
      <c r="AS89" s="89">
        <f t="shared" si="8"/>
        <v>0.91412462189957644</v>
      </c>
      <c r="AT89" s="90">
        <f t="shared" si="9"/>
        <v>10.199999999999999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4.2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36787</v>
      </c>
      <c r="AW89" s="92">
        <f t="shared" si="10"/>
        <v>5.9999999999999991</v>
      </c>
    </row>
    <row r="90" spans="1:50" ht="14.25" customHeight="1" x14ac:dyDescent="0.2">
      <c r="A90" s="48">
        <v>23125140</v>
      </c>
      <c r="B90" s="52" t="s">
        <v>213</v>
      </c>
      <c r="C90" s="52" t="s">
        <v>211</v>
      </c>
      <c r="D90" s="53">
        <v>-74.182416669999995</v>
      </c>
      <c r="E90" s="53">
        <v>5.5208333329999997</v>
      </c>
      <c r="F90" s="48">
        <v>1250</v>
      </c>
      <c r="G90" s="46">
        <v>15</v>
      </c>
      <c r="H90" s="46">
        <v>15580</v>
      </c>
      <c r="I90" s="55" t="s">
        <v>212</v>
      </c>
      <c r="J90" s="55" t="s">
        <v>214</v>
      </c>
      <c r="K90" s="51">
        <v>19.2</v>
      </c>
      <c r="L90" s="51">
        <v>18.600000000000001</v>
      </c>
      <c r="M90" s="51">
        <v>19</v>
      </c>
      <c r="N90" s="51">
        <v>19.2</v>
      </c>
      <c r="O90" s="51">
        <v>19</v>
      </c>
      <c r="P90" s="51">
        <v>19.399999999999999</v>
      </c>
      <c r="Q90" s="51">
        <v>17.600000000000001</v>
      </c>
      <c r="R90" s="51">
        <v>18.399999999999999</v>
      </c>
      <c r="S90" s="51">
        <v>19.899999999999999</v>
      </c>
      <c r="T90" s="51">
        <v>18.399999999999999</v>
      </c>
      <c r="U90" s="51">
        <v>19</v>
      </c>
      <c r="V90" s="51">
        <v>19.2</v>
      </c>
      <c r="W90" s="51">
        <v>19.399999999999999</v>
      </c>
      <c r="X90" s="51">
        <v>19.600000000000001</v>
      </c>
      <c r="Y90" s="51">
        <v>19.8</v>
      </c>
      <c r="Z90" s="111">
        <v>19.399999999999999</v>
      </c>
      <c r="AA90" s="51">
        <v>19</v>
      </c>
      <c r="AB90" s="51">
        <v>19.2</v>
      </c>
      <c r="AC90" s="51">
        <v>18.399999999999999</v>
      </c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19</v>
      </c>
      <c r="AQ90" s="89">
        <f t="shared" si="7"/>
        <v>19.036842105263158</v>
      </c>
      <c r="AR90" s="89">
        <f>IFERROR(VLOOKUP(A90,Climatologia!A:U,9+$E$2,FALSE),"")</f>
        <v>17.65629355956942</v>
      </c>
      <c r="AS90" s="89">
        <f t="shared" si="8"/>
        <v>1.3805485456937383</v>
      </c>
      <c r="AT90" s="90">
        <f t="shared" si="9"/>
        <v>17.600000000000001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14.2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36793</v>
      </c>
      <c r="AW90" s="92">
        <f t="shared" si="10"/>
        <v>3.4000000000000021</v>
      </c>
    </row>
    <row r="91" spans="1:50" ht="14.25" customHeight="1" x14ac:dyDescent="0.2">
      <c r="A91" s="48">
        <v>24015090</v>
      </c>
      <c r="B91" s="52" t="s">
        <v>215</v>
      </c>
      <c r="C91" s="52" t="s">
        <v>211</v>
      </c>
      <c r="D91" s="53">
        <v>-73.602277779999994</v>
      </c>
      <c r="E91" s="53">
        <v>5.7106666669999999</v>
      </c>
      <c r="F91" s="48">
        <v>2300</v>
      </c>
      <c r="G91" s="46">
        <v>15</v>
      </c>
      <c r="H91" s="46">
        <v>15696</v>
      </c>
      <c r="I91" s="55" t="s">
        <v>212</v>
      </c>
      <c r="J91" s="55" t="s">
        <v>216</v>
      </c>
      <c r="K91" s="51">
        <v>12.2</v>
      </c>
      <c r="L91" s="51">
        <v>10.199999999999999</v>
      </c>
      <c r="M91" s="51">
        <v>10.199999999999999</v>
      </c>
      <c r="N91" s="51">
        <v>10.8</v>
      </c>
      <c r="O91" s="51"/>
      <c r="P91" s="51"/>
      <c r="Q91" s="51">
        <v>12</v>
      </c>
      <c r="R91" s="51">
        <v>9</v>
      </c>
      <c r="S91" s="51">
        <v>12.4</v>
      </c>
      <c r="T91" s="51">
        <v>12.4</v>
      </c>
      <c r="U91" s="51">
        <v>12.4</v>
      </c>
      <c r="V91" s="51">
        <v>11.8</v>
      </c>
      <c r="W91" s="51">
        <v>11.8</v>
      </c>
      <c r="X91" s="51"/>
      <c r="Y91" s="51">
        <v>12</v>
      </c>
      <c r="Z91" s="111">
        <v>11.8</v>
      </c>
      <c r="AA91" s="51">
        <v>13.8</v>
      </c>
      <c r="AB91" s="51">
        <v>11</v>
      </c>
      <c r="AC91" s="51">
        <v>11.8</v>
      </c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16</v>
      </c>
      <c r="AQ91" s="89">
        <f t="shared" si="7"/>
        <v>11.600000000000001</v>
      </c>
      <c r="AR91" s="89">
        <f>IFERROR(VLOOKUP(A91,Climatologia!A:U,9+$E$2,FALSE),"")</f>
        <v>11.22937715871128</v>
      </c>
      <c r="AS91" s="89">
        <f t="shared" si="8"/>
        <v>0.37062284128872136</v>
      </c>
      <c r="AT91" s="90">
        <f t="shared" si="9"/>
        <v>9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7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91" s="92">
        <f t="shared" si="10"/>
        <v>2</v>
      </c>
    </row>
    <row r="92" spans="1:50" ht="14.25" customHeight="1" x14ac:dyDescent="0.2">
      <c r="A92" s="48">
        <v>24015220</v>
      </c>
      <c r="B92" s="52" t="s">
        <v>217</v>
      </c>
      <c r="C92" s="52" t="s">
        <v>211</v>
      </c>
      <c r="D92" s="53">
        <v>-73.495777779999997</v>
      </c>
      <c r="E92" s="53">
        <v>5.5093888890000002</v>
      </c>
      <c r="F92" s="48">
        <v>2600</v>
      </c>
      <c r="G92" s="46">
        <v>15</v>
      </c>
      <c r="H92" s="46">
        <v>15646</v>
      </c>
      <c r="I92" s="55" t="s">
        <v>212</v>
      </c>
      <c r="J92" s="55" t="s">
        <v>218</v>
      </c>
      <c r="K92" s="51">
        <v>9.4</v>
      </c>
      <c r="L92" s="51">
        <v>10.4</v>
      </c>
      <c r="M92" s="51">
        <v>9.6</v>
      </c>
      <c r="N92" s="51">
        <v>9.4</v>
      </c>
      <c r="O92" s="51">
        <v>10</v>
      </c>
      <c r="P92" s="51">
        <v>8.8000000000000007</v>
      </c>
      <c r="Q92" s="51">
        <v>8.1999999999999993</v>
      </c>
      <c r="R92" s="51">
        <v>6</v>
      </c>
      <c r="S92" s="51">
        <v>11.4</v>
      </c>
      <c r="T92" s="51">
        <v>10.4</v>
      </c>
      <c r="U92" s="51">
        <v>9.8000000000000007</v>
      </c>
      <c r="V92" s="51">
        <v>10</v>
      </c>
      <c r="W92" s="51">
        <v>10.4</v>
      </c>
      <c r="X92" s="51">
        <v>10.6</v>
      </c>
      <c r="Y92" s="51">
        <v>9.1999999999999993</v>
      </c>
      <c r="Z92" s="111">
        <v>11</v>
      </c>
      <c r="AA92" s="51">
        <v>10.199999999999999</v>
      </c>
      <c r="AB92" s="51">
        <v>10.8</v>
      </c>
      <c r="AC92" s="51">
        <v>9.8000000000000007</v>
      </c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19</v>
      </c>
      <c r="AQ92" s="89">
        <f t="shared" si="7"/>
        <v>9.7578947368421058</v>
      </c>
      <c r="AR92" s="89">
        <f>IFERROR(VLOOKUP(A92,Climatologia!A:U,9+$E$2,FALSE),"")</f>
        <v>8.2655190007037298</v>
      </c>
      <c r="AS92" s="89">
        <f t="shared" si="8"/>
        <v>1.492375736138376</v>
      </c>
      <c r="AT92" s="90">
        <f t="shared" si="9"/>
        <v>6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1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92" s="92">
        <f t="shared" si="10"/>
        <v>5</v>
      </c>
    </row>
    <row r="93" spans="1:50" ht="14.25" customHeight="1" x14ac:dyDescent="0.2">
      <c r="A93" s="48">
        <v>24015300</v>
      </c>
      <c r="B93" s="52" t="s">
        <v>219</v>
      </c>
      <c r="C93" s="52" t="s">
        <v>211</v>
      </c>
      <c r="D93" s="53">
        <v>-73.517740000000003</v>
      </c>
      <c r="E93" s="53">
        <v>5.6432599999999997</v>
      </c>
      <c r="F93" s="48">
        <v>2174</v>
      </c>
      <c r="G93" s="46">
        <v>15</v>
      </c>
      <c r="H93" s="46">
        <v>15407</v>
      </c>
      <c r="I93" s="55" t="s">
        <v>212</v>
      </c>
      <c r="J93" s="55" t="s">
        <v>220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0</v>
      </c>
      <c r="AQ93" s="89" t="str">
        <f t="shared" si="7"/>
        <v/>
      </c>
      <c r="AR93" s="89">
        <f>IFERROR(VLOOKUP(A93,Climatologia!A:U,9+$E$2,FALSE),"")</f>
        <v>10.537256571653121</v>
      </c>
      <c r="AS93" s="89" t="str">
        <f t="shared" si="8"/>
        <v/>
      </c>
      <c r="AT93" s="90" t="str">
        <f t="shared" si="9"/>
        <v/>
      </c>
      <c r="AU93" s="90" t="str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/>
      </c>
      <c r="AV93" s="91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3" s="92" t="str">
        <f t="shared" si="10"/>
        <v>NA</v>
      </c>
    </row>
    <row r="94" spans="1:50" ht="14.25" customHeight="1" x14ac:dyDescent="0.2">
      <c r="A94" s="48">
        <v>24015360</v>
      </c>
      <c r="B94" s="52" t="s">
        <v>221</v>
      </c>
      <c r="C94" s="52" t="s">
        <v>211</v>
      </c>
      <c r="D94" s="53">
        <v>-73.759</v>
      </c>
      <c r="E94" s="53">
        <v>5.6962222220000003</v>
      </c>
      <c r="F94" s="48">
        <v>2550</v>
      </c>
      <c r="G94" s="46">
        <v>15</v>
      </c>
      <c r="H94" s="46">
        <v>15632</v>
      </c>
      <c r="I94" s="55" t="s">
        <v>212</v>
      </c>
      <c r="J94" s="55" t="s">
        <v>222</v>
      </c>
      <c r="K94" s="51">
        <v>7.2</v>
      </c>
      <c r="L94" s="51">
        <v>6.2</v>
      </c>
      <c r="M94" s="51">
        <v>4.4000000000000004</v>
      </c>
      <c r="N94" s="51">
        <v>4.2</v>
      </c>
      <c r="O94" s="51">
        <v>7.2</v>
      </c>
      <c r="P94" s="51">
        <v>8.4</v>
      </c>
      <c r="Q94" s="51">
        <v>2.2000000000000002</v>
      </c>
      <c r="R94" s="51">
        <v>4.4000000000000004</v>
      </c>
      <c r="S94" s="51">
        <v>3.2</v>
      </c>
      <c r="T94" s="51">
        <v>7.4</v>
      </c>
      <c r="U94" s="51">
        <v>3.2</v>
      </c>
      <c r="V94" s="51">
        <v>7.2</v>
      </c>
      <c r="W94" s="51">
        <v>8.1999999999999993</v>
      </c>
      <c r="X94" s="51">
        <v>4.4000000000000004</v>
      </c>
      <c r="Y94" s="51">
        <v>4.8</v>
      </c>
      <c r="Z94" s="111">
        <v>5</v>
      </c>
      <c r="AA94" s="51">
        <v>6</v>
      </c>
      <c r="AB94" s="51">
        <v>7.2</v>
      </c>
      <c r="AC94" s="51">
        <v>8.4</v>
      </c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19</v>
      </c>
      <c r="AQ94" s="89">
        <f t="shared" si="7"/>
        <v>5.7473684210526326</v>
      </c>
      <c r="AR94" s="89" t="str">
        <f>IFERROR(VLOOKUP(A94,Climatologia!A:U,9+$E$2,FALSE),"")</f>
        <v/>
      </c>
      <c r="AS94" s="89" t="str">
        <f t="shared" si="8"/>
        <v/>
      </c>
      <c r="AT94" s="90">
        <f t="shared" si="9"/>
        <v>2.2000000000000002</v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0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45190</v>
      </c>
      <c r="AW94" s="92">
        <f t="shared" si="10"/>
        <v>2.2000000000000002</v>
      </c>
    </row>
    <row r="95" spans="1:50" ht="14.25" customHeight="1" x14ac:dyDescent="0.2">
      <c r="A95" s="48">
        <v>24035040</v>
      </c>
      <c r="B95" s="52" t="s">
        <v>223</v>
      </c>
      <c r="C95" s="52" t="s">
        <v>211</v>
      </c>
      <c r="D95" s="53">
        <v>-73.208777777999998</v>
      </c>
      <c r="E95" s="53">
        <v>5.5791944439999996</v>
      </c>
      <c r="F95" s="48">
        <v>2700</v>
      </c>
      <c r="G95" s="46">
        <v>15</v>
      </c>
      <c r="H95" s="46">
        <v>15814</v>
      </c>
      <c r="I95" s="55" t="s">
        <v>212</v>
      </c>
      <c r="J95" s="55" t="s">
        <v>224</v>
      </c>
      <c r="K95" s="51">
        <v>3.2</v>
      </c>
      <c r="L95" s="51">
        <v>6.4</v>
      </c>
      <c r="M95" s="51">
        <v>5.6</v>
      </c>
      <c r="N95" s="51">
        <v>6.8</v>
      </c>
      <c r="O95" s="51">
        <v>4.4000000000000004</v>
      </c>
      <c r="P95" s="51">
        <v>6.2</v>
      </c>
      <c r="Q95" s="51">
        <v>5</v>
      </c>
      <c r="R95" s="51">
        <v>7</v>
      </c>
      <c r="S95" s="51">
        <v>6.8</v>
      </c>
      <c r="T95" s="51">
        <v>8</v>
      </c>
      <c r="U95" s="51">
        <v>9</v>
      </c>
      <c r="V95" s="51">
        <v>5.2</v>
      </c>
      <c r="W95" s="51">
        <v>5.4</v>
      </c>
      <c r="X95" s="51">
        <v>5.2</v>
      </c>
      <c r="Y95" s="51">
        <v>6</v>
      </c>
      <c r="Z95" s="111">
        <v>9.1999999999999993</v>
      </c>
      <c r="AA95" s="51">
        <v>6.6</v>
      </c>
      <c r="AB95" s="51">
        <v>7</v>
      </c>
      <c r="AC95" s="51">
        <v>5.4</v>
      </c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19</v>
      </c>
      <c r="AQ95" s="89">
        <f t="shared" si="7"/>
        <v>6.2315789473684218</v>
      </c>
      <c r="AR95" s="89">
        <f>IFERROR(VLOOKUP(A95,Climatologia!A:U,9+$E$2,FALSE),"")</f>
        <v>6.9772719899777336</v>
      </c>
      <c r="AS95" s="89">
        <f t="shared" si="8"/>
        <v>-0.7456930426093118</v>
      </c>
      <c r="AT95" s="90">
        <f t="shared" si="9"/>
        <v>3.2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0.4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36424</v>
      </c>
      <c r="AW95" s="92">
        <f t="shared" si="10"/>
        <v>2.8000000000000003</v>
      </c>
    </row>
    <row r="96" spans="1:50" ht="14.25" customHeight="1" x14ac:dyDescent="0.2">
      <c r="A96" s="48">
        <v>24035070</v>
      </c>
      <c r="B96" s="52" t="s">
        <v>225</v>
      </c>
      <c r="C96" s="52" t="s">
        <v>211</v>
      </c>
      <c r="D96" s="53">
        <v>-72.409194439999993</v>
      </c>
      <c r="E96" s="53">
        <v>6.463472222</v>
      </c>
      <c r="F96" s="48">
        <v>2963</v>
      </c>
      <c r="G96" s="46">
        <v>15</v>
      </c>
      <c r="H96" s="46">
        <v>15332</v>
      </c>
      <c r="I96" s="55" t="s">
        <v>212</v>
      </c>
      <c r="J96" s="55" t="s">
        <v>226</v>
      </c>
      <c r="K96" s="51">
        <v>7.9</v>
      </c>
      <c r="L96" s="51">
        <v>9</v>
      </c>
      <c r="M96" s="51">
        <v>9.6</v>
      </c>
      <c r="N96" s="51">
        <v>8</v>
      </c>
      <c r="O96" s="51">
        <v>7.6</v>
      </c>
      <c r="P96" s="51">
        <v>8</v>
      </c>
      <c r="Q96" s="51">
        <v>7</v>
      </c>
      <c r="R96" s="51">
        <v>7.4</v>
      </c>
      <c r="S96" s="51">
        <v>8</v>
      </c>
      <c r="T96" s="51">
        <v>8.8000000000000007</v>
      </c>
      <c r="U96" s="51">
        <v>9.1999999999999993</v>
      </c>
      <c r="V96" s="51">
        <v>8</v>
      </c>
      <c r="W96" s="51">
        <v>9</v>
      </c>
      <c r="X96" s="51">
        <v>7.4</v>
      </c>
      <c r="Y96" s="51">
        <v>8.1999999999999993</v>
      </c>
      <c r="Z96" s="111">
        <v>9</v>
      </c>
      <c r="AA96" s="51"/>
      <c r="AB96" s="51">
        <v>8.6</v>
      </c>
      <c r="AC96" s="51">
        <v>9.4</v>
      </c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18</v>
      </c>
      <c r="AQ96" s="89">
        <f t="shared" si="7"/>
        <v>8.3388888888888903</v>
      </c>
      <c r="AR96" s="89">
        <f>IFERROR(VLOOKUP(A96,Climatologia!A:U,9+$E$2,FALSE),"")</f>
        <v>8.3739754437240048</v>
      </c>
      <c r="AS96" s="89">
        <f t="shared" si="8"/>
        <v>-3.508655483511447E-2</v>
      </c>
      <c r="AT96" s="90">
        <f t="shared" si="9"/>
        <v>7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3.6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39332</v>
      </c>
      <c r="AW96" s="92">
        <f t="shared" si="10"/>
        <v>3.4</v>
      </c>
    </row>
    <row r="97" spans="1:49" ht="14.25" customHeight="1" x14ac:dyDescent="0.2">
      <c r="A97" s="48">
        <v>24035120</v>
      </c>
      <c r="B97" s="52" t="s">
        <v>227</v>
      </c>
      <c r="C97" s="52" t="s">
        <v>211</v>
      </c>
      <c r="D97" s="53">
        <v>-73.074472220000004</v>
      </c>
      <c r="E97" s="53">
        <v>5.8024444439999998</v>
      </c>
      <c r="F97" s="48">
        <v>2485</v>
      </c>
      <c r="G97" s="46">
        <v>15</v>
      </c>
      <c r="H97" s="46">
        <v>15238</v>
      </c>
      <c r="I97" s="55" t="s">
        <v>212</v>
      </c>
      <c r="J97" s="55" t="s">
        <v>228</v>
      </c>
      <c r="K97" s="51">
        <v>4.8</v>
      </c>
      <c r="L97" s="51">
        <v>7</v>
      </c>
      <c r="M97" s="51">
        <v>4.8</v>
      </c>
      <c r="N97" s="51">
        <v>5.4</v>
      </c>
      <c r="O97" s="51">
        <v>3.8</v>
      </c>
      <c r="P97" s="51">
        <v>7.8</v>
      </c>
      <c r="Q97" s="51">
        <v>4.8</v>
      </c>
      <c r="R97" s="51">
        <v>3</v>
      </c>
      <c r="S97" s="51">
        <v>4.8</v>
      </c>
      <c r="T97" s="51">
        <v>9.1999999999999993</v>
      </c>
      <c r="U97" s="51">
        <v>9.4</v>
      </c>
      <c r="V97" s="51">
        <v>5.4</v>
      </c>
      <c r="W97" s="51">
        <v>5.4</v>
      </c>
      <c r="X97" s="51">
        <v>5</v>
      </c>
      <c r="Y97" s="51">
        <v>4.4000000000000004</v>
      </c>
      <c r="Z97" s="111">
        <v>9.1999999999999993</v>
      </c>
      <c r="AA97" s="51">
        <v>5.6</v>
      </c>
      <c r="AB97" s="51">
        <v>6.6</v>
      </c>
      <c r="AC97" s="51">
        <v>8.1999999999999993</v>
      </c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19</v>
      </c>
      <c r="AQ97" s="89">
        <f t="shared" si="7"/>
        <v>6.0315789473684216</v>
      </c>
      <c r="AR97" s="89">
        <f>IFERROR(VLOOKUP(A97,Climatologia!A:U,9+$E$2,FALSE),"")</f>
        <v>6.2010253961478679</v>
      </c>
      <c r="AS97" s="89">
        <f t="shared" si="8"/>
        <v>-0.16944644877944626</v>
      </c>
      <c r="AT97" s="90">
        <f t="shared" si="9"/>
        <v>3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-0.2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31671</v>
      </c>
      <c r="AW97" s="92">
        <f t="shared" si="10"/>
        <v>3.2</v>
      </c>
    </row>
    <row r="98" spans="1:49" ht="14.25" customHeight="1" x14ac:dyDescent="0.2">
      <c r="A98" s="48">
        <v>24035130</v>
      </c>
      <c r="B98" s="52" t="s">
        <v>229</v>
      </c>
      <c r="C98" s="52" t="s">
        <v>211</v>
      </c>
      <c r="D98" s="53">
        <v>-73.360813059999998</v>
      </c>
      <c r="E98" s="53">
        <v>5.5430774999999999</v>
      </c>
      <c r="F98" s="48">
        <v>2690</v>
      </c>
      <c r="G98" s="46">
        <v>15</v>
      </c>
      <c r="H98" s="46">
        <v>15001</v>
      </c>
      <c r="I98" s="55" t="s">
        <v>212</v>
      </c>
      <c r="J98" s="55" t="s">
        <v>230</v>
      </c>
      <c r="K98" s="51">
        <v>7</v>
      </c>
      <c r="L98" s="51">
        <v>8.8000000000000007</v>
      </c>
      <c r="M98" s="51">
        <v>9.8000000000000007</v>
      </c>
      <c r="N98" s="51">
        <v>10.199999999999999</v>
      </c>
      <c r="O98" s="51">
        <v>9.6</v>
      </c>
      <c r="P98" s="51">
        <v>10.6</v>
      </c>
      <c r="Q98" s="51">
        <v>7.6</v>
      </c>
      <c r="R98" s="51">
        <v>5.4</v>
      </c>
      <c r="S98" s="51">
        <v>10</v>
      </c>
      <c r="T98" s="51">
        <v>10.8</v>
      </c>
      <c r="U98" s="51">
        <v>9.6</v>
      </c>
      <c r="V98" s="51">
        <v>8.8000000000000007</v>
      </c>
      <c r="W98" s="51">
        <v>9.8000000000000007</v>
      </c>
      <c r="X98" s="51">
        <v>10</v>
      </c>
      <c r="Y98" s="51">
        <v>7.6</v>
      </c>
      <c r="Z98" s="111">
        <v>10.8</v>
      </c>
      <c r="AA98" s="51">
        <v>8</v>
      </c>
      <c r="AB98" s="51">
        <v>10.8</v>
      </c>
      <c r="AC98" s="51">
        <v>10.8</v>
      </c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19</v>
      </c>
      <c r="AQ98" s="89">
        <f t="shared" si="7"/>
        <v>9.2631578947368443</v>
      </c>
      <c r="AR98" s="89">
        <f>IFERROR(VLOOKUP(A98,Climatologia!A:U,9+$E$2,FALSE),"")</f>
        <v>8.159618451306919</v>
      </c>
      <c r="AS98" s="89">
        <f t="shared" si="8"/>
        <v>1.1035394434299253</v>
      </c>
      <c r="AT98" s="90">
        <f t="shared" si="9"/>
        <v>5.4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2.9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44096</v>
      </c>
      <c r="AW98" s="92">
        <f t="shared" si="10"/>
        <v>2.5000000000000004</v>
      </c>
    </row>
    <row r="99" spans="1:49" ht="14.25" customHeight="1" x14ac:dyDescent="0.2">
      <c r="A99" s="48">
        <v>24035250</v>
      </c>
      <c r="B99" s="52" t="s">
        <v>231</v>
      </c>
      <c r="C99" s="52" t="s">
        <v>211</v>
      </c>
      <c r="D99" s="53">
        <v>-72.465559999999996</v>
      </c>
      <c r="E99" s="53">
        <v>6.1877800000000001</v>
      </c>
      <c r="F99" s="48">
        <v>2961</v>
      </c>
      <c r="G99" s="46">
        <v>15</v>
      </c>
      <c r="H99" s="46">
        <v>15183</v>
      </c>
      <c r="I99" s="55" t="s">
        <v>212</v>
      </c>
      <c r="J99" s="55" t="s">
        <v>232</v>
      </c>
      <c r="K99" s="51">
        <v>6.4</v>
      </c>
      <c r="L99" s="51"/>
      <c r="M99" s="51">
        <v>7</v>
      </c>
      <c r="N99" s="51">
        <v>7.2</v>
      </c>
      <c r="O99" s="51"/>
      <c r="P99" s="51">
        <v>7.8</v>
      </c>
      <c r="Q99" s="51"/>
      <c r="R99" s="51">
        <v>6.2</v>
      </c>
      <c r="S99" s="51">
        <v>8.8000000000000007</v>
      </c>
      <c r="T99" s="51">
        <v>9</v>
      </c>
      <c r="U99" s="51">
        <v>9.1999999999999993</v>
      </c>
      <c r="V99" s="51">
        <v>7.8</v>
      </c>
      <c r="W99" s="51">
        <v>7.4</v>
      </c>
      <c r="X99" s="51">
        <v>10</v>
      </c>
      <c r="Y99" s="51">
        <v>6</v>
      </c>
      <c r="Z99" s="111">
        <v>9.4</v>
      </c>
      <c r="AA99" s="51">
        <v>8.1999999999999993</v>
      </c>
      <c r="AB99" s="51">
        <v>7.2</v>
      </c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15</v>
      </c>
      <c r="AQ99" s="89">
        <f t="shared" si="7"/>
        <v>7.8400000000000016</v>
      </c>
      <c r="AR99" s="89">
        <f>IFERROR(VLOOKUP(A99,Climatologia!A:U,9+$E$2,FALSE),"")</f>
        <v>6.6991656023839923</v>
      </c>
      <c r="AS99" s="89">
        <f t="shared" si="8"/>
        <v>1.1408343976160094</v>
      </c>
      <c r="AT99" s="90">
        <f t="shared" si="9"/>
        <v>6</v>
      </c>
      <c r="AU99" s="90" t="str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/>
      </c>
      <c r="AV99" s="91" t="str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9" s="92" t="str">
        <f t="shared" si="10"/>
        <v>NA</v>
      </c>
    </row>
    <row r="100" spans="1:49" ht="14.25" customHeight="1" x14ac:dyDescent="0.2">
      <c r="A100" s="48">
        <v>24035260</v>
      </c>
      <c r="B100" s="52" t="s">
        <v>233</v>
      </c>
      <c r="C100" s="52" t="s">
        <v>211</v>
      </c>
      <c r="D100" s="53">
        <v>-72.696611110000006</v>
      </c>
      <c r="E100" s="53">
        <v>6.5207222219999998</v>
      </c>
      <c r="F100" s="48">
        <v>1160</v>
      </c>
      <c r="G100" s="46">
        <v>68</v>
      </c>
      <c r="H100" s="46">
        <v>68147</v>
      </c>
      <c r="I100" s="55" t="s">
        <v>49</v>
      </c>
      <c r="J100" s="55" t="s">
        <v>233</v>
      </c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0</v>
      </c>
      <c r="AQ100" s="89" t="str">
        <f t="shared" si="7"/>
        <v/>
      </c>
      <c r="AR100" s="89">
        <f>IFERROR(VLOOKUP(A100,Climatologia!A:U,9+$E$2,FALSE),"")</f>
        <v>17.818800331214131</v>
      </c>
      <c r="AS100" s="89" t="str">
        <f t="shared" si="8"/>
        <v/>
      </c>
      <c r="AT100" s="90" t="str">
        <f t="shared" si="9"/>
        <v/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14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36068</v>
      </c>
      <c r="AW100" s="92" t="str">
        <f t="shared" si="10"/>
        <v>NA</v>
      </c>
    </row>
    <row r="101" spans="1:49" ht="14.25" customHeight="1" x14ac:dyDescent="0.2">
      <c r="A101" s="48">
        <v>24035310</v>
      </c>
      <c r="B101" s="52" t="s">
        <v>234</v>
      </c>
      <c r="C101" s="52" t="s">
        <v>211</v>
      </c>
      <c r="D101" s="53">
        <v>-72.504722220000005</v>
      </c>
      <c r="E101" s="53">
        <v>6.5495277779999999</v>
      </c>
      <c r="F101" s="48">
        <v>2350</v>
      </c>
      <c r="G101" s="46">
        <v>15</v>
      </c>
      <c r="H101" s="46">
        <v>15180</v>
      </c>
      <c r="I101" s="55" t="s">
        <v>212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10.55201043605182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4.8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30944</v>
      </c>
      <c r="AW101" s="92" t="str">
        <f t="shared" si="10"/>
        <v>NA</v>
      </c>
    </row>
    <row r="102" spans="1:49" ht="14.25" customHeight="1" x14ac:dyDescent="0.2">
      <c r="A102" s="48">
        <v>24035330</v>
      </c>
      <c r="B102" s="52" t="s">
        <v>235</v>
      </c>
      <c r="C102" s="52" t="s">
        <v>211</v>
      </c>
      <c r="D102" s="53">
        <v>-72.582277779999998</v>
      </c>
      <c r="E102" s="53">
        <v>6.328972222</v>
      </c>
      <c r="F102" s="48">
        <v>2150</v>
      </c>
      <c r="G102" s="46">
        <v>15</v>
      </c>
      <c r="H102" s="46">
        <v>15097</v>
      </c>
      <c r="I102" s="55" t="s">
        <v>212</v>
      </c>
      <c r="J102" s="55" t="s">
        <v>235</v>
      </c>
      <c r="K102" s="51">
        <v>11</v>
      </c>
      <c r="L102" s="51">
        <v>13</v>
      </c>
      <c r="M102" s="51">
        <v>12</v>
      </c>
      <c r="N102" s="51">
        <v>12.2</v>
      </c>
      <c r="O102" s="51">
        <v>10.199999999999999</v>
      </c>
      <c r="P102" s="51">
        <v>12</v>
      </c>
      <c r="Q102" s="51">
        <v>11</v>
      </c>
      <c r="R102" s="51">
        <v>11.2</v>
      </c>
      <c r="S102" s="51">
        <v>11</v>
      </c>
      <c r="T102" s="51">
        <v>13.8</v>
      </c>
      <c r="U102" s="51">
        <v>12.6</v>
      </c>
      <c r="V102" s="51">
        <v>11</v>
      </c>
      <c r="W102" s="51">
        <v>12.8</v>
      </c>
      <c r="X102" s="51">
        <v>13</v>
      </c>
      <c r="Y102" s="51">
        <v>12.8</v>
      </c>
      <c r="Z102" s="111">
        <v>14.2</v>
      </c>
      <c r="AA102" s="51">
        <v>12</v>
      </c>
      <c r="AB102" s="51">
        <v>13</v>
      </c>
      <c r="AC102" s="51">
        <v>13.4</v>
      </c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19</v>
      </c>
      <c r="AQ102" s="89">
        <f t="shared" si="7"/>
        <v>12.221052631578948</v>
      </c>
      <c r="AR102" s="89">
        <f>IFERROR(VLOOKUP(A102,Climatologia!A:U,9+$E$2,FALSE),"")</f>
        <v>11.245521419341051</v>
      </c>
      <c r="AS102" s="89">
        <f t="shared" si="8"/>
        <v>0.97553121223789674</v>
      </c>
      <c r="AT102" s="90">
        <f t="shared" si="9"/>
        <v>10.199999999999999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6.6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33131</v>
      </c>
      <c r="AW102" s="92">
        <f t="shared" si="10"/>
        <v>3.5999999999999996</v>
      </c>
    </row>
    <row r="103" spans="1:49" ht="14.25" customHeight="1" x14ac:dyDescent="0.2">
      <c r="A103" s="48">
        <v>24035420</v>
      </c>
      <c r="B103" s="52" t="s">
        <v>236</v>
      </c>
      <c r="C103" s="52" t="s">
        <v>211</v>
      </c>
      <c r="D103" s="53">
        <v>-72.938500000000005</v>
      </c>
      <c r="E103" s="53">
        <v>5.96225</v>
      </c>
      <c r="F103" s="48">
        <v>2643</v>
      </c>
      <c r="G103" s="46">
        <v>15</v>
      </c>
      <c r="H103" s="46">
        <v>15162</v>
      </c>
      <c r="I103" s="55" t="s">
        <v>212</v>
      </c>
      <c r="J103" s="55" t="s">
        <v>236</v>
      </c>
      <c r="K103" s="51">
        <v>2.2000000000000002</v>
      </c>
      <c r="L103" s="109">
        <v>5.4</v>
      </c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111">
        <v>3.6</v>
      </c>
      <c r="AA103" s="51">
        <v>1.2</v>
      </c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4</v>
      </c>
      <c r="AQ103" s="89" t="str">
        <f t="shared" si="7"/>
        <v/>
      </c>
      <c r="AR103" s="89">
        <f>IFERROR(VLOOKUP(A103,Climatologia!A:U,9+$E$2,FALSE),"")</f>
        <v>5.5502937420178808</v>
      </c>
      <c r="AS103" s="89" t="str">
        <f t="shared" si="8"/>
        <v/>
      </c>
      <c r="AT103" s="90">
        <f t="shared" si="9"/>
        <v>1.2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0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40062</v>
      </c>
      <c r="AW103" s="92">
        <f t="shared" si="10"/>
        <v>1.2</v>
      </c>
    </row>
    <row r="104" spans="1:49" ht="14.25" customHeight="1" x14ac:dyDescent="0.2">
      <c r="A104" s="48">
        <v>24035430</v>
      </c>
      <c r="B104" s="52" t="s">
        <v>237</v>
      </c>
      <c r="C104" s="52" t="s">
        <v>211</v>
      </c>
      <c r="D104" s="53">
        <v>-73.11636</v>
      </c>
      <c r="E104" s="53">
        <v>5.7458299999999998</v>
      </c>
      <c r="F104" s="48">
        <v>2521</v>
      </c>
      <c r="G104" s="46">
        <v>15</v>
      </c>
      <c r="H104" s="46">
        <v>15516</v>
      </c>
      <c r="I104" s="55" t="s">
        <v>212</v>
      </c>
      <c r="J104" s="55" t="s">
        <v>238</v>
      </c>
      <c r="K104" s="51">
        <v>4.5999999999999996</v>
      </c>
      <c r="L104" s="51">
        <v>8.4</v>
      </c>
      <c r="M104" s="51">
        <v>3.4</v>
      </c>
      <c r="N104" s="51">
        <v>3.8</v>
      </c>
      <c r="O104" s="51">
        <v>2.6</v>
      </c>
      <c r="P104" s="51">
        <v>2.4</v>
      </c>
      <c r="Q104" s="51">
        <v>3.6</v>
      </c>
      <c r="R104" s="51">
        <v>5.6</v>
      </c>
      <c r="S104" s="51">
        <v>3</v>
      </c>
      <c r="T104" s="51">
        <v>2.4</v>
      </c>
      <c r="U104" s="51">
        <v>8.1999999999999993</v>
      </c>
      <c r="V104" s="51">
        <v>4</v>
      </c>
      <c r="W104" s="51">
        <v>5</v>
      </c>
      <c r="X104" s="51">
        <v>5</v>
      </c>
      <c r="Y104" s="51">
        <v>2.8</v>
      </c>
      <c r="Z104" s="111">
        <v>7.8</v>
      </c>
      <c r="AA104" s="51">
        <v>4</v>
      </c>
      <c r="AB104" s="51">
        <v>6</v>
      </c>
      <c r="AC104" s="51">
        <v>7</v>
      </c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19</v>
      </c>
      <c r="AQ104" s="89">
        <f t="shared" si="7"/>
        <v>4.7157894736842101</v>
      </c>
      <c r="AR104" s="89">
        <f>IFERROR(VLOOKUP(A104,Climatologia!A:U,9+$E$2,FALSE),"")</f>
        <v>6.577004617349445</v>
      </c>
      <c r="AS104" s="89">
        <f t="shared" si="8"/>
        <v>-1.8612151436652349</v>
      </c>
      <c r="AT104" s="90">
        <f t="shared" si="9"/>
        <v>2.4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-0.4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31670</v>
      </c>
      <c r="AW104" s="92">
        <f t="shared" si="10"/>
        <v>2.8</v>
      </c>
    </row>
    <row r="105" spans="1:49" ht="14.25" customHeight="1" x14ac:dyDescent="0.2">
      <c r="A105" s="48">
        <v>35075010</v>
      </c>
      <c r="B105" s="52" t="s">
        <v>239</v>
      </c>
      <c r="C105" s="52" t="s">
        <v>211</v>
      </c>
      <c r="D105" s="53">
        <v>-73.453777779999996</v>
      </c>
      <c r="E105" s="53">
        <v>5.3526944439999999</v>
      </c>
      <c r="F105" s="48">
        <v>2438</v>
      </c>
      <c r="G105" s="46">
        <v>15</v>
      </c>
      <c r="H105" s="46">
        <v>15494</v>
      </c>
      <c r="I105" s="55" t="s">
        <v>212</v>
      </c>
      <c r="J105" s="55" t="s">
        <v>240</v>
      </c>
      <c r="K105" s="51">
        <v>10</v>
      </c>
      <c r="L105" s="51">
        <v>9.8000000000000007</v>
      </c>
      <c r="M105" s="51">
        <v>10.4</v>
      </c>
      <c r="N105" s="51">
        <v>10.4</v>
      </c>
      <c r="O105" s="51">
        <v>10.6</v>
      </c>
      <c r="P105" s="51">
        <v>9.4</v>
      </c>
      <c r="Q105" s="51">
        <v>9.8000000000000007</v>
      </c>
      <c r="R105" s="51">
        <v>9.6</v>
      </c>
      <c r="S105" s="51">
        <v>11.4</v>
      </c>
      <c r="T105" s="51">
        <v>12</v>
      </c>
      <c r="U105" s="51">
        <v>10.8</v>
      </c>
      <c r="V105" s="51">
        <v>11.6</v>
      </c>
      <c r="W105" s="51">
        <v>12.2</v>
      </c>
      <c r="X105" s="51">
        <v>12.4</v>
      </c>
      <c r="Y105" s="51">
        <v>10.8</v>
      </c>
      <c r="Z105" s="111">
        <v>10.4</v>
      </c>
      <c r="AA105" s="51">
        <v>11</v>
      </c>
      <c r="AB105" s="51">
        <v>11</v>
      </c>
      <c r="AC105" s="51">
        <v>11</v>
      </c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19</v>
      </c>
      <c r="AQ105" s="89">
        <f t="shared" si="7"/>
        <v>10.768421052631581</v>
      </c>
      <c r="AR105" s="89">
        <f>IFERROR(VLOOKUP(A105,Climatologia!A:U,9+$E$2,FALSE),"")</f>
        <v>9.5729657311464695</v>
      </c>
      <c r="AS105" s="89">
        <f t="shared" si="8"/>
        <v>1.1954553214851114</v>
      </c>
      <c r="AT105" s="90">
        <f t="shared" si="9"/>
        <v>9.4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3.8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38238</v>
      </c>
      <c r="AW105" s="92">
        <f t="shared" si="10"/>
        <v>5.6000000000000005</v>
      </c>
    </row>
    <row r="106" spans="1:49" ht="14.25" customHeight="1" x14ac:dyDescent="0.2">
      <c r="A106" s="48">
        <v>35075020</v>
      </c>
      <c r="B106" s="52" t="s">
        <v>241</v>
      </c>
      <c r="C106" s="52" t="s">
        <v>211</v>
      </c>
      <c r="D106" s="53">
        <v>-73.449166669999997</v>
      </c>
      <c r="E106" s="53">
        <v>5.0222777780000003</v>
      </c>
      <c r="F106" s="48">
        <v>1930</v>
      </c>
      <c r="G106" s="46">
        <v>15</v>
      </c>
      <c r="H106" s="46">
        <v>15778</v>
      </c>
      <c r="I106" s="55" t="s">
        <v>212</v>
      </c>
      <c r="J106" s="55" t="s">
        <v>241</v>
      </c>
      <c r="K106" s="51"/>
      <c r="L106" s="51">
        <v>13.6</v>
      </c>
      <c r="M106" s="51">
        <v>13.6</v>
      </c>
      <c r="N106" s="51">
        <v>14.4</v>
      </c>
      <c r="O106" s="51">
        <v>13.8</v>
      </c>
      <c r="P106" s="51">
        <v>13.6</v>
      </c>
      <c r="Q106" s="51"/>
      <c r="R106" s="51">
        <v>14</v>
      </c>
      <c r="S106" s="51">
        <v>14.8</v>
      </c>
      <c r="T106" s="51">
        <v>14.6</v>
      </c>
      <c r="U106" s="51">
        <v>14.8</v>
      </c>
      <c r="V106" s="51">
        <v>15</v>
      </c>
      <c r="W106" s="51">
        <v>15.2</v>
      </c>
      <c r="X106" s="51">
        <v>14.6</v>
      </c>
      <c r="Y106" s="51">
        <v>14.8</v>
      </c>
      <c r="Z106" s="111">
        <v>14.6</v>
      </c>
      <c r="AA106" s="51">
        <v>14.8</v>
      </c>
      <c r="AB106" s="51">
        <v>15</v>
      </c>
      <c r="AC106" s="51">
        <v>14.8</v>
      </c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17</v>
      </c>
      <c r="AQ106" s="89">
        <f t="shared" si="7"/>
        <v>14.470588235294118</v>
      </c>
      <c r="AR106" s="89">
        <f>IFERROR(VLOOKUP(A106,Climatologia!A:U,9+$E$2,FALSE),"")</f>
        <v>13.60304714989444</v>
      </c>
      <c r="AS106" s="89">
        <f t="shared" si="8"/>
        <v>0.86754108539967767</v>
      </c>
      <c r="AT106" s="90">
        <f t="shared" si="9"/>
        <v>13.6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7.3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31294</v>
      </c>
      <c r="AW106" s="92">
        <f t="shared" si="10"/>
        <v>6.3</v>
      </c>
    </row>
    <row r="107" spans="1:49" ht="14.25" customHeight="1" x14ac:dyDescent="0.2">
      <c r="A107" s="48">
        <v>35075030</v>
      </c>
      <c r="B107" s="52" t="s">
        <v>242</v>
      </c>
      <c r="C107" s="52" t="s">
        <v>211</v>
      </c>
      <c r="D107" s="53">
        <v>-73.349416669999997</v>
      </c>
      <c r="E107" s="53">
        <v>5.4222222220000003</v>
      </c>
      <c r="F107" s="48">
        <v>2200</v>
      </c>
      <c r="G107" s="46">
        <v>15</v>
      </c>
      <c r="H107" s="46">
        <v>15599</v>
      </c>
      <c r="I107" s="55" t="s">
        <v>212</v>
      </c>
      <c r="J107" s="55" t="s">
        <v>243</v>
      </c>
      <c r="K107" s="51">
        <v>9.8000000000000007</v>
      </c>
      <c r="L107" s="51">
        <v>11.6</v>
      </c>
      <c r="M107" s="51">
        <v>12.8</v>
      </c>
      <c r="N107" s="51">
        <v>11</v>
      </c>
      <c r="O107" s="51">
        <v>11</v>
      </c>
      <c r="P107" s="51">
        <v>9.6</v>
      </c>
      <c r="Q107" s="51">
        <v>10.6</v>
      </c>
      <c r="R107" s="51">
        <v>9.1999999999999993</v>
      </c>
      <c r="S107" s="51">
        <v>12.6</v>
      </c>
      <c r="T107" s="51">
        <v>12.8</v>
      </c>
      <c r="U107" s="51">
        <v>12.8</v>
      </c>
      <c r="V107" s="51">
        <v>11.8</v>
      </c>
      <c r="W107" s="51">
        <v>13.2</v>
      </c>
      <c r="X107" s="51">
        <v>12</v>
      </c>
      <c r="Y107" s="51">
        <v>13.2</v>
      </c>
      <c r="Z107" s="111">
        <v>10.4</v>
      </c>
      <c r="AA107" s="51">
        <v>12</v>
      </c>
      <c r="AB107" s="51">
        <v>13.4</v>
      </c>
      <c r="AC107" s="51">
        <v>12.4</v>
      </c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19</v>
      </c>
      <c r="AQ107" s="89">
        <f t="shared" si="7"/>
        <v>11.694736842105263</v>
      </c>
      <c r="AR107" s="89">
        <f>IFERROR(VLOOKUP(A107,Climatologia!A:U,9+$E$2,FALSE),"")</f>
        <v>11.188895457033389</v>
      </c>
      <c r="AS107" s="89">
        <f t="shared" si="8"/>
        <v>0.50584138507187326</v>
      </c>
      <c r="AT107" s="90">
        <f t="shared" si="9"/>
        <v>9.1999999999999993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1.2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34216</v>
      </c>
      <c r="AW107" s="92">
        <f t="shared" si="10"/>
        <v>7.9999999999999991</v>
      </c>
    </row>
    <row r="108" spans="1:49" ht="14.25" customHeight="1" x14ac:dyDescent="0.2">
      <c r="A108" s="48">
        <v>35075040</v>
      </c>
      <c r="B108" s="52" t="s">
        <v>244</v>
      </c>
      <c r="C108" s="52" t="s">
        <v>211</v>
      </c>
      <c r="D108" s="53">
        <v>-73.316749999999999</v>
      </c>
      <c r="E108" s="53">
        <v>4.9743611110000003</v>
      </c>
      <c r="F108" s="48">
        <v>1300</v>
      </c>
      <c r="G108" s="46">
        <v>15</v>
      </c>
      <c r="H108" s="46">
        <v>15425</v>
      </c>
      <c r="I108" s="55" t="s">
        <v>212</v>
      </c>
      <c r="J108" s="55" t="s">
        <v>245</v>
      </c>
      <c r="K108" s="51">
        <v>14.2</v>
      </c>
      <c r="L108" s="51">
        <v>15.4</v>
      </c>
      <c r="M108" s="51">
        <v>14</v>
      </c>
      <c r="N108" s="51">
        <v>15.4</v>
      </c>
      <c r="O108" s="51">
        <v>14</v>
      </c>
      <c r="P108" s="51">
        <v>14.2</v>
      </c>
      <c r="Q108" s="51">
        <v>14.2</v>
      </c>
      <c r="R108" s="51">
        <v>14.8</v>
      </c>
      <c r="S108" s="51">
        <v>15</v>
      </c>
      <c r="T108" s="51">
        <v>15.2</v>
      </c>
      <c r="U108" s="51">
        <v>14.6</v>
      </c>
      <c r="V108" s="51">
        <v>15.4</v>
      </c>
      <c r="W108" s="51">
        <v>15.6</v>
      </c>
      <c r="X108" s="51">
        <v>14.6</v>
      </c>
      <c r="Y108" s="51">
        <v>15</v>
      </c>
      <c r="Z108" s="111">
        <v>14.8</v>
      </c>
      <c r="AA108" s="51">
        <v>14.8</v>
      </c>
      <c r="AB108" s="51">
        <v>15.4</v>
      </c>
      <c r="AC108" s="51">
        <v>15.2</v>
      </c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19</v>
      </c>
      <c r="AQ108" s="89">
        <f t="shared" si="7"/>
        <v>14.831578947368419</v>
      </c>
      <c r="AR108" s="89">
        <f>IFERROR(VLOOKUP(A108,Climatologia!A:U,9+$E$2,FALSE),"")</f>
        <v>13.358971566848149</v>
      </c>
      <c r="AS108" s="89">
        <f t="shared" si="8"/>
        <v>1.4726073805202695</v>
      </c>
      <c r="AT108" s="90">
        <f t="shared" si="9"/>
        <v>14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9.4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30567</v>
      </c>
      <c r="AW108" s="92">
        <f t="shared" si="10"/>
        <v>4.5999999999999996</v>
      </c>
    </row>
    <row r="109" spans="1:49" ht="14.25" customHeight="1" x14ac:dyDescent="0.2">
      <c r="A109" s="48">
        <v>35085040</v>
      </c>
      <c r="B109" s="52" t="s">
        <v>246</v>
      </c>
      <c r="C109" s="52" t="s">
        <v>211</v>
      </c>
      <c r="D109" s="53">
        <v>-73.144777779999998</v>
      </c>
      <c r="E109" s="53">
        <v>5.1925555560000003</v>
      </c>
      <c r="F109" s="48">
        <v>1640</v>
      </c>
      <c r="G109" s="46">
        <v>15</v>
      </c>
      <c r="H109" s="46">
        <v>15455</v>
      </c>
      <c r="I109" s="55" t="s">
        <v>212</v>
      </c>
      <c r="J109" s="55" t="s">
        <v>247</v>
      </c>
      <c r="K109" s="51">
        <v>15.4</v>
      </c>
      <c r="L109" s="51">
        <v>15.4</v>
      </c>
      <c r="M109" s="51">
        <v>15.2</v>
      </c>
      <c r="N109" s="51">
        <v>15.2</v>
      </c>
      <c r="O109" s="51">
        <v>14.8</v>
      </c>
      <c r="P109" s="51">
        <v>14.6</v>
      </c>
      <c r="Q109" s="51">
        <v>15.4</v>
      </c>
      <c r="R109" s="51">
        <v>15.2</v>
      </c>
      <c r="S109" s="51">
        <v>16</v>
      </c>
      <c r="T109" s="51">
        <v>15.8</v>
      </c>
      <c r="U109" s="51">
        <v>15.4</v>
      </c>
      <c r="V109" s="51">
        <v>16.399999999999999</v>
      </c>
      <c r="W109" s="51">
        <v>17</v>
      </c>
      <c r="X109" s="51">
        <v>15.4</v>
      </c>
      <c r="Y109" s="51">
        <v>15.2</v>
      </c>
      <c r="Z109" s="111">
        <v>15.4</v>
      </c>
      <c r="AA109" s="51">
        <v>15.8</v>
      </c>
      <c r="AB109" s="51">
        <v>16</v>
      </c>
      <c r="AC109" s="51">
        <v>15.6</v>
      </c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19</v>
      </c>
      <c r="AQ109" s="89">
        <f t="shared" si="7"/>
        <v>15.53684210526316</v>
      </c>
      <c r="AR109" s="89">
        <f>IFERROR(VLOOKUP(A109,Climatologia!A:U,9+$E$2,FALSE),"")</f>
        <v>13.685588761174969</v>
      </c>
      <c r="AS109" s="89">
        <f t="shared" si="8"/>
        <v>1.8512533440881906</v>
      </c>
      <c r="AT109" s="90">
        <f t="shared" si="9"/>
        <v>14.6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39340</v>
      </c>
      <c r="AW109" s="92">
        <f t="shared" si="10"/>
        <v>6.6</v>
      </c>
    </row>
    <row r="110" spans="1:49" ht="14.25" customHeight="1" x14ac:dyDescent="0.2">
      <c r="A110" s="48">
        <v>35085050</v>
      </c>
      <c r="B110" s="52" t="s">
        <v>248</v>
      </c>
      <c r="C110" s="52" t="s">
        <v>211</v>
      </c>
      <c r="D110" s="53">
        <v>-73.103666669999996</v>
      </c>
      <c r="E110" s="53">
        <v>5.0345000000000004</v>
      </c>
      <c r="F110" s="48">
        <v>1300</v>
      </c>
      <c r="G110" s="46">
        <v>15</v>
      </c>
      <c r="H110" s="46">
        <v>15135</v>
      </c>
      <c r="I110" s="55" t="s">
        <v>212</v>
      </c>
      <c r="J110" s="55" t="s">
        <v>248</v>
      </c>
      <c r="K110" s="51">
        <v>17.600000000000001</v>
      </c>
      <c r="L110" s="51">
        <v>18.600000000000001</v>
      </c>
      <c r="M110" s="51">
        <v>17.8</v>
      </c>
      <c r="N110" s="51">
        <v>19.2</v>
      </c>
      <c r="O110" s="51"/>
      <c r="P110" s="51"/>
      <c r="Q110" s="51">
        <v>17.399999999999999</v>
      </c>
      <c r="R110" s="51">
        <v>19.2</v>
      </c>
      <c r="S110" s="51">
        <v>18.8</v>
      </c>
      <c r="T110" s="51">
        <v>18.399999999999999</v>
      </c>
      <c r="U110" s="51">
        <v>17.8</v>
      </c>
      <c r="V110" s="51"/>
      <c r="W110" s="51">
        <v>19.399999999999999</v>
      </c>
      <c r="X110" s="51">
        <v>17.8</v>
      </c>
      <c r="Y110" s="51">
        <v>18.600000000000001</v>
      </c>
      <c r="Z110" s="111">
        <v>18.2</v>
      </c>
      <c r="AA110" s="51">
        <v>18.8</v>
      </c>
      <c r="AB110" s="51">
        <v>19.2</v>
      </c>
      <c r="AC110" s="51">
        <v>18.8</v>
      </c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16</v>
      </c>
      <c r="AQ110" s="89">
        <f t="shared" si="7"/>
        <v>18.475000000000001</v>
      </c>
      <c r="AR110" s="89">
        <f>IFERROR(VLOOKUP(A110,Climatologia!A:U,9+$E$2,FALSE),"")</f>
        <v>16.876051428203631</v>
      </c>
      <c r="AS110" s="89">
        <f t="shared" si="8"/>
        <v>1.5989485717963703</v>
      </c>
      <c r="AT110" s="90">
        <f t="shared" si="9"/>
        <v>17.399999999999999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13.4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35697</v>
      </c>
      <c r="AW110" s="92">
        <f t="shared" si="10"/>
        <v>3.9999999999999982</v>
      </c>
    </row>
    <row r="111" spans="1:49" ht="14.25" customHeight="1" x14ac:dyDescent="0.2">
      <c r="A111" s="48">
        <v>35195030</v>
      </c>
      <c r="B111" s="52" t="s">
        <v>249</v>
      </c>
      <c r="C111" s="52" t="s">
        <v>211</v>
      </c>
      <c r="D111" s="53">
        <v>-72.547388889999993</v>
      </c>
      <c r="E111" s="53">
        <v>5.1770833329999997</v>
      </c>
      <c r="F111" s="48">
        <v>380</v>
      </c>
      <c r="G111" s="46">
        <v>85</v>
      </c>
      <c r="H111" s="46">
        <v>85010</v>
      </c>
      <c r="I111" s="55" t="s">
        <v>166</v>
      </c>
      <c r="J111" s="55" t="s">
        <v>249</v>
      </c>
      <c r="K111" s="51">
        <v>24.8</v>
      </c>
      <c r="L111" s="51">
        <v>21.6</v>
      </c>
      <c r="M111" s="51">
        <v>23.6</v>
      </c>
      <c r="N111" s="51">
        <v>24</v>
      </c>
      <c r="O111" s="51">
        <v>23.2</v>
      </c>
      <c r="P111" s="51">
        <v>21</v>
      </c>
      <c r="Q111" s="51">
        <v>23.2</v>
      </c>
      <c r="R111" s="51">
        <v>23.8</v>
      </c>
      <c r="S111" s="51">
        <v>24.8</v>
      </c>
      <c r="T111" s="51">
        <v>24</v>
      </c>
      <c r="U111" s="51">
        <v>22.4</v>
      </c>
      <c r="V111" s="51">
        <v>23.6</v>
      </c>
      <c r="W111" s="51">
        <v>22.6</v>
      </c>
      <c r="X111" s="51">
        <v>22.6</v>
      </c>
      <c r="Y111" s="51">
        <v>25.6</v>
      </c>
      <c r="Z111" s="111">
        <v>22.8</v>
      </c>
      <c r="AA111" s="51">
        <v>22.8</v>
      </c>
      <c r="AB111" s="51">
        <v>24</v>
      </c>
      <c r="AC111" s="51">
        <v>24.6</v>
      </c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19</v>
      </c>
      <c r="AQ111" s="89">
        <f t="shared" si="7"/>
        <v>23.421052631578952</v>
      </c>
      <c r="AR111" s="89">
        <f>IFERROR(VLOOKUP(A111,Climatologia!A:U,9+$E$2,FALSE),"")</f>
        <v>22.868438849358391</v>
      </c>
      <c r="AS111" s="89">
        <f t="shared" si="8"/>
        <v>0.55261378222056123</v>
      </c>
      <c r="AT111" s="90">
        <f t="shared" si="9"/>
        <v>21</v>
      </c>
      <c r="AU111" s="90" t="str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/>
      </c>
      <c r="AV111" s="91" t="str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1" s="92" t="str">
        <f t="shared" si="10"/>
        <v>NA</v>
      </c>
    </row>
    <row r="112" spans="1:49" ht="14.25" customHeight="1" x14ac:dyDescent="0.2">
      <c r="A112" s="48">
        <v>35195050</v>
      </c>
      <c r="B112" s="52" t="s">
        <v>250</v>
      </c>
      <c r="C112" s="52" t="s">
        <v>211</v>
      </c>
      <c r="D112" s="53">
        <v>-72.717222219999996</v>
      </c>
      <c r="E112" s="53">
        <v>5.4072777780000001</v>
      </c>
      <c r="F112" s="48">
        <v>1550</v>
      </c>
      <c r="G112" s="46">
        <v>15</v>
      </c>
      <c r="H112" s="46">
        <v>15518</v>
      </c>
      <c r="I112" s="55" t="s">
        <v>212</v>
      </c>
      <c r="J112" s="55" t="s">
        <v>251</v>
      </c>
      <c r="K112" s="51">
        <v>14.4</v>
      </c>
      <c r="L112" s="51">
        <v>14.6</v>
      </c>
      <c r="M112" s="51">
        <v>16.5</v>
      </c>
      <c r="N112" s="51">
        <v>14.2</v>
      </c>
      <c r="O112" s="51">
        <v>15.5</v>
      </c>
      <c r="P112" s="51">
        <v>14.2</v>
      </c>
      <c r="Q112" s="51">
        <v>16.5</v>
      </c>
      <c r="R112" s="51">
        <v>15.8</v>
      </c>
      <c r="S112" s="51">
        <v>14.4</v>
      </c>
      <c r="T112" s="51">
        <v>15.6</v>
      </c>
      <c r="U112" s="51">
        <v>16.8</v>
      </c>
      <c r="V112" s="51">
        <v>14.6</v>
      </c>
      <c r="W112" s="51">
        <v>14</v>
      </c>
      <c r="X112" s="51">
        <v>16.5</v>
      </c>
      <c r="Y112" s="51">
        <v>14.6</v>
      </c>
      <c r="Z112" s="111">
        <v>14.6</v>
      </c>
      <c r="AA112" s="51">
        <v>14.2</v>
      </c>
      <c r="AB112" s="51">
        <v>14.4</v>
      </c>
      <c r="AC112" s="51">
        <v>15.4</v>
      </c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19</v>
      </c>
      <c r="AQ112" s="89">
        <f t="shared" si="7"/>
        <v>15.094736842105261</v>
      </c>
      <c r="AR112" s="89">
        <f>IFERROR(VLOOKUP(A112,Climatologia!A:U,9+$E$2,FALSE),"")</f>
        <v>15.184620689655169</v>
      </c>
      <c r="AS112" s="89">
        <f t="shared" si="8"/>
        <v>-8.9883847549907969E-2</v>
      </c>
      <c r="AT112" s="90">
        <f t="shared" si="9"/>
        <v>14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8.4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34593</v>
      </c>
      <c r="AW112" s="92">
        <f t="shared" si="10"/>
        <v>5.6</v>
      </c>
    </row>
    <row r="113" spans="1:49" ht="14.25" customHeight="1" x14ac:dyDescent="0.2">
      <c r="A113" s="48">
        <v>35215020</v>
      </c>
      <c r="B113" s="52" t="s">
        <v>252</v>
      </c>
      <c r="C113" s="52" t="s">
        <v>211</v>
      </c>
      <c r="D113" s="53">
        <v>-72.387500000000003</v>
      </c>
      <c r="E113" s="53">
        <v>5.3204444439999996</v>
      </c>
      <c r="F113" s="48">
        <v>325</v>
      </c>
      <c r="G113" s="46">
        <v>85</v>
      </c>
      <c r="H113" s="46">
        <v>85001</v>
      </c>
      <c r="I113" s="55" t="s">
        <v>166</v>
      </c>
      <c r="J113" s="55" t="s">
        <v>253</v>
      </c>
      <c r="K113" s="51">
        <v>21.4</v>
      </c>
      <c r="L113" s="51">
        <v>18.399999999999999</v>
      </c>
      <c r="M113" s="51">
        <v>19.2</v>
      </c>
      <c r="N113" s="51">
        <v>19.399999999999999</v>
      </c>
      <c r="O113" s="51">
        <v>19</v>
      </c>
      <c r="P113" s="51">
        <v>17.600000000000001</v>
      </c>
      <c r="Q113" s="51">
        <v>19.399999999999999</v>
      </c>
      <c r="R113" s="51">
        <v>20</v>
      </c>
      <c r="S113" s="51">
        <v>20.2</v>
      </c>
      <c r="T113" s="51">
        <v>19.8</v>
      </c>
      <c r="U113" s="51">
        <v>18.399999999999999</v>
      </c>
      <c r="V113" s="51">
        <v>19.600000000000001</v>
      </c>
      <c r="W113" s="51">
        <v>18.8</v>
      </c>
      <c r="X113" s="51">
        <v>19.600000000000001</v>
      </c>
      <c r="Y113" s="51">
        <v>21</v>
      </c>
      <c r="Z113" s="111">
        <v>19</v>
      </c>
      <c r="AA113" s="51">
        <v>19.600000000000001</v>
      </c>
      <c r="AB113" s="51">
        <v>21.4</v>
      </c>
      <c r="AC113" s="51">
        <v>20.2</v>
      </c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19</v>
      </c>
      <c r="AQ113" s="89">
        <f t="shared" si="7"/>
        <v>19.578947368421051</v>
      </c>
      <c r="AR113" s="89">
        <f>IFERROR(VLOOKUP(A113,Climatologia!A:U,9+$E$2,FALSE),"")</f>
        <v>22.39663970483894</v>
      </c>
      <c r="AS113" s="89">
        <f t="shared" si="8"/>
        <v>-2.8176923364178883</v>
      </c>
      <c r="AT113" s="90">
        <f t="shared" si="9"/>
        <v>17.600000000000001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30947</v>
      </c>
      <c r="AW113" s="92">
        <f t="shared" si="10"/>
        <v>-0.39999999999999858</v>
      </c>
    </row>
    <row r="114" spans="1:49" ht="14.25" customHeight="1" x14ac:dyDescent="0.2">
      <c r="A114" s="48">
        <v>35235040</v>
      </c>
      <c r="B114" s="52" t="s">
        <v>254</v>
      </c>
      <c r="C114" s="52" t="s">
        <v>211</v>
      </c>
      <c r="D114" s="53">
        <v>-71.666166669999996</v>
      </c>
      <c r="E114" s="53">
        <v>5.4190277780000002</v>
      </c>
      <c r="F114" s="48">
        <v>265</v>
      </c>
      <c r="G114" s="46">
        <v>85</v>
      </c>
      <c r="H114" s="46">
        <v>85430</v>
      </c>
      <c r="I114" s="55" t="s">
        <v>166</v>
      </c>
      <c r="J114" s="55" t="s">
        <v>255</v>
      </c>
      <c r="K114" s="51"/>
      <c r="L114" s="51">
        <v>21.6</v>
      </c>
      <c r="M114" s="51"/>
      <c r="N114" s="51"/>
      <c r="O114" s="51"/>
      <c r="P114" s="51">
        <v>22</v>
      </c>
      <c r="Q114" s="51">
        <v>21.8</v>
      </c>
      <c r="R114" s="51">
        <v>22</v>
      </c>
      <c r="S114" s="51">
        <v>23</v>
      </c>
      <c r="T114" s="51">
        <v>23.2</v>
      </c>
      <c r="U114" s="51">
        <v>21.6</v>
      </c>
      <c r="V114" s="51">
        <v>22.2</v>
      </c>
      <c r="W114" s="51">
        <v>23</v>
      </c>
      <c r="X114" s="51">
        <v>22</v>
      </c>
      <c r="Y114" s="51">
        <v>23</v>
      </c>
      <c r="Z114" s="111">
        <v>22.6</v>
      </c>
      <c r="AA114" s="51">
        <v>23.6</v>
      </c>
      <c r="AB114" s="51">
        <v>23.8</v>
      </c>
      <c r="AC114" s="51">
        <v>22.6</v>
      </c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15</v>
      </c>
      <c r="AQ114" s="89">
        <f t="shared" si="7"/>
        <v>22.533333333333339</v>
      </c>
      <c r="AR114" s="89" t="str">
        <f>IFERROR(VLOOKUP(A114,Climatologia!A:U,9+$E$2,FALSE),"")</f>
        <v/>
      </c>
      <c r="AS114" s="89" t="str">
        <f t="shared" si="8"/>
        <v/>
      </c>
      <c r="AT114" s="90">
        <f t="shared" si="9"/>
        <v>21.6</v>
      </c>
      <c r="AU114" s="90" t="str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/>
      </c>
      <c r="AV114" s="91" t="str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4" s="92" t="str">
        <f t="shared" si="10"/>
        <v>NA</v>
      </c>
    </row>
    <row r="115" spans="1:49" ht="14.25" customHeight="1" x14ac:dyDescent="0.2">
      <c r="A115" s="48">
        <v>35235050</v>
      </c>
      <c r="B115" s="52" t="s">
        <v>256</v>
      </c>
      <c r="C115" s="52" t="s">
        <v>211</v>
      </c>
      <c r="D115" s="53">
        <v>-72.166777780000004</v>
      </c>
      <c r="E115" s="53">
        <v>5.8185833330000003</v>
      </c>
      <c r="F115" s="48">
        <v>117</v>
      </c>
      <c r="G115" s="46">
        <v>85</v>
      </c>
      <c r="H115" s="46">
        <v>85400</v>
      </c>
      <c r="I115" s="55" t="s">
        <v>166</v>
      </c>
      <c r="J115" s="55" t="s">
        <v>257</v>
      </c>
      <c r="K115" s="51">
        <v>20.2</v>
      </c>
      <c r="L115" s="51">
        <v>19.399999999999999</v>
      </c>
      <c r="M115" s="51">
        <v>20.2</v>
      </c>
      <c r="N115" s="51">
        <v>21.2</v>
      </c>
      <c r="O115" s="51">
        <v>22.4</v>
      </c>
      <c r="P115" s="51">
        <v>20.2</v>
      </c>
      <c r="Q115" s="51">
        <v>20.2</v>
      </c>
      <c r="R115" s="51">
        <v>21.2</v>
      </c>
      <c r="S115" s="51">
        <v>20.2</v>
      </c>
      <c r="T115" s="51">
        <v>20.2</v>
      </c>
      <c r="U115" s="51"/>
      <c r="V115" s="51">
        <v>21.2</v>
      </c>
      <c r="W115" s="51">
        <v>21.2</v>
      </c>
      <c r="X115" s="51">
        <v>20.399999999999999</v>
      </c>
      <c r="Y115" s="51">
        <v>20.2</v>
      </c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14</v>
      </c>
      <c r="AQ115" s="89" t="str">
        <f t="shared" si="7"/>
        <v/>
      </c>
      <c r="AR115" s="89">
        <f>IFERROR(VLOOKUP(A115,Climatologia!A:U,9+$E$2,FALSE),"")</f>
        <v>18.540485312899111</v>
      </c>
      <c r="AS115" s="89" t="str">
        <f t="shared" si="8"/>
        <v/>
      </c>
      <c r="AT115" s="90">
        <f t="shared" si="9"/>
        <v>19.399999999999999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14.5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41901</v>
      </c>
      <c r="AW115" s="92">
        <f t="shared" si="10"/>
        <v>4.8999999999999986</v>
      </c>
    </row>
    <row r="116" spans="1:49" ht="14.25" customHeight="1" x14ac:dyDescent="0.2">
      <c r="A116" s="48">
        <v>36015010</v>
      </c>
      <c r="B116" s="52" t="s">
        <v>258</v>
      </c>
      <c r="C116" s="52" t="s">
        <v>211</v>
      </c>
      <c r="D116" s="53">
        <v>-71.887194440000002</v>
      </c>
      <c r="E116" s="53">
        <v>5.8785277779999996</v>
      </c>
      <c r="F116" s="48">
        <v>342</v>
      </c>
      <c r="G116" s="46">
        <v>85</v>
      </c>
      <c r="H116" s="46">
        <v>85250</v>
      </c>
      <c r="I116" s="55" t="s">
        <v>166</v>
      </c>
      <c r="J116" s="55" t="s">
        <v>258</v>
      </c>
      <c r="K116" s="51">
        <v>22.2</v>
      </c>
      <c r="L116" s="51"/>
      <c r="M116" s="51">
        <v>22.4</v>
      </c>
      <c r="N116" s="51">
        <v>22.2</v>
      </c>
      <c r="O116" s="51">
        <v>22</v>
      </c>
      <c r="P116" s="51">
        <v>22.2</v>
      </c>
      <c r="Q116" s="51"/>
      <c r="R116" s="51">
        <v>24.2</v>
      </c>
      <c r="S116" s="51">
        <v>22.6</v>
      </c>
      <c r="T116" s="51">
        <v>24</v>
      </c>
      <c r="U116" s="51">
        <v>22.8</v>
      </c>
      <c r="V116" s="51">
        <v>24.2</v>
      </c>
      <c r="W116" s="51">
        <v>23</v>
      </c>
      <c r="X116" s="51">
        <v>23</v>
      </c>
      <c r="Y116" s="51">
        <v>22.6</v>
      </c>
      <c r="Z116" s="111">
        <v>23</v>
      </c>
      <c r="AA116" s="51">
        <v>24.2</v>
      </c>
      <c r="AB116" s="51">
        <v>24.4</v>
      </c>
      <c r="AC116" s="51">
        <v>23.8</v>
      </c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17</v>
      </c>
      <c r="AQ116" s="89">
        <f t="shared" si="7"/>
        <v>23.105882352941173</v>
      </c>
      <c r="AR116" s="89">
        <f>IFERROR(VLOOKUP(A116,Climatologia!A:U,9+$E$2,FALSE),"")</f>
        <v>22.374270023718299</v>
      </c>
      <c r="AS116" s="89">
        <f t="shared" si="8"/>
        <v>0.73161232922287311</v>
      </c>
      <c r="AT116" s="90">
        <f t="shared" si="9"/>
        <v>22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18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39345</v>
      </c>
      <c r="AW116" s="92">
        <f t="shared" si="10"/>
        <v>4</v>
      </c>
    </row>
    <row r="117" spans="1:49" ht="14.25" customHeight="1" x14ac:dyDescent="0.2">
      <c r="A117" s="48">
        <v>36025010</v>
      </c>
      <c r="B117" s="52" t="s">
        <v>259</v>
      </c>
      <c r="C117" s="52" t="s">
        <v>211</v>
      </c>
      <c r="D117" s="53">
        <v>-71.745027780000001</v>
      </c>
      <c r="E117" s="53">
        <v>6.4561944440000003</v>
      </c>
      <c r="F117" s="48">
        <v>350</v>
      </c>
      <c r="G117" s="46">
        <v>81</v>
      </c>
      <c r="H117" s="46">
        <v>81794</v>
      </c>
      <c r="I117" s="55" t="s">
        <v>90</v>
      </c>
      <c r="J117" s="55" t="s">
        <v>259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0</v>
      </c>
      <c r="AQ117" s="89" t="str">
        <f t="shared" si="7"/>
        <v/>
      </c>
      <c r="AR117" s="89">
        <f>IFERROR(VLOOKUP(A117,Climatologia!A:U,9+$E$2,FALSE),"")</f>
        <v>21.63752371829958</v>
      </c>
      <c r="AS117" s="89" t="str">
        <f t="shared" si="8"/>
        <v/>
      </c>
      <c r="AT117" s="90" t="str">
        <f t="shared" si="9"/>
        <v/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40790</v>
      </c>
      <c r="AW117" s="92" t="str">
        <f t="shared" si="10"/>
        <v>NA</v>
      </c>
    </row>
    <row r="118" spans="1:49" ht="14.25" customHeight="1" x14ac:dyDescent="0.2">
      <c r="A118" s="48">
        <v>44015030</v>
      </c>
      <c r="B118" s="52" t="s">
        <v>260</v>
      </c>
      <c r="C118" s="52" t="s">
        <v>261</v>
      </c>
      <c r="D118" s="53">
        <v>-76.668750000000003</v>
      </c>
      <c r="E118" s="53">
        <v>1.900416667</v>
      </c>
      <c r="F118" s="48">
        <v>2900</v>
      </c>
      <c r="G118" s="46">
        <v>19</v>
      </c>
      <c r="H118" s="46">
        <v>19693</v>
      </c>
      <c r="I118" s="55" t="s">
        <v>181</v>
      </c>
      <c r="J118" s="55" t="s">
        <v>262</v>
      </c>
      <c r="K118" s="51">
        <v>4.5999999999999996</v>
      </c>
      <c r="L118" s="51">
        <v>7.4</v>
      </c>
      <c r="M118" s="51">
        <v>9.6</v>
      </c>
      <c r="N118" s="51">
        <v>8</v>
      </c>
      <c r="O118" s="51">
        <v>9.1999999999999993</v>
      </c>
      <c r="P118" s="51">
        <v>7.6</v>
      </c>
      <c r="Q118" s="51">
        <v>8.8000000000000007</v>
      </c>
      <c r="R118" s="51">
        <v>8.6</v>
      </c>
      <c r="S118" s="51">
        <v>10.199999999999999</v>
      </c>
      <c r="T118" s="51">
        <v>9.1999999999999993</v>
      </c>
      <c r="U118" s="51">
        <v>9.4</v>
      </c>
      <c r="V118" s="51">
        <v>5</v>
      </c>
      <c r="W118" s="51">
        <v>5.6</v>
      </c>
      <c r="X118" s="51">
        <v>9.1999999999999993</v>
      </c>
      <c r="Y118" s="51">
        <v>7.6</v>
      </c>
      <c r="Z118" s="111">
        <v>6.6</v>
      </c>
      <c r="AA118" s="51">
        <v>8.6</v>
      </c>
      <c r="AB118" s="51">
        <v>9.1999999999999993</v>
      </c>
      <c r="AC118" s="51">
        <v>9</v>
      </c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19</v>
      </c>
      <c r="AQ118" s="89">
        <f t="shared" si="7"/>
        <v>8.0736842105263147</v>
      </c>
      <c r="AR118" s="89">
        <f>IFERROR(VLOOKUP(A118,Climatologia!A:U,9+$E$2,FALSE),"")</f>
        <v>5.3443424510780826</v>
      </c>
      <c r="AS118" s="89">
        <f t="shared" si="8"/>
        <v>2.7293417594482321</v>
      </c>
      <c r="AT118" s="90">
        <f t="shared" si="9"/>
        <v>4.5999999999999996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-1.6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41529</v>
      </c>
      <c r="AW118" s="92">
        <f t="shared" si="10"/>
        <v>6.1999999999999993</v>
      </c>
    </row>
    <row r="119" spans="1:49" ht="14.25" customHeight="1" x14ac:dyDescent="0.2">
      <c r="A119" s="48">
        <v>44015060</v>
      </c>
      <c r="B119" s="52" t="s">
        <v>263</v>
      </c>
      <c r="C119" s="52" t="s">
        <v>261</v>
      </c>
      <c r="D119" s="53">
        <v>-76.651833330000002</v>
      </c>
      <c r="E119" s="53">
        <v>1.157333333</v>
      </c>
      <c r="F119" s="48">
        <v>650</v>
      </c>
      <c r="G119" s="46">
        <v>86</v>
      </c>
      <c r="H119" s="46">
        <v>86001</v>
      </c>
      <c r="I119" s="55" t="s">
        <v>264</v>
      </c>
      <c r="J119" s="55" t="s">
        <v>265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0</v>
      </c>
      <c r="AQ119" s="89" t="str">
        <f t="shared" si="7"/>
        <v/>
      </c>
      <c r="AR119" s="89">
        <f>IFERROR(VLOOKUP(A119,Climatologia!A:U,9+$E$2,FALSE),"")</f>
        <v>19.974118469865591</v>
      </c>
      <c r="AS119" s="89" t="str">
        <f t="shared" si="8"/>
        <v/>
      </c>
      <c r="AT119" s="90" t="str">
        <f t="shared" si="9"/>
        <v/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16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119" s="92" t="str">
        <f t="shared" si="10"/>
        <v>NA</v>
      </c>
    </row>
    <row r="120" spans="1:49" ht="14.25" customHeight="1" x14ac:dyDescent="0.2">
      <c r="A120" s="48">
        <v>47015040</v>
      </c>
      <c r="B120" s="52" t="s">
        <v>266</v>
      </c>
      <c r="C120" s="52" t="s">
        <v>261</v>
      </c>
      <c r="D120" s="53">
        <v>-76.960972220000002</v>
      </c>
      <c r="E120" s="53">
        <v>1.198277778</v>
      </c>
      <c r="F120" s="48">
        <v>2100</v>
      </c>
      <c r="G120" s="46">
        <v>86</v>
      </c>
      <c r="H120" s="46">
        <v>86219</v>
      </c>
      <c r="I120" s="55" t="s">
        <v>264</v>
      </c>
      <c r="J120" s="55" t="s">
        <v>267</v>
      </c>
      <c r="K120" s="51">
        <v>8.3000000000000007</v>
      </c>
      <c r="L120" s="51">
        <v>9.3000000000000007</v>
      </c>
      <c r="M120" s="51">
        <v>10.5</v>
      </c>
      <c r="N120" s="51">
        <v>12.9</v>
      </c>
      <c r="O120" s="51">
        <v>12.4</v>
      </c>
      <c r="P120" s="51">
        <v>12.7</v>
      </c>
      <c r="Q120" s="51">
        <v>10.4</v>
      </c>
      <c r="R120" s="51">
        <v>11.5</v>
      </c>
      <c r="S120" s="51">
        <v>10.7</v>
      </c>
      <c r="T120" s="51">
        <v>11.4</v>
      </c>
      <c r="U120" s="51">
        <v>12.4</v>
      </c>
      <c r="V120" s="51">
        <v>11.7</v>
      </c>
      <c r="W120" s="51">
        <v>9.3000000000000007</v>
      </c>
      <c r="X120" s="51">
        <v>10.6</v>
      </c>
      <c r="Y120" s="51">
        <v>10.9</v>
      </c>
      <c r="Z120" s="111">
        <v>10.3</v>
      </c>
      <c r="AA120" s="51">
        <v>13.5</v>
      </c>
      <c r="AB120" s="51">
        <v>12.5</v>
      </c>
      <c r="AC120" s="51">
        <v>13.1</v>
      </c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19</v>
      </c>
      <c r="AQ120" s="89">
        <f t="shared" si="7"/>
        <v>11.284210526315791</v>
      </c>
      <c r="AR120" s="89">
        <f>IFERROR(VLOOKUP(A120,Climatologia!A:U,9+$E$2,FALSE),"")</f>
        <v>10.619220882169749</v>
      </c>
      <c r="AS120" s="89">
        <f t="shared" si="8"/>
        <v>0.66498964414604167</v>
      </c>
      <c r="AT120" s="90">
        <f t="shared" si="9"/>
        <v>8.3000000000000007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3.4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33139</v>
      </c>
      <c r="AW120" s="92">
        <f t="shared" si="10"/>
        <v>4.9000000000000004</v>
      </c>
    </row>
    <row r="121" spans="1:49" ht="14.25" customHeight="1" x14ac:dyDescent="0.2">
      <c r="A121" s="48">
        <v>47015080</v>
      </c>
      <c r="B121" s="52" t="s">
        <v>268</v>
      </c>
      <c r="C121" s="52" t="s">
        <v>261</v>
      </c>
      <c r="D121" s="53">
        <v>-77.303611110000006</v>
      </c>
      <c r="E121" s="53">
        <v>0.80491666699999997</v>
      </c>
      <c r="F121" s="48">
        <v>1776</v>
      </c>
      <c r="G121" s="46">
        <v>52</v>
      </c>
      <c r="H121" s="46">
        <v>52573</v>
      </c>
      <c r="I121" s="55" t="s">
        <v>82</v>
      </c>
      <c r="J121" s="55" t="s">
        <v>269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0</v>
      </c>
      <c r="AQ121" s="89" t="str">
        <f t="shared" si="7"/>
        <v/>
      </c>
      <c r="AR121" s="89">
        <f>IFERROR(VLOOKUP(A121,Climatologia!A:U,9+$E$2,FALSE),"")</f>
        <v>13.27264042872071</v>
      </c>
      <c r="AS121" s="89" t="str">
        <f t="shared" si="8"/>
        <v/>
      </c>
      <c r="AT121" s="90" t="str">
        <f t="shared" si="9"/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9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37144</v>
      </c>
      <c r="AW121" s="92" t="str">
        <f t="shared" si="10"/>
        <v>NA</v>
      </c>
    </row>
    <row r="122" spans="1:49" ht="14.25" customHeight="1" x14ac:dyDescent="0.2">
      <c r="A122" s="48">
        <v>47015100</v>
      </c>
      <c r="B122" s="52" t="s">
        <v>270</v>
      </c>
      <c r="C122" s="52" t="s">
        <v>261</v>
      </c>
      <c r="D122" s="53">
        <v>-77.161472219999993</v>
      </c>
      <c r="E122" s="53">
        <v>1.159944444</v>
      </c>
      <c r="F122" s="48">
        <v>2830</v>
      </c>
      <c r="G122" s="46">
        <v>52</v>
      </c>
      <c r="H122" s="46">
        <v>52001</v>
      </c>
      <c r="I122" s="55" t="s">
        <v>82</v>
      </c>
      <c r="J122" s="55" t="s">
        <v>271</v>
      </c>
      <c r="K122" s="51">
        <v>5.4</v>
      </c>
      <c r="L122" s="51">
        <v>6.8</v>
      </c>
      <c r="M122" s="51">
        <v>9.8000000000000007</v>
      </c>
      <c r="N122" s="51">
        <v>7.8</v>
      </c>
      <c r="O122" s="51">
        <v>9.1999999999999993</v>
      </c>
      <c r="P122" s="51">
        <v>7.2</v>
      </c>
      <c r="Q122" s="51">
        <v>7</v>
      </c>
      <c r="R122" s="51">
        <v>5.8</v>
      </c>
      <c r="S122" s="51">
        <v>8</v>
      </c>
      <c r="T122" s="51">
        <v>9</v>
      </c>
      <c r="U122" s="51">
        <v>8.4</v>
      </c>
      <c r="V122" s="51">
        <v>7.8</v>
      </c>
      <c r="W122" s="51">
        <v>7</v>
      </c>
      <c r="X122" s="51">
        <v>10</v>
      </c>
      <c r="Y122" s="51">
        <v>8.1999999999999993</v>
      </c>
      <c r="Z122" s="111">
        <v>8.4</v>
      </c>
      <c r="AA122" s="51">
        <v>8.8000000000000007</v>
      </c>
      <c r="AB122" s="51">
        <v>9.4</v>
      </c>
      <c r="AC122" s="51">
        <v>9.8000000000000007</v>
      </c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19</v>
      </c>
      <c r="AQ122" s="89">
        <f t="shared" si="7"/>
        <v>8.0947368421052648</v>
      </c>
      <c r="AR122" s="89">
        <f>IFERROR(VLOOKUP(A122,Climatologia!A:U,9+$E$2,FALSE),"")</f>
        <v>7.3917414401264976</v>
      </c>
      <c r="AS122" s="89">
        <f t="shared" si="8"/>
        <v>0.7029954019787672</v>
      </c>
      <c r="AT122" s="90">
        <f t="shared" si="9"/>
        <v>5.4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1.2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33484</v>
      </c>
      <c r="AW122" s="92">
        <f t="shared" si="10"/>
        <v>4.2</v>
      </c>
    </row>
    <row r="123" spans="1:49" ht="14.25" customHeight="1" x14ac:dyDescent="0.2">
      <c r="A123" s="48">
        <v>47035020</v>
      </c>
      <c r="B123" s="52" t="s">
        <v>272</v>
      </c>
      <c r="C123" s="52" t="s">
        <v>261</v>
      </c>
      <c r="D123" s="53">
        <v>-75.851111110000005</v>
      </c>
      <c r="E123" s="53">
        <v>0.132861111</v>
      </c>
      <c r="F123" s="48">
        <v>190</v>
      </c>
      <c r="G123" s="46">
        <v>86</v>
      </c>
      <c r="H123" s="46">
        <v>86573</v>
      </c>
      <c r="I123" s="55" t="s">
        <v>264</v>
      </c>
      <c r="J123" s="55" t="s">
        <v>273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0</v>
      </c>
      <c r="AQ123" s="89" t="str">
        <f t="shared" si="7"/>
        <v/>
      </c>
      <c r="AR123" s="89">
        <f>IFERROR(VLOOKUP(A123,Climatologia!A:U,9+$E$2,FALSE),"")</f>
        <v>20.95607142857143</v>
      </c>
      <c r="AS123" s="89" t="str">
        <f t="shared" si="8"/>
        <v/>
      </c>
      <c r="AT123" s="90" t="str">
        <f t="shared" si="9"/>
        <v/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17.399999999999999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35681</v>
      </c>
      <c r="AW123" s="92" t="str">
        <f t="shared" si="10"/>
        <v>NA</v>
      </c>
    </row>
    <row r="124" spans="1:49" ht="14.25" customHeight="1" x14ac:dyDescent="0.2">
      <c r="A124" s="48">
        <v>51025090</v>
      </c>
      <c r="B124" s="52" t="s">
        <v>274</v>
      </c>
      <c r="C124" s="52" t="s">
        <v>261</v>
      </c>
      <c r="D124" s="53">
        <v>-78.695583330000005</v>
      </c>
      <c r="E124" s="53">
        <v>1.5501944439999999</v>
      </c>
      <c r="F124" s="48">
        <v>16</v>
      </c>
      <c r="G124" s="46">
        <v>52</v>
      </c>
      <c r="H124" s="46">
        <v>52835</v>
      </c>
      <c r="I124" s="55" t="s">
        <v>82</v>
      </c>
      <c r="J124" s="55" t="s">
        <v>275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23.01698412698412</v>
      </c>
      <c r="AS124" s="89" t="str">
        <f t="shared" si="8"/>
        <v/>
      </c>
      <c r="AT124" s="90" t="str">
        <f t="shared" si="9"/>
        <v/>
      </c>
      <c r="AU124" s="90" t="str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/>
      </c>
      <c r="AV124" s="91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4" s="92" t="str">
        <f t="shared" si="10"/>
        <v>NA</v>
      </c>
    </row>
    <row r="125" spans="1:49" ht="14.25" customHeight="1" x14ac:dyDescent="0.2">
      <c r="A125" s="48">
        <v>52015010</v>
      </c>
      <c r="B125" s="52" t="s">
        <v>276</v>
      </c>
      <c r="C125" s="52" t="s">
        <v>261</v>
      </c>
      <c r="D125" s="53">
        <v>-76.611944440000002</v>
      </c>
      <c r="E125" s="53">
        <v>2.2497222219999999</v>
      </c>
      <c r="F125" s="48">
        <v>2450</v>
      </c>
      <c r="G125" s="46">
        <v>19</v>
      </c>
      <c r="H125" s="46">
        <v>19760</v>
      </c>
      <c r="I125" s="55" t="s">
        <v>181</v>
      </c>
      <c r="J125" s="55" t="s">
        <v>277</v>
      </c>
      <c r="K125" s="51">
        <v>11.4</v>
      </c>
      <c r="L125" s="51">
        <v>12.6</v>
      </c>
      <c r="M125" s="51">
        <v>13.9</v>
      </c>
      <c r="N125" s="51">
        <v>13.8</v>
      </c>
      <c r="O125" s="51">
        <v>13.7</v>
      </c>
      <c r="P125" s="51">
        <v>13.2</v>
      </c>
      <c r="Q125" s="51">
        <v>12.6</v>
      </c>
      <c r="R125" s="51">
        <v>12.8</v>
      </c>
      <c r="S125" s="51">
        <v>14.7</v>
      </c>
      <c r="T125" s="51">
        <v>12.8</v>
      </c>
      <c r="U125" s="51">
        <v>13.4</v>
      </c>
      <c r="V125" s="51">
        <v>11.7</v>
      </c>
      <c r="W125" s="51">
        <v>13.3</v>
      </c>
      <c r="X125" s="51">
        <v>14.2</v>
      </c>
      <c r="Y125" s="51">
        <v>13.4</v>
      </c>
      <c r="Z125" s="111">
        <v>13.3</v>
      </c>
      <c r="AA125" s="51">
        <v>13.8</v>
      </c>
      <c r="AB125" s="51">
        <v>13.3</v>
      </c>
      <c r="AC125" s="51">
        <v>13.5</v>
      </c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19</v>
      </c>
      <c r="AQ125" s="89">
        <f t="shared" si="7"/>
        <v>13.231578947368423</v>
      </c>
      <c r="AR125" s="89">
        <f>IFERROR(VLOOKUP(A125,Climatologia!A:U,9+$E$2,FALSE),"")</f>
        <v>11.326784072249589</v>
      </c>
      <c r="AS125" s="89">
        <f t="shared" si="8"/>
        <v>1.9047948751188333</v>
      </c>
      <c r="AT125" s="90">
        <f t="shared" si="9"/>
        <v>11.4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4.7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44805</v>
      </c>
      <c r="AW125" s="92">
        <f t="shared" si="10"/>
        <v>6.7</v>
      </c>
    </row>
    <row r="126" spans="1:49" ht="14.25" customHeight="1" x14ac:dyDescent="0.2">
      <c r="A126" s="48">
        <v>52025020</v>
      </c>
      <c r="B126" s="52" t="s">
        <v>278</v>
      </c>
      <c r="C126" s="52" t="s">
        <v>261</v>
      </c>
      <c r="D126" s="53">
        <v>-76.891666670000006</v>
      </c>
      <c r="E126" s="53">
        <v>1.753333333</v>
      </c>
      <c r="F126" s="48">
        <v>2300</v>
      </c>
      <c r="G126" s="46">
        <v>19</v>
      </c>
      <c r="H126" s="46">
        <v>19100</v>
      </c>
      <c r="I126" s="55" t="s">
        <v>181</v>
      </c>
      <c r="J126" s="55" t="s">
        <v>34</v>
      </c>
      <c r="K126" s="51">
        <v>13.4</v>
      </c>
      <c r="L126" s="51">
        <v>14.4</v>
      </c>
      <c r="M126" s="51">
        <v>15.8</v>
      </c>
      <c r="N126" s="51">
        <v>15.4</v>
      </c>
      <c r="O126" s="51">
        <v>15.2</v>
      </c>
      <c r="P126" s="51">
        <v>15.6</v>
      </c>
      <c r="Q126" s="51">
        <v>15.4</v>
      </c>
      <c r="R126" s="51">
        <v>15.6</v>
      </c>
      <c r="S126" s="51">
        <v>16.2</v>
      </c>
      <c r="T126" s="51">
        <v>14.4</v>
      </c>
      <c r="U126" s="51">
        <v>14.6</v>
      </c>
      <c r="V126" s="51">
        <v>15.4</v>
      </c>
      <c r="W126" s="51">
        <v>15.2</v>
      </c>
      <c r="X126" s="51">
        <v>16.399999999999999</v>
      </c>
      <c r="Y126" s="51">
        <v>15.6</v>
      </c>
      <c r="Z126" s="111">
        <v>16</v>
      </c>
      <c r="AA126" s="51">
        <v>15.6</v>
      </c>
      <c r="AB126" s="51">
        <v>16</v>
      </c>
      <c r="AC126" s="51">
        <v>15.8</v>
      </c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19</v>
      </c>
      <c r="AQ126" s="89">
        <f t="shared" si="7"/>
        <v>15.368421052631579</v>
      </c>
      <c r="AR126" s="89">
        <f>IFERROR(VLOOKUP(A126,Climatologia!A:U,9+$E$2,FALSE),"")</f>
        <v>13.24615019157088</v>
      </c>
      <c r="AS126" s="89">
        <f t="shared" si="8"/>
        <v>2.1222708610606986</v>
      </c>
      <c r="AT126" s="90">
        <f t="shared" si="9"/>
        <v>13.4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8.1999999999999993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29113</v>
      </c>
      <c r="AW126" s="92">
        <f t="shared" si="10"/>
        <v>5.2000000000000011</v>
      </c>
    </row>
    <row r="127" spans="1:49" ht="14.25" customHeight="1" x14ac:dyDescent="0.2">
      <c r="A127" s="48">
        <v>52025090</v>
      </c>
      <c r="B127" s="52" t="s">
        <v>279</v>
      </c>
      <c r="C127" s="52" t="s">
        <v>261</v>
      </c>
      <c r="D127" s="53">
        <v>-76.750333330000004</v>
      </c>
      <c r="E127" s="53">
        <v>2.1938333330000002</v>
      </c>
      <c r="F127" s="48">
        <v>1870</v>
      </c>
      <c r="G127" s="46">
        <v>19</v>
      </c>
      <c r="H127" s="46">
        <v>19392</v>
      </c>
      <c r="I127" s="55" t="s">
        <v>181</v>
      </c>
      <c r="J127" s="55" t="s">
        <v>280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0</v>
      </c>
      <c r="AQ127" s="89" t="str">
        <f t="shared" si="7"/>
        <v/>
      </c>
      <c r="AR127" s="89">
        <f>IFERROR(VLOOKUP(A127,Climatologia!A:U,9+$E$2,FALSE),"")</f>
        <v>14.9793962585034</v>
      </c>
      <c r="AS127" s="89" t="str">
        <f t="shared" si="8"/>
        <v/>
      </c>
      <c r="AT127" s="90" t="str">
        <f t="shared" si="9"/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10.199999999999999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32764</v>
      </c>
      <c r="AW127" s="92" t="str">
        <f t="shared" si="10"/>
        <v>NA</v>
      </c>
    </row>
    <row r="128" spans="1:49" ht="14.25" customHeight="1" x14ac:dyDescent="0.2">
      <c r="A128" s="48">
        <v>52045010</v>
      </c>
      <c r="B128" s="52" t="s">
        <v>281</v>
      </c>
      <c r="C128" s="52" t="s">
        <v>261</v>
      </c>
      <c r="D128" s="53">
        <v>-77.303083330000007</v>
      </c>
      <c r="E128" s="53">
        <v>1.1982222220000001</v>
      </c>
      <c r="F128" s="48">
        <v>2710</v>
      </c>
      <c r="G128" s="46">
        <v>52</v>
      </c>
      <c r="H128" s="46">
        <v>52001</v>
      </c>
      <c r="I128" s="55" t="s">
        <v>82</v>
      </c>
      <c r="J128" s="55" t="s">
        <v>271</v>
      </c>
      <c r="K128" s="51">
        <v>8.8000000000000007</v>
      </c>
      <c r="L128" s="51">
        <v>10.199999999999999</v>
      </c>
      <c r="M128" s="51">
        <v>10.8</v>
      </c>
      <c r="N128" s="51">
        <v>9.6</v>
      </c>
      <c r="O128" s="51">
        <v>11.4</v>
      </c>
      <c r="P128" s="51">
        <v>9.1999999999999993</v>
      </c>
      <c r="Q128" s="51">
        <v>8.8000000000000007</v>
      </c>
      <c r="R128" s="51">
        <v>9.8000000000000007</v>
      </c>
      <c r="S128" s="51">
        <v>10.8</v>
      </c>
      <c r="T128" s="51">
        <v>11</v>
      </c>
      <c r="U128" s="51">
        <v>10.199999999999999</v>
      </c>
      <c r="V128" s="51">
        <v>11.2</v>
      </c>
      <c r="W128" s="51">
        <v>11</v>
      </c>
      <c r="X128" s="51">
        <v>11.3</v>
      </c>
      <c r="Y128" s="51">
        <v>10.8</v>
      </c>
      <c r="Z128" s="111">
        <v>11</v>
      </c>
      <c r="AA128" s="51">
        <v>11.3</v>
      </c>
      <c r="AB128" s="51">
        <v>11.6</v>
      </c>
      <c r="AC128" s="51">
        <v>11.4</v>
      </c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19</v>
      </c>
      <c r="AQ128" s="89">
        <f t="shared" si="7"/>
        <v>10.53684210526316</v>
      </c>
      <c r="AR128" s="89">
        <f>IFERROR(VLOOKUP(A128,Climatologia!A:U,9+$E$2,FALSE),"")</f>
        <v>9.1450862068965524</v>
      </c>
      <c r="AS128" s="89">
        <f t="shared" si="8"/>
        <v>1.3917558983666076</v>
      </c>
      <c r="AT128" s="90">
        <f t="shared" si="9"/>
        <v>8.8000000000000007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4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44453</v>
      </c>
      <c r="AW128" s="92">
        <f t="shared" si="10"/>
        <v>4.8000000000000007</v>
      </c>
    </row>
    <row r="129" spans="1:49" ht="14.25" customHeight="1" x14ac:dyDescent="0.2">
      <c r="A129" s="48">
        <v>52045030</v>
      </c>
      <c r="B129" s="52" t="s">
        <v>282</v>
      </c>
      <c r="C129" s="52" t="s">
        <v>261</v>
      </c>
      <c r="D129" s="53">
        <v>-77.032611110000005</v>
      </c>
      <c r="E129" s="53">
        <v>1.5387222220000001</v>
      </c>
      <c r="F129" s="48">
        <v>2190</v>
      </c>
      <c r="G129" s="46">
        <v>52</v>
      </c>
      <c r="H129" s="46">
        <v>52685</v>
      </c>
      <c r="I129" s="55" t="s">
        <v>82</v>
      </c>
      <c r="J129" s="55" t="s">
        <v>282</v>
      </c>
      <c r="K129" s="51">
        <v>9.4</v>
      </c>
      <c r="L129" s="51">
        <v>13</v>
      </c>
      <c r="M129" s="51">
        <v>12.6</v>
      </c>
      <c r="N129" s="51">
        <v>13</v>
      </c>
      <c r="O129" s="51">
        <v>12.4</v>
      </c>
      <c r="P129" s="51">
        <v>11.8</v>
      </c>
      <c r="Q129" s="51">
        <v>12.2</v>
      </c>
      <c r="R129" s="51">
        <v>9.8000000000000007</v>
      </c>
      <c r="S129" s="51">
        <v>14.6</v>
      </c>
      <c r="T129" s="51">
        <v>9.6</v>
      </c>
      <c r="U129" s="51">
        <v>10</v>
      </c>
      <c r="V129" s="51">
        <v>9.6</v>
      </c>
      <c r="W129" s="51">
        <v>10.4</v>
      </c>
      <c r="X129" s="51">
        <v>13.8</v>
      </c>
      <c r="Y129" s="51">
        <v>11.8</v>
      </c>
      <c r="Z129" s="111">
        <v>13</v>
      </c>
      <c r="AA129" s="51">
        <v>11</v>
      </c>
      <c r="AB129" s="51">
        <v>10.8</v>
      </c>
      <c r="AC129" s="51">
        <v>11.2</v>
      </c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19</v>
      </c>
      <c r="AQ129" s="89">
        <f t="shared" si="7"/>
        <v>11.578947368421053</v>
      </c>
      <c r="AR129" s="89">
        <f>IFERROR(VLOOKUP(A129,Climatologia!A:U,9+$E$2,FALSE),"")</f>
        <v>10.51523938340441</v>
      </c>
      <c r="AS129" s="89">
        <f t="shared" si="8"/>
        <v>1.0637079850166433</v>
      </c>
      <c r="AT129" s="90">
        <f t="shared" si="9"/>
        <v>9.4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7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35683</v>
      </c>
      <c r="AW129" s="92">
        <f t="shared" si="10"/>
        <v>2.4000000000000004</v>
      </c>
    </row>
    <row r="130" spans="1:49" ht="14.25" customHeight="1" x14ac:dyDescent="0.2">
      <c r="A130" s="48">
        <v>52045040</v>
      </c>
      <c r="B130" s="52" t="s">
        <v>283</v>
      </c>
      <c r="C130" s="52" t="s">
        <v>261</v>
      </c>
      <c r="D130" s="53">
        <v>-77.267499999999998</v>
      </c>
      <c r="E130" s="53">
        <v>1.5491666669999999</v>
      </c>
      <c r="F130" s="48">
        <v>1875</v>
      </c>
      <c r="G130" s="46">
        <v>52</v>
      </c>
      <c r="H130" s="46">
        <v>52786</v>
      </c>
      <c r="I130" s="55" t="s">
        <v>82</v>
      </c>
      <c r="J130" s="55" t="s">
        <v>283</v>
      </c>
      <c r="K130" s="51">
        <v>14.6</v>
      </c>
      <c r="L130" s="51">
        <v>15.2</v>
      </c>
      <c r="M130" s="51">
        <v>14.8</v>
      </c>
      <c r="N130" s="51">
        <v>16</v>
      </c>
      <c r="O130" s="51">
        <v>15.6</v>
      </c>
      <c r="P130" s="51">
        <v>15.4</v>
      </c>
      <c r="Q130" s="51">
        <v>15.2</v>
      </c>
      <c r="R130" s="51">
        <v>15</v>
      </c>
      <c r="S130" s="51">
        <v>14</v>
      </c>
      <c r="T130" s="51">
        <v>15.6</v>
      </c>
      <c r="U130" s="51">
        <v>15.8</v>
      </c>
      <c r="V130" s="51">
        <v>15.2</v>
      </c>
      <c r="W130" s="51">
        <v>16.8</v>
      </c>
      <c r="X130" s="51">
        <v>17</v>
      </c>
      <c r="Y130" s="51">
        <v>17</v>
      </c>
      <c r="Z130" s="111">
        <v>17.2</v>
      </c>
      <c r="AA130" s="51">
        <v>18.399999999999999</v>
      </c>
      <c r="AB130" s="51">
        <v>18.600000000000001</v>
      </c>
      <c r="AC130" s="51">
        <v>17.399999999999999</v>
      </c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19</v>
      </c>
      <c r="AQ130" s="89">
        <f t="shared" si="7"/>
        <v>16.042105263157897</v>
      </c>
      <c r="AR130" s="89">
        <f>IFERROR(VLOOKUP(A130,Climatologia!A:U,9+$E$2,FALSE),"")</f>
        <v>14.537346512473739</v>
      </c>
      <c r="AS130" s="89">
        <f t="shared" si="8"/>
        <v>1.5047587506841573</v>
      </c>
      <c r="AT130" s="90">
        <f t="shared" si="9"/>
        <v>14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10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30952</v>
      </c>
      <c r="AW130" s="92">
        <f t="shared" si="10"/>
        <v>4</v>
      </c>
    </row>
    <row r="131" spans="1:49" ht="14.25" customHeight="1" x14ac:dyDescent="0.2">
      <c r="A131" s="48">
        <v>52045090</v>
      </c>
      <c r="B131" s="52" t="s">
        <v>284</v>
      </c>
      <c r="C131" s="52" t="s">
        <v>261</v>
      </c>
      <c r="D131" s="53">
        <v>-77.629583330000003</v>
      </c>
      <c r="E131" s="53">
        <v>0.93263888900000003</v>
      </c>
      <c r="F131" s="48">
        <v>3141</v>
      </c>
      <c r="G131" s="46">
        <v>52</v>
      </c>
      <c r="H131" s="46">
        <v>52585</v>
      </c>
      <c r="I131" s="55" t="s">
        <v>82</v>
      </c>
      <c r="J131" s="55" t="s">
        <v>285</v>
      </c>
      <c r="K131" s="51">
        <v>2.2000000000000002</v>
      </c>
      <c r="L131" s="51">
        <v>3</v>
      </c>
      <c r="M131" s="51">
        <v>6.2</v>
      </c>
      <c r="N131" s="51">
        <v>6.4</v>
      </c>
      <c r="O131" s="51">
        <v>6</v>
      </c>
      <c r="P131" s="51">
        <v>6.4</v>
      </c>
      <c r="Q131" s="51">
        <v>6.2</v>
      </c>
      <c r="R131" s="51">
        <v>6.4</v>
      </c>
      <c r="S131" s="51">
        <v>5.2</v>
      </c>
      <c r="T131" s="51"/>
      <c r="U131" s="51">
        <v>6</v>
      </c>
      <c r="V131" s="51">
        <v>4.8</v>
      </c>
      <c r="W131" s="51">
        <v>6</v>
      </c>
      <c r="X131" s="51">
        <v>6.2</v>
      </c>
      <c r="Y131" s="51">
        <v>7</v>
      </c>
      <c r="Z131" s="111">
        <v>6.4</v>
      </c>
      <c r="AA131" s="51">
        <v>6.4</v>
      </c>
      <c r="AB131" s="51">
        <v>5.4</v>
      </c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17</v>
      </c>
      <c r="AQ131" s="89">
        <f t="shared" si="7"/>
        <v>5.6588235294117668</v>
      </c>
      <c r="AR131" s="89">
        <f>IFERROR(VLOOKUP(A131,Climatologia!A:U,9+$E$2,FALSE),"")</f>
        <v>5.9172796934865914</v>
      </c>
      <c r="AS131" s="89">
        <f t="shared" si="8"/>
        <v>-0.25845616407482463</v>
      </c>
      <c r="AT131" s="90">
        <f t="shared" si="9"/>
        <v>2.2000000000000002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1.2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40069</v>
      </c>
      <c r="AW131" s="92">
        <f t="shared" si="10"/>
        <v>1.0000000000000002</v>
      </c>
    </row>
    <row r="132" spans="1:49" ht="14.25" customHeight="1" x14ac:dyDescent="0.2">
      <c r="A132" s="48">
        <v>52055030</v>
      </c>
      <c r="B132" s="52" t="s">
        <v>286</v>
      </c>
      <c r="C132" s="52" t="s">
        <v>261</v>
      </c>
      <c r="D132" s="53">
        <v>-77.465111109999995</v>
      </c>
      <c r="E132" s="53">
        <v>1.1843611110000001</v>
      </c>
      <c r="F132" s="48">
        <v>1493</v>
      </c>
      <c r="G132" s="46">
        <v>52</v>
      </c>
      <c r="H132" s="46">
        <v>52207</v>
      </c>
      <c r="I132" s="55" t="s">
        <v>82</v>
      </c>
      <c r="J132" s="55" t="s">
        <v>287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0</v>
      </c>
      <c r="AQ132" s="89" t="str">
        <f t="shared" si="7"/>
        <v/>
      </c>
      <c r="AR132" s="89">
        <f>IFERROR(VLOOKUP(A132,Climatologia!A:U,9+$E$2,FALSE),"")</f>
        <v>15.46328945133345</v>
      </c>
      <c r="AS132" s="89" t="str">
        <f t="shared" si="8"/>
        <v/>
      </c>
      <c r="AT132" s="90" t="str">
        <f t="shared" si="9"/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8.6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28740</v>
      </c>
      <c r="AW132" s="92" t="str">
        <f t="shared" si="10"/>
        <v>NA</v>
      </c>
    </row>
    <row r="133" spans="1:49" ht="14.25" customHeight="1" x14ac:dyDescent="0.2">
      <c r="A133" s="48">
        <v>52055060</v>
      </c>
      <c r="B133" s="52" t="s">
        <v>288</v>
      </c>
      <c r="C133" s="52" t="s">
        <v>261</v>
      </c>
      <c r="D133" s="53">
        <v>-77.583055560000005</v>
      </c>
      <c r="E133" s="53">
        <v>1.3735555559999999</v>
      </c>
      <c r="F133" s="48">
        <v>1500</v>
      </c>
      <c r="G133" s="46">
        <v>52</v>
      </c>
      <c r="H133" s="46">
        <v>52678</v>
      </c>
      <c r="I133" s="55" t="s">
        <v>82</v>
      </c>
      <c r="J133" s="55" t="s">
        <v>289</v>
      </c>
      <c r="K133" s="51">
        <v>14.2</v>
      </c>
      <c r="L133" s="51">
        <v>16</v>
      </c>
      <c r="M133" s="51">
        <v>15.8</v>
      </c>
      <c r="N133" s="51">
        <v>16.2</v>
      </c>
      <c r="O133" s="51">
        <v>15.4</v>
      </c>
      <c r="P133" s="51">
        <v>17</v>
      </c>
      <c r="Q133" s="51">
        <v>15</v>
      </c>
      <c r="R133" s="51">
        <v>14.8</v>
      </c>
      <c r="S133" s="51">
        <v>16.600000000000001</v>
      </c>
      <c r="T133" s="51">
        <v>14.2</v>
      </c>
      <c r="U133" s="51">
        <v>17.2</v>
      </c>
      <c r="V133" s="51">
        <v>15</v>
      </c>
      <c r="W133" s="51">
        <v>14.6</v>
      </c>
      <c r="X133" s="51">
        <v>14</v>
      </c>
      <c r="Y133" s="51">
        <v>16.2</v>
      </c>
      <c r="Z133" s="111">
        <v>15.8</v>
      </c>
      <c r="AA133" s="51">
        <v>17</v>
      </c>
      <c r="AB133" s="51">
        <v>16.2</v>
      </c>
      <c r="AC133" s="51">
        <v>15.8</v>
      </c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19</v>
      </c>
      <c r="AQ133" s="89">
        <f t="shared" ref="AQ133:AQ196" si="12">IF(AP133&gt;14,AVERAGE(K133:AO133),"")</f>
        <v>15.631578947368421</v>
      </c>
      <c r="AR133" s="89">
        <f>IFERROR(VLOOKUP(A133,Climatologia!A:U,9+$E$2,FALSE),"")</f>
        <v>13.931554654444071</v>
      </c>
      <c r="AS133" s="89">
        <f t="shared" ref="AS133:AS196" si="13">IF(OR(AQ133="",AR133=""),"",IFERROR(AQ133-AR133,""))</f>
        <v>1.7000242929243505</v>
      </c>
      <c r="AT133" s="90">
        <f t="shared" ref="AT133:AT196" si="14">IF(COUNT(K133:AO133)=0,"",MIN(K133:AO133))</f>
        <v>14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10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33485</v>
      </c>
      <c r="AW133" s="92">
        <f t="shared" ref="AW133:AW196" si="15">IF(OR(AT133="",AU133=""),"NA",IFERROR(AT133-AU133,"NA"))</f>
        <v>4</v>
      </c>
    </row>
    <row r="134" spans="1:49" ht="14.25" customHeight="1" x14ac:dyDescent="0.2">
      <c r="A134" s="48">
        <v>52055090</v>
      </c>
      <c r="B134" s="52" t="s">
        <v>290</v>
      </c>
      <c r="C134" s="52" t="s">
        <v>261</v>
      </c>
      <c r="D134" s="53">
        <v>-77.389361109999996</v>
      </c>
      <c r="E134" s="53">
        <v>1.107583333</v>
      </c>
      <c r="F134" s="48">
        <v>2800</v>
      </c>
      <c r="G134" s="46">
        <v>52</v>
      </c>
      <c r="H134" s="46">
        <v>52788</v>
      </c>
      <c r="I134" s="55" t="s">
        <v>82</v>
      </c>
      <c r="J134" s="55" t="s">
        <v>291</v>
      </c>
      <c r="K134" s="51">
        <v>8.4</v>
      </c>
      <c r="L134" s="51">
        <v>9</v>
      </c>
      <c r="M134" s="51">
        <v>12</v>
      </c>
      <c r="N134" s="51">
        <v>12</v>
      </c>
      <c r="O134" s="51"/>
      <c r="P134" s="51"/>
      <c r="Q134" s="51">
        <v>10</v>
      </c>
      <c r="R134" s="51">
        <v>10.8</v>
      </c>
      <c r="S134" s="51">
        <v>11.8</v>
      </c>
      <c r="T134" s="51">
        <v>11</v>
      </c>
      <c r="U134" s="51">
        <v>10.1</v>
      </c>
      <c r="V134" s="51">
        <v>11</v>
      </c>
      <c r="W134" s="51">
        <v>12</v>
      </c>
      <c r="X134" s="51">
        <v>11.9</v>
      </c>
      <c r="Y134" s="51">
        <v>11</v>
      </c>
      <c r="Z134" s="111">
        <v>10</v>
      </c>
      <c r="AA134" s="51">
        <v>10.4</v>
      </c>
      <c r="AB134" s="51">
        <v>11.5</v>
      </c>
      <c r="AC134" s="51">
        <v>10.199999999999999</v>
      </c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17</v>
      </c>
      <c r="AQ134" s="89">
        <f t="shared" si="12"/>
        <v>10.770588235294117</v>
      </c>
      <c r="AR134" s="89">
        <f>IFERROR(VLOOKUP(A134,Climatologia!A:U,9+$E$2,FALSE),"")</f>
        <v>9.2348212445501403</v>
      </c>
      <c r="AS134" s="89">
        <f t="shared" si="13"/>
        <v>1.5357669907439764</v>
      </c>
      <c r="AT134" s="90">
        <f t="shared" si="14"/>
        <v>8.4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5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36039</v>
      </c>
      <c r="AW134" s="92">
        <f t="shared" si="15"/>
        <v>3.4000000000000004</v>
      </c>
    </row>
    <row r="135" spans="1:49" ht="14.25" customHeight="1" x14ac:dyDescent="0.2">
      <c r="A135" s="48">
        <v>52055200</v>
      </c>
      <c r="B135" s="52" t="s">
        <v>292</v>
      </c>
      <c r="C135" s="52" t="s">
        <v>261</v>
      </c>
      <c r="D135" s="53">
        <v>-77.445805559999997</v>
      </c>
      <c r="E135" s="53">
        <v>1.0042222220000001</v>
      </c>
      <c r="F135" s="48">
        <v>2181</v>
      </c>
      <c r="G135" s="46">
        <v>52</v>
      </c>
      <c r="H135" s="46">
        <v>52287</v>
      </c>
      <c r="I135" s="55" t="s">
        <v>82</v>
      </c>
      <c r="J135" s="55" t="s">
        <v>292</v>
      </c>
      <c r="K135" s="51">
        <v>10.4</v>
      </c>
      <c r="L135" s="51">
        <v>12</v>
      </c>
      <c r="M135" s="51">
        <v>13.8</v>
      </c>
      <c r="N135" s="51">
        <v>9.1999999999999993</v>
      </c>
      <c r="O135" s="51">
        <v>16</v>
      </c>
      <c r="P135" s="51">
        <v>14.4</v>
      </c>
      <c r="Q135" s="51">
        <v>11.6</v>
      </c>
      <c r="R135" s="51">
        <v>12</v>
      </c>
      <c r="S135" s="51">
        <v>16.2</v>
      </c>
      <c r="T135" s="51">
        <v>11.8</v>
      </c>
      <c r="U135" s="51">
        <v>13.6</v>
      </c>
      <c r="V135" s="51">
        <v>13.8</v>
      </c>
      <c r="W135" s="51">
        <v>15</v>
      </c>
      <c r="X135" s="51">
        <v>14.4</v>
      </c>
      <c r="Y135" s="51">
        <v>14.4</v>
      </c>
      <c r="Z135" s="111">
        <v>15.2</v>
      </c>
      <c r="AA135" s="51">
        <v>9.6</v>
      </c>
      <c r="AB135" s="51">
        <v>9.8000000000000007</v>
      </c>
      <c r="AC135" s="51">
        <v>13.4</v>
      </c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19</v>
      </c>
      <c r="AQ135" s="89">
        <f t="shared" si="12"/>
        <v>12.978947368421053</v>
      </c>
      <c r="AR135" s="89">
        <f>IFERROR(VLOOKUP(A135,Climatologia!A:U,9+$E$2,FALSE),"")</f>
        <v>12.205965517241379</v>
      </c>
      <c r="AS135" s="89">
        <f t="shared" si="13"/>
        <v>0.772981851179674</v>
      </c>
      <c r="AT135" s="90">
        <f t="shared" si="14"/>
        <v>9.1999999999999993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8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44100</v>
      </c>
      <c r="AW135" s="92">
        <f t="shared" si="15"/>
        <v>1.1999999999999993</v>
      </c>
    </row>
    <row r="136" spans="1:49" ht="14.25" customHeight="1" x14ac:dyDescent="0.2">
      <c r="A136" s="48">
        <v>52055210</v>
      </c>
      <c r="B136" s="52" t="s">
        <v>293</v>
      </c>
      <c r="C136" s="52" t="s">
        <v>261</v>
      </c>
      <c r="D136" s="53">
        <v>-77.278805559999995</v>
      </c>
      <c r="E136" s="53">
        <v>1.1599999999999999</v>
      </c>
      <c r="F136" s="48">
        <v>2820</v>
      </c>
      <c r="G136" s="46">
        <v>52</v>
      </c>
      <c r="H136" s="46">
        <v>52001</v>
      </c>
      <c r="I136" s="55" t="s">
        <v>82</v>
      </c>
      <c r="J136" s="55" t="s">
        <v>271</v>
      </c>
      <c r="K136" s="51">
        <v>6.4</v>
      </c>
      <c r="L136" s="51">
        <v>9.1999999999999993</v>
      </c>
      <c r="M136" s="51">
        <v>10.8</v>
      </c>
      <c r="N136" s="51">
        <v>9</v>
      </c>
      <c r="O136" s="51">
        <v>10.8</v>
      </c>
      <c r="P136" s="51">
        <v>8</v>
      </c>
      <c r="Q136" s="51">
        <v>7.2</v>
      </c>
      <c r="R136" s="51">
        <v>8.6</v>
      </c>
      <c r="S136" s="51">
        <v>10</v>
      </c>
      <c r="T136" s="51">
        <v>10.6</v>
      </c>
      <c r="U136" s="51">
        <v>10.4</v>
      </c>
      <c r="V136" s="51">
        <v>10.8</v>
      </c>
      <c r="W136" s="51">
        <v>9.8000000000000007</v>
      </c>
      <c r="X136" s="51">
        <v>11.2</v>
      </c>
      <c r="Y136" s="51">
        <v>9.4</v>
      </c>
      <c r="Z136" s="111">
        <v>11.4</v>
      </c>
      <c r="AA136" s="51">
        <v>10.6</v>
      </c>
      <c r="AB136" s="51">
        <v>11</v>
      </c>
      <c r="AC136" s="51">
        <v>10.4</v>
      </c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19</v>
      </c>
      <c r="AQ136" s="89">
        <f t="shared" si="12"/>
        <v>9.7684210526315791</v>
      </c>
      <c r="AR136" s="89">
        <f>IFERROR(VLOOKUP(A136,Climatologia!A:U,9+$E$2,FALSE),"")</f>
        <v>8.3700583367250037</v>
      </c>
      <c r="AS136" s="89">
        <f t="shared" si="13"/>
        <v>1.3983627159065755</v>
      </c>
      <c r="AT136" s="90">
        <f t="shared" si="14"/>
        <v>6.4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2.8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44453</v>
      </c>
      <c r="AW136" s="92">
        <f t="shared" si="15"/>
        <v>3.6000000000000005</v>
      </c>
    </row>
    <row r="137" spans="1:49" ht="14.25" customHeight="1" x14ac:dyDescent="0.2">
      <c r="A137" s="48">
        <v>52055220</v>
      </c>
      <c r="B137" s="52" t="s">
        <v>294</v>
      </c>
      <c r="C137" s="52" t="s">
        <v>261</v>
      </c>
      <c r="D137" s="53">
        <v>-77.636935688999998</v>
      </c>
      <c r="E137" s="53">
        <v>1.070707855</v>
      </c>
      <c r="F137" s="48">
        <v>3033</v>
      </c>
      <c r="G137" s="46">
        <v>52</v>
      </c>
      <c r="H137" s="46">
        <v>52838</v>
      </c>
      <c r="I137" s="55" t="s">
        <v>82</v>
      </c>
      <c r="J137" s="55" t="s">
        <v>295</v>
      </c>
      <c r="K137" s="51">
        <v>6</v>
      </c>
      <c r="L137" s="51">
        <v>6.2</v>
      </c>
      <c r="M137" s="51">
        <v>8.4</v>
      </c>
      <c r="N137" s="51">
        <v>8</v>
      </c>
      <c r="O137" s="51">
        <v>8.4</v>
      </c>
      <c r="P137" s="51">
        <v>5.6</v>
      </c>
      <c r="Q137" s="51">
        <v>6.2</v>
      </c>
      <c r="R137" s="51">
        <v>6</v>
      </c>
      <c r="S137" s="51">
        <v>6.4</v>
      </c>
      <c r="T137" s="51">
        <v>7.2</v>
      </c>
      <c r="U137" s="51">
        <v>7.8</v>
      </c>
      <c r="V137" s="51">
        <v>7.6</v>
      </c>
      <c r="W137" s="51">
        <v>7.8</v>
      </c>
      <c r="X137" s="51">
        <v>9</v>
      </c>
      <c r="Y137" s="51">
        <v>8.6999999999999993</v>
      </c>
      <c r="Z137" s="111">
        <v>8</v>
      </c>
      <c r="AA137" s="51">
        <v>7.8</v>
      </c>
      <c r="AB137" s="51">
        <v>7.6</v>
      </c>
      <c r="AC137" s="51">
        <v>8.4</v>
      </c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19</v>
      </c>
      <c r="AQ137" s="89">
        <f t="shared" si="12"/>
        <v>7.4263157894736835</v>
      </c>
      <c r="AR137" s="89">
        <f>IFERROR(VLOOKUP(A137,Climatologia!A:U,9+$E$2,FALSE),"")</f>
        <v>6.6653428458184703</v>
      </c>
      <c r="AS137" s="89">
        <f t="shared" si="13"/>
        <v>0.76097294365521329</v>
      </c>
      <c r="AT137" s="90">
        <f t="shared" si="14"/>
        <v>5.6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2.2000000000000002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39715</v>
      </c>
      <c r="AW137" s="92">
        <f t="shared" si="15"/>
        <v>3.3999999999999995</v>
      </c>
    </row>
    <row r="138" spans="1:49" ht="14.25" customHeight="1" x14ac:dyDescent="0.2">
      <c r="A138" s="48">
        <v>53045040</v>
      </c>
      <c r="B138" s="52" t="s">
        <v>296</v>
      </c>
      <c r="C138" s="52" t="s">
        <v>261</v>
      </c>
      <c r="D138" s="53">
        <v>-77.894750000000002</v>
      </c>
      <c r="E138" s="53">
        <v>2.5744166669999999</v>
      </c>
      <c r="F138" s="48">
        <v>42</v>
      </c>
      <c r="G138" s="46">
        <v>19</v>
      </c>
      <c r="H138" s="46">
        <v>19318</v>
      </c>
      <c r="I138" s="55" t="s">
        <v>181</v>
      </c>
      <c r="J138" s="55" t="s">
        <v>297</v>
      </c>
      <c r="K138" s="51">
        <v>23.8</v>
      </c>
      <c r="L138" s="51">
        <v>23.6</v>
      </c>
      <c r="M138" s="51">
        <v>24.2</v>
      </c>
      <c r="N138" s="51">
        <v>25.4</v>
      </c>
      <c r="O138" s="51">
        <v>24.6</v>
      </c>
      <c r="P138" s="51">
        <v>24.2</v>
      </c>
      <c r="Q138" s="51">
        <v>24</v>
      </c>
      <c r="R138" s="51">
        <v>24.2</v>
      </c>
      <c r="S138" s="51">
        <v>24.6</v>
      </c>
      <c r="T138" s="51">
        <v>24.4</v>
      </c>
      <c r="U138" s="51">
        <v>23.8</v>
      </c>
      <c r="V138" s="51">
        <v>23.6</v>
      </c>
      <c r="W138" s="51">
        <v>24.8</v>
      </c>
      <c r="X138" s="51">
        <v>25.4</v>
      </c>
      <c r="Y138" s="51">
        <v>25.2</v>
      </c>
      <c r="Z138" s="111">
        <v>25.2</v>
      </c>
      <c r="AA138" s="51">
        <v>25</v>
      </c>
      <c r="AB138" s="51">
        <v>24.8</v>
      </c>
      <c r="AC138" s="51">
        <v>25.4</v>
      </c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19</v>
      </c>
      <c r="AQ138" s="89">
        <f t="shared" si="12"/>
        <v>24.536842105263155</v>
      </c>
      <c r="AR138" s="89" t="str">
        <f>IFERROR(VLOOKUP(A138,Climatologia!A:U,9+$E$2,FALSE),"")</f>
        <v/>
      </c>
      <c r="AS138" s="89" t="str">
        <f t="shared" si="13"/>
        <v/>
      </c>
      <c r="AT138" s="90">
        <f t="shared" si="14"/>
        <v>23.6</v>
      </c>
      <c r="AU138" s="90" t="str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/>
      </c>
      <c r="AV138" s="91" t="str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8" s="92" t="str">
        <f t="shared" si="15"/>
        <v>NA</v>
      </c>
    </row>
    <row r="139" spans="1:49" ht="14.25" customHeight="1" x14ac:dyDescent="0.2">
      <c r="A139" s="48">
        <v>16015020</v>
      </c>
      <c r="B139" s="52" t="s">
        <v>298</v>
      </c>
      <c r="C139" s="52" t="s">
        <v>299</v>
      </c>
      <c r="D139" s="53">
        <v>-72.644999999999996</v>
      </c>
      <c r="E139" s="53">
        <v>7.3731111110000001</v>
      </c>
      <c r="F139" s="48">
        <v>2340</v>
      </c>
      <c r="G139" s="46">
        <v>54</v>
      </c>
      <c r="H139" s="46">
        <v>54518</v>
      </c>
      <c r="I139" s="55" t="s">
        <v>300</v>
      </c>
      <c r="J139" s="55" t="s">
        <v>301</v>
      </c>
      <c r="K139" s="51">
        <v>11.8</v>
      </c>
      <c r="L139" s="51">
        <v>12</v>
      </c>
      <c r="M139" s="51">
        <v>12.2</v>
      </c>
      <c r="N139" s="51">
        <v>10.4</v>
      </c>
      <c r="O139" s="51">
        <v>12.2</v>
      </c>
      <c r="P139" s="51">
        <v>11.8</v>
      </c>
      <c r="Q139" s="51">
        <v>11.2</v>
      </c>
      <c r="R139" s="51">
        <v>12</v>
      </c>
      <c r="S139" s="51">
        <v>10.8</v>
      </c>
      <c r="T139" s="51">
        <v>11.8</v>
      </c>
      <c r="U139" s="51">
        <v>12.2</v>
      </c>
      <c r="V139" s="51">
        <v>12.6</v>
      </c>
      <c r="W139" s="51">
        <v>13</v>
      </c>
      <c r="X139" s="51">
        <v>12.8</v>
      </c>
      <c r="Y139" s="51">
        <v>11.2</v>
      </c>
      <c r="Z139" s="111">
        <v>12.2</v>
      </c>
      <c r="AA139" s="51">
        <v>10.199999999999999</v>
      </c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17</v>
      </c>
      <c r="AQ139" s="89">
        <f t="shared" si="12"/>
        <v>11.788235294117644</v>
      </c>
      <c r="AR139" s="89">
        <f>IFERROR(VLOOKUP(A139,Climatologia!A:U,9+$E$2,FALSE),"")</f>
        <v>10.703855500821019</v>
      </c>
      <c r="AS139" s="89">
        <f t="shared" si="13"/>
        <v>1.084379793296625</v>
      </c>
      <c r="AT139" s="90">
        <f t="shared" si="14"/>
        <v>10.199999999999999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5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35703</v>
      </c>
      <c r="AW139" s="92">
        <f t="shared" si="15"/>
        <v>5.1999999999999993</v>
      </c>
    </row>
    <row r="140" spans="1:49" ht="14.25" customHeight="1" x14ac:dyDescent="0.2">
      <c r="A140" s="48">
        <v>16015100</v>
      </c>
      <c r="B140" s="52" t="s">
        <v>302</v>
      </c>
      <c r="C140" s="52" t="s">
        <v>299</v>
      </c>
      <c r="D140" s="53">
        <v>-72.483888890000003</v>
      </c>
      <c r="E140" s="53">
        <v>7.5766666669999996</v>
      </c>
      <c r="F140" s="48">
        <v>1550</v>
      </c>
      <c r="G140" s="46">
        <v>54</v>
      </c>
      <c r="H140" s="46">
        <v>54599</v>
      </c>
      <c r="I140" s="55" t="s">
        <v>300</v>
      </c>
      <c r="J140" s="55" t="s">
        <v>302</v>
      </c>
      <c r="K140" s="51">
        <v>16.2</v>
      </c>
      <c r="L140" s="51">
        <v>15.6</v>
      </c>
      <c r="M140" s="51">
        <v>15.4</v>
      </c>
      <c r="N140" s="51">
        <v>14.6</v>
      </c>
      <c r="O140" s="51">
        <v>14.8</v>
      </c>
      <c r="P140" s="51">
        <v>14.4</v>
      </c>
      <c r="Q140" s="51">
        <v>14.4</v>
      </c>
      <c r="R140" s="51">
        <v>14.2</v>
      </c>
      <c r="S140" s="51">
        <v>15</v>
      </c>
      <c r="T140" s="51">
        <v>14.8</v>
      </c>
      <c r="U140" s="51">
        <v>15.6</v>
      </c>
      <c r="V140" s="51">
        <v>14.6</v>
      </c>
      <c r="W140" s="51">
        <v>16.2</v>
      </c>
      <c r="X140" s="51">
        <v>14.8</v>
      </c>
      <c r="Y140" s="51">
        <v>15</v>
      </c>
      <c r="Z140" s="111">
        <v>16.8</v>
      </c>
      <c r="AA140" s="51">
        <v>14.4</v>
      </c>
      <c r="AB140" s="51">
        <v>16.2</v>
      </c>
      <c r="AC140" s="51">
        <v>15.8</v>
      </c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19</v>
      </c>
      <c r="AQ140" s="89">
        <f t="shared" si="12"/>
        <v>15.200000000000001</v>
      </c>
      <c r="AR140" s="89">
        <f>IFERROR(VLOOKUP(A140,Climatologia!A:U,9+$E$2,FALSE),"")</f>
        <v>14.545254688445249</v>
      </c>
      <c r="AS140" s="89">
        <f t="shared" si="13"/>
        <v>0.65474531155475191</v>
      </c>
      <c r="AT140" s="90">
        <f t="shared" si="14"/>
        <v>14.2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11.8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42643</v>
      </c>
      <c r="AW140" s="92">
        <f t="shared" si="15"/>
        <v>2.3999999999999986</v>
      </c>
    </row>
    <row r="141" spans="1:49" ht="14.25" customHeight="1" x14ac:dyDescent="0.2">
      <c r="A141" s="48">
        <v>16025010</v>
      </c>
      <c r="B141" s="52" t="s">
        <v>303</v>
      </c>
      <c r="C141" s="52" t="s">
        <v>299</v>
      </c>
      <c r="D141" s="53">
        <v>-72.566111109999994</v>
      </c>
      <c r="E141" s="53">
        <v>7.8488888890000004</v>
      </c>
      <c r="F141" s="48">
        <v>285</v>
      </c>
      <c r="G141" s="46">
        <v>54</v>
      </c>
      <c r="H141" s="46">
        <v>54001</v>
      </c>
      <c r="I141" s="55" t="s">
        <v>300</v>
      </c>
      <c r="J141" s="55" t="s">
        <v>304</v>
      </c>
      <c r="K141" s="51">
        <v>24.8</v>
      </c>
      <c r="L141" s="51">
        <v>24.4</v>
      </c>
      <c r="M141" s="51">
        <v>23.4</v>
      </c>
      <c r="N141" s="51">
        <v>24.2</v>
      </c>
      <c r="O141" s="51">
        <v>24.4</v>
      </c>
      <c r="P141" s="51">
        <v>24.8</v>
      </c>
      <c r="Q141" s="51">
        <v>24</v>
      </c>
      <c r="R141" s="51">
        <v>26</v>
      </c>
      <c r="S141" s="51">
        <v>27.2</v>
      </c>
      <c r="T141" s="51">
        <v>26.4</v>
      </c>
      <c r="U141" s="51">
        <v>24</v>
      </c>
      <c r="V141" s="51">
        <v>24.8</v>
      </c>
      <c r="W141" s="51">
        <v>25.4</v>
      </c>
      <c r="X141" s="51">
        <v>24</v>
      </c>
      <c r="Y141" s="51">
        <v>26</v>
      </c>
      <c r="Z141" s="111">
        <v>25.1</v>
      </c>
      <c r="AA141" s="51">
        <v>27.4</v>
      </c>
      <c r="AB141" s="51">
        <v>29</v>
      </c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18</v>
      </c>
      <c r="AQ141" s="89">
        <f t="shared" si="12"/>
        <v>25.294444444444444</v>
      </c>
      <c r="AR141" s="89">
        <f>IFERROR(VLOOKUP(A141,Climatologia!A:U,9+$E$2,FALSE),"")</f>
        <v>22.455977862920388</v>
      </c>
      <c r="AS141" s="89">
        <f t="shared" si="13"/>
        <v>2.838466581524056</v>
      </c>
      <c r="AT141" s="90">
        <f t="shared" si="14"/>
        <v>23.4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19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32410</v>
      </c>
      <c r="AW141" s="92">
        <f t="shared" si="15"/>
        <v>4.3999999999999986</v>
      </c>
    </row>
    <row r="142" spans="1:49" ht="14.25" customHeight="1" x14ac:dyDescent="0.2">
      <c r="A142" s="48">
        <v>16025030</v>
      </c>
      <c r="B142" s="52" t="s">
        <v>305</v>
      </c>
      <c r="C142" s="52" t="s">
        <v>299</v>
      </c>
      <c r="D142" s="53">
        <v>-72.830555559999993</v>
      </c>
      <c r="E142" s="53">
        <v>7.7745833329999998</v>
      </c>
      <c r="F142" s="48">
        <v>860</v>
      </c>
      <c r="G142" s="46">
        <v>54</v>
      </c>
      <c r="H142" s="46">
        <v>54660</v>
      </c>
      <c r="I142" s="55" t="s">
        <v>300</v>
      </c>
      <c r="J142" s="55" t="s">
        <v>305</v>
      </c>
      <c r="K142" s="51">
        <v>20.399999999999999</v>
      </c>
      <c r="L142" s="51">
        <v>21</v>
      </c>
      <c r="M142" s="51">
        <v>21.2</v>
      </c>
      <c r="N142" s="51">
        <v>20.6</v>
      </c>
      <c r="O142" s="51">
        <v>20.399999999999999</v>
      </c>
      <c r="P142" s="51">
        <v>20.399999999999999</v>
      </c>
      <c r="Q142" s="51">
        <v>20.6</v>
      </c>
      <c r="R142" s="51">
        <v>22.2</v>
      </c>
      <c r="S142" s="51">
        <v>20.2</v>
      </c>
      <c r="T142" s="51">
        <v>21.2</v>
      </c>
      <c r="U142" s="51">
        <v>20.399999999999999</v>
      </c>
      <c r="V142" s="51">
        <v>20</v>
      </c>
      <c r="W142" s="51">
        <v>20.2</v>
      </c>
      <c r="X142" s="51">
        <v>20</v>
      </c>
      <c r="Y142" s="51">
        <v>21.2</v>
      </c>
      <c r="Z142" s="111">
        <v>20.6</v>
      </c>
      <c r="AA142" s="51">
        <v>20.2</v>
      </c>
      <c r="AB142" s="51">
        <v>21.6</v>
      </c>
      <c r="AC142" s="51">
        <v>21</v>
      </c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19</v>
      </c>
      <c r="AQ142" s="89">
        <f t="shared" si="12"/>
        <v>20.705263157894734</v>
      </c>
      <c r="AR142" s="89">
        <f>IFERROR(VLOOKUP(A142,Climatologia!A:U,9+$E$2,FALSE),"")</f>
        <v>19.329999999999998</v>
      </c>
      <c r="AS142" s="89">
        <f t="shared" si="13"/>
        <v>1.3752631578947359</v>
      </c>
      <c r="AT142" s="90">
        <f t="shared" si="14"/>
        <v>20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15.2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39326</v>
      </c>
      <c r="AW142" s="92">
        <f t="shared" si="15"/>
        <v>4.8000000000000007</v>
      </c>
    </row>
    <row r="143" spans="1:49" ht="14.25" customHeight="1" x14ac:dyDescent="0.2">
      <c r="A143" s="48">
        <v>16025040</v>
      </c>
      <c r="B143" s="52" t="s">
        <v>306</v>
      </c>
      <c r="C143" s="52" t="s">
        <v>299</v>
      </c>
      <c r="D143" s="53">
        <v>-72.47878</v>
      </c>
      <c r="E143" s="53">
        <v>8.1672799999999999</v>
      </c>
      <c r="F143" s="48">
        <v>96</v>
      </c>
      <c r="G143" s="46">
        <v>54</v>
      </c>
      <c r="H143" s="46">
        <v>54001</v>
      </c>
      <c r="I143" s="55" t="s">
        <v>300</v>
      </c>
      <c r="J143" s="55" t="s">
        <v>304</v>
      </c>
      <c r="K143" s="51">
        <v>25</v>
      </c>
      <c r="L143" s="51">
        <v>25.2</v>
      </c>
      <c r="M143" s="51">
        <v>24.8</v>
      </c>
      <c r="N143" s="51">
        <v>24.2</v>
      </c>
      <c r="O143" s="51">
        <v>25</v>
      </c>
      <c r="P143" s="51">
        <v>24.4</v>
      </c>
      <c r="Q143" s="51">
        <v>24</v>
      </c>
      <c r="R143" s="51">
        <v>26</v>
      </c>
      <c r="S143" s="51">
        <v>24.8</v>
      </c>
      <c r="T143" s="51">
        <v>25.8</v>
      </c>
      <c r="U143" s="51">
        <v>23.6</v>
      </c>
      <c r="V143" s="51">
        <v>24.6</v>
      </c>
      <c r="W143" s="51">
        <v>23.4</v>
      </c>
      <c r="X143" s="51">
        <v>24</v>
      </c>
      <c r="Y143" s="51">
        <v>25.6</v>
      </c>
      <c r="Z143" s="111">
        <v>24.4</v>
      </c>
      <c r="AA143" s="51">
        <v>24</v>
      </c>
      <c r="AB143" s="51">
        <v>25.4</v>
      </c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18</v>
      </c>
      <c r="AQ143" s="89">
        <f t="shared" si="12"/>
        <v>24.677777777777777</v>
      </c>
      <c r="AR143" s="89">
        <f>IFERROR(VLOOKUP(A143,Climatologia!A:U,9+$E$2,FALSE),"")</f>
        <v>23.11510704812429</v>
      </c>
      <c r="AS143" s="89">
        <f t="shared" si="13"/>
        <v>1.5626707296534867</v>
      </c>
      <c r="AT143" s="90">
        <f t="shared" si="14"/>
        <v>23.4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16.2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29843</v>
      </c>
      <c r="AW143" s="92">
        <f t="shared" si="15"/>
        <v>7.1999999999999993</v>
      </c>
    </row>
    <row r="144" spans="1:49" ht="14.25" customHeight="1" x14ac:dyDescent="0.2">
      <c r="A144" s="48">
        <v>16055010</v>
      </c>
      <c r="B144" s="52" t="s">
        <v>307</v>
      </c>
      <c r="C144" s="52" t="s">
        <v>299</v>
      </c>
      <c r="D144" s="53">
        <v>-73.357500000000002</v>
      </c>
      <c r="E144" s="53">
        <v>8.3152777780000005</v>
      </c>
      <c r="F144" s="48">
        <v>1435</v>
      </c>
      <c r="G144" s="46">
        <v>54</v>
      </c>
      <c r="H144" s="46">
        <v>54498</v>
      </c>
      <c r="I144" s="55" t="s">
        <v>300</v>
      </c>
      <c r="J144" s="55" t="s">
        <v>308</v>
      </c>
      <c r="K144" s="51">
        <v>18.2</v>
      </c>
      <c r="L144" s="51">
        <v>18</v>
      </c>
      <c r="M144" s="51">
        <v>17.2</v>
      </c>
      <c r="N144" s="51">
        <v>17.600000000000001</v>
      </c>
      <c r="O144" s="51">
        <v>16.600000000000001</v>
      </c>
      <c r="P144" s="51">
        <v>15.2</v>
      </c>
      <c r="Q144" s="51">
        <v>14.6</v>
      </c>
      <c r="R144" s="51">
        <v>19.2</v>
      </c>
      <c r="S144" s="51">
        <v>15.6</v>
      </c>
      <c r="T144" s="51">
        <v>18</v>
      </c>
      <c r="U144" s="51">
        <v>18.399999999999999</v>
      </c>
      <c r="V144" s="51">
        <v>17</v>
      </c>
      <c r="W144" s="51">
        <v>18.399999999999999</v>
      </c>
      <c r="X144" s="51">
        <v>17.2</v>
      </c>
      <c r="Y144" s="51">
        <v>18.399999999999999</v>
      </c>
      <c r="Z144" s="111">
        <v>18.2</v>
      </c>
      <c r="AA144" s="51">
        <v>17.399999999999999</v>
      </c>
      <c r="AB144" s="51">
        <v>18.8</v>
      </c>
      <c r="AC144" s="51">
        <v>18</v>
      </c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19</v>
      </c>
      <c r="AQ144" s="89">
        <f t="shared" si="12"/>
        <v>17.473684210526311</v>
      </c>
      <c r="AR144" s="89">
        <f>IFERROR(VLOOKUP(A144,Climatologia!A:U,9+$E$2,FALSE),"")</f>
        <v>16.00302197802198</v>
      </c>
      <c r="AS144" s="89">
        <f t="shared" si="13"/>
        <v>1.4706622325043313</v>
      </c>
      <c r="AT144" s="90">
        <f t="shared" si="14"/>
        <v>14.6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11.4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31670</v>
      </c>
      <c r="AW144" s="92">
        <f t="shared" si="15"/>
        <v>3.1999999999999993</v>
      </c>
    </row>
    <row r="145" spans="1:49" ht="14.25" customHeight="1" x14ac:dyDescent="0.2">
      <c r="A145" s="48">
        <v>16055040</v>
      </c>
      <c r="B145" s="52" t="s">
        <v>309</v>
      </c>
      <c r="C145" s="52" t="s">
        <v>299</v>
      </c>
      <c r="D145" s="53">
        <v>-73.223055560000006</v>
      </c>
      <c r="E145" s="53">
        <v>8.0872222219999994</v>
      </c>
      <c r="F145" s="48">
        <v>1430</v>
      </c>
      <c r="G145" s="46">
        <v>54</v>
      </c>
      <c r="H145" s="46">
        <v>54003</v>
      </c>
      <c r="I145" s="55" t="s">
        <v>300</v>
      </c>
      <c r="J145" s="55" t="s">
        <v>310</v>
      </c>
      <c r="K145" s="51">
        <v>15</v>
      </c>
      <c r="L145" s="51">
        <v>14</v>
      </c>
      <c r="M145" s="51">
        <v>14</v>
      </c>
      <c r="N145" s="51">
        <v>13.6</v>
      </c>
      <c r="O145" s="51">
        <v>16.2</v>
      </c>
      <c r="P145" s="51">
        <v>11.4</v>
      </c>
      <c r="Q145" s="51">
        <v>11.2</v>
      </c>
      <c r="R145" s="51">
        <v>12.2</v>
      </c>
      <c r="S145" s="51">
        <v>12</v>
      </c>
      <c r="T145" s="51">
        <v>13.2</v>
      </c>
      <c r="U145" s="51">
        <v>15</v>
      </c>
      <c r="V145" s="51">
        <v>14.2</v>
      </c>
      <c r="W145" s="51">
        <v>13.2</v>
      </c>
      <c r="X145" s="51">
        <v>13.2</v>
      </c>
      <c r="Y145" s="51">
        <v>14.6</v>
      </c>
      <c r="Z145" s="111">
        <v>15.8</v>
      </c>
      <c r="AA145" s="51">
        <v>13.2</v>
      </c>
      <c r="AB145" s="51">
        <v>16</v>
      </c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18</v>
      </c>
      <c r="AQ145" s="89">
        <f t="shared" si="12"/>
        <v>13.777777777777777</v>
      </c>
      <c r="AR145" s="89">
        <f>IFERROR(VLOOKUP(A145,Climatologia!A:U,9+$E$2,FALSE),"")</f>
        <v>14.45928882262166</v>
      </c>
      <c r="AS145" s="89">
        <f t="shared" si="13"/>
        <v>-0.6815110448438837</v>
      </c>
      <c r="AT145" s="90">
        <f t="shared" si="14"/>
        <v>11.2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8.6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37135</v>
      </c>
      <c r="AW145" s="92">
        <f t="shared" si="15"/>
        <v>2.5999999999999996</v>
      </c>
    </row>
    <row r="146" spans="1:49" ht="14.25" customHeight="1" x14ac:dyDescent="0.2">
      <c r="A146" s="48">
        <v>23125060</v>
      </c>
      <c r="B146" s="52" t="s">
        <v>311</v>
      </c>
      <c r="C146" s="52" t="s">
        <v>299</v>
      </c>
      <c r="D146" s="53">
        <v>-73.91333333</v>
      </c>
      <c r="E146" s="53">
        <v>5.7583333330000004</v>
      </c>
      <c r="F146" s="48">
        <v>1690</v>
      </c>
      <c r="G146" s="46">
        <v>68</v>
      </c>
      <c r="H146" s="46">
        <v>68020</v>
      </c>
      <c r="I146" s="55" t="s">
        <v>49</v>
      </c>
      <c r="J146" s="55" t="s">
        <v>311</v>
      </c>
      <c r="K146" s="51">
        <v>17.2</v>
      </c>
      <c r="L146" s="51">
        <v>17</v>
      </c>
      <c r="M146" s="51">
        <v>16.2</v>
      </c>
      <c r="N146" s="51">
        <v>16.2</v>
      </c>
      <c r="O146" s="51">
        <v>16.600000000000001</v>
      </c>
      <c r="P146" s="51">
        <v>16.8</v>
      </c>
      <c r="Q146" s="51">
        <v>15.2</v>
      </c>
      <c r="R146" s="51">
        <v>16.2</v>
      </c>
      <c r="S146" s="51">
        <v>17</v>
      </c>
      <c r="T146" s="51">
        <v>16.8</v>
      </c>
      <c r="U146" s="51">
        <v>17.600000000000001</v>
      </c>
      <c r="V146" s="51">
        <v>16.399999999999999</v>
      </c>
      <c r="W146" s="51">
        <v>16.2</v>
      </c>
      <c r="X146" s="51">
        <v>17.600000000000001</v>
      </c>
      <c r="Y146" s="51">
        <v>17.399999999999999</v>
      </c>
      <c r="Z146" s="111">
        <v>17</v>
      </c>
      <c r="AA146" s="51">
        <v>18</v>
      </c>
      <c r="AB146" s="51">
        <v>18.2</v>
      </c>
      <c r="AC146" s="51">
        <v>17</v>
      </c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19</v>
      </c>
      <c r="AQ146" s="89">
        <f t="shared" si="12"/>
        <v>16.873684210526314</v>
      </c>
      <c r="AR146" s="89">
        <f>IFERROR(VLOOKUP(A146,Climatologia!A:U,9+$E$2,FALSE),"")</f>
        <v>14.599499815025331</v>
      </c>
      <c r="AS146" s="89">
        <f t="shared" si="13"/>
        <v>2.2741843955009831</v>
      </c>
      <c r="AT146" s="90">
        <f t="shared" si="14"/>
        <v>15.2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11.2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28737</v>
      </c>
      <c r="AW146" s="92">
        <f t="shared" si="15"/>
        <v>4</v>
      </c>
    </row>
    <row r="147" spans="1:49" ht="14.25" customHeight="1" x14ac:dyDescent="0.2">
      <c r="A147" s="48">
        <v>23125120</v>
      </c>
      <c r="B147" s="52" t="s">
        <v>312</v>
      </c>
      <c r="C147" s="52" t="s">
        <v>299</v>
      </c>
      <c r="D147" s="53">
        <v>-73.952222219999996</v>
      </c>
      <c r="E147" s="53">
        <v>6.3086111110000003</v>
      </c>
      <c r="F147" s="48">
        <v>198</v>
      </c>
      <c r="G147" s="46">
        <v>68</v>
      </c>
      <c r="H147" s="46">
        <v>68190</v>
      </c>
      <c r="I147" s="55" t="s">
        <v>49</v>
      </c>
      <c r="J147" s="55" t="s">
        <v>312</v>
      </c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0</v>
      </c>
      <c r="AQ147" s="89" t="str">
        <f t="shared" si="12"/>
        <v/>
      </c>
      <c r="AR147" s="89">
        <f>IFERROR(VLOOKUP(A147,Climatologia!A:U,9+$E$2,FALSE),"")</f>
        <v>22.255609026988331</v>
      </c>
      <c r="AS147" s="89" t="str">
        <f t="shared" si="13"/>
        <v/>
      </c>
      <c r="AT147" s="90" t="str">
        <f t="shared" si="14"/>
        <v/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17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37518</v>
      </c>
      <c r="AW147" s="92" t="str">
        <f t="shared" si="15"/>
        <v>NA</v>
      </c>
    </row>
    <row r="148" spans="1:49" ht="14.25" customHeight="1" x14ac:dyDescent="0.2">
      <c r="A148" s="48">
        <v>23145020</v>
      </c>
      <c r="B148" s="52" t="s">
        <v>313</v>
      </c>
      <c r="C148" s="52" t="s">
        <v>299</v>
      </c>
      <c r="D148" s="53">
        <v>-73.510000000000005</v>
      </c>
      <c r="E148" s="53">
        <v>6.6963888889999996</v>
      </c>
      <c r="F148" s="48">
        <v>805</v>
      </c>
      <c r="G148" s="46">
        <v>68</v>
      </c>
      <c r="H148" s="46">
        <v>68235</v>
      </c>
      <c r="I148" s="55" t="s">
        <v>49</v>
      </c>
      <c r="J148" s="55" t="s">
        <v>314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19.720218938149969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16.399999999999999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42277</v>
      </c>
      <c r="AW148" s="92" t="str">
        <f t="shared" si="15"/>
        <v>NA</v>
      </c>
    </row>
    <row r="149" spans="1:49" ht="14.25" customHeight="1" x14ac:dyDescent="0.2">
      <c r="A149" s="48">
        <v>23155040</v>
      </c>
      <c r="B149" s="52" t="s">
        <v>315</v>
      </c>
      <c r="C149" s="52" t="s">
        <v>299</v>
      </c>
      <c r="D149" s="53">
        <v>-73.765083329999996</v>
      </c>
      <c r="E149" s="53">
        <v>6.8595555560000001</v>
      </c>
      <c r="F149" s="48">
        <v>114</v>
      </c>
      <c r="G149" s="46">
        <v>68</v>
      </c>
      <c r="H149" s="46">
        <v>68081</v>
      </c>
      <c r="I149" s="55" t="s">
        <v>49</v>
      </c>
      <c r="J149" s="55" t="s">
        <v>50</v>
      </c>
      <c r="K149" s="51">
        <v>25.8</v>
      </c>
      <c r="L149" s="51">
        <v>25.2</v>
      </c>
      <c r="M149" s="51">
        <v>24.8</v>
      </c>
      <c r="N149" s="51">
        <v>24</v>
      </c>
      <c r="O149" s="51">
        <v>23.8</v>
      </c>
      <c r="P149" s="51">
        <v>24.8</v>
      </c>
      <c r="Q149" s="51">
        <v>24.6</v>
      </c>
      <c r="R149" s="51">
        <v>24.8</v>
      </c>
      <c r="S149" s="51">
        <v>24.8</v>
      </c>
      <c r="T149" s="51">
        <v>26.2</v>
      </c>
      <c r="U149" s="51">
        <v>23.8</v>
      </c>
      <c r="V149" s="51">
        <v>25.2</v>
      </c>
      <c r="W149" s="51">
        <v>23.4</v>
      </c>
      <c r="X149" s="51">
        <v>25.8</v>
      </c>
      <c r="Y149" s="51">
        <v>26.2</v>
      </c>
      <c r="Z149" s="111">
        <v>23.8</v>
      </c>
      <c r="AA149" s="51">
        <v>24</v>
      </c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17</v>
      </c>
      <c r="AQ149" s="89">
        <f t="shared" si="12"/>
        <v>24.764705882352942</v>
      </c>
      <c r="AR149" s="89">
        <f>IFERROR(VLOOKUP(A149,Climatologia!A:U,9+$E$2,FALSE),"")</f>
        <v>22.212792092964509</v>
      </c>
      <c r="AS149" s="89">
        <f t="shared" si="13"/>
        <v>2.5519137893884327</v>
      </c>
      <c r="AT149" s="90">
        <f t="shared" si="14"/>
        <v>23.4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19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34584</v>
      </c>
      <c r="AW149" s="92">
        <f t="shared" si="15"/>
        <v>4.3999999999999986</v>
      </c>
    </row>
    <row r="150" spans="1:49" ht="14.25" customHeight="1" x14ac:dyDescent="0.2">
      <c r="A150" s="48">
        <v>23185010</v>
      </c>
      <c r="B150" s="52" t="s">
        <v>316</v>
      </c>
      <c r="C150" s="52" t="s">
        <v>299</v>
      </c>
      <c r="D150" s="53">
        <v>-73.537222220000004</v>
      </c>
      <c r="E150" s="53">
        <v>7.4561111110000002</v>
      </c>
      <c r="F150" s="48">
        <v>328</v>
      </c>
      <c r="G150" s="46">
        <v>68</v>
      </c>
      <c r="H150" s="46">
        <v>68655</v>
      </c>
      <c r="I150" s="55" t="s">
        <v>49</v>
      </c>
      <c r="J150" s="55" t="s">
        <v>317</v>
      </c>
      <c r="K150" s="51">
        <v>24.4</v>
      </c>
      <c r="L150" s="51">
        <v>25</v>
      </c>
      <c r="M150" s="51">
        <v>24.4</v>
      </c>
      <c r="N150" s="51">
        <v>23.4</v>
      </c>
      <c r="O150" s="51">
        <v>24.8</v>
      </c>
      <c r="P150" s="51">
        <v>24.4</v>
      </c>
      <c r="Q150" s="51">
        <v>26</v>
      </c>
      <c r="R150" s="51">
        <v>24</v>
      </c>
      <c r="S150" s="51">
        <v>24</v>
      </c>
      <c r="T150" s="51">
        <v>25</v>
      </c>
      <c r="U150" s="51">
        <v>23.4</v>
      </c>
      <c r="V150" s="51">
        <v>23.8</v>
      </c>
      <c r="W150" s="51">
        <v>26</v>
      </c>
      <c r="X150" s="51">
        <v>25.6</v>
      </c>
      <c r="Y150" s="51">
        <v>24.4</v>
      </c>
      <c r="Z150" s="111">
        <v>22.9</v>
      </c>
      <c r="AA150" s="51">
        <v>23.4</v>
      </c>
      <c r="AB150" s="51">
        <v>25.6</v>
      </c>
      <c r="AC150" s="51">
        <v>22.6</v>
      </c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19</v>
      </c>
      <c r="AQ150" s="89">
        <f t="shared" si="12"/>
        <v>24.373684210526314</v>
      </c>
      <c r="AR150" s="89">
        <f>IFERROR(VLOOKUP(A150,Climatologia!A:U,9+$E$2,FALSE),"")</f>
        <v>23.24969243701382</v>
      </c>
      <c r="AS150" s="89">
        <f t="shared" si="13"/>
        <v>1.1239917735124934</v>
      </c>
      <c r="AT150" s="90">
        <f t="shared" si="14"/>
        <v>22.6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17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31308</v>
      </c>
      <c r="AW150" s="92">
        <f t="shared" si="15"/>
        <v>5.6000000000000014</v>
      </c>
    </row>
    <row r="151" spans="1:49" ht="14.25" customHeight="1" x14ac:dyDescent="0.2">
      <c r="A151" s="48">
        <v>23195090</v>
      </c>
      <c r="B151" s="52" t="s">
        <v>318</v>
      </c>
      <c r="C151" s="52" t="s">
        <v>299</v>
      </c>
      <c r="D151" s="53">
        <v>-72.987499999999997</v>
      </c>
      <c r="E151" s="53">
        <v>7.3658299999999999</v>
      </c>
      <c r="F151" s="48">
        <v>1791</v>
      </c>
      <c r="G151" s="46">
        <v>68</v>
      </c>
      <c r="H151" s="46">
        <v>68780</v>
      </c>
      <c r="I151" s="55" t="s">
        <v>49</v>
      </c>
      <c r="J151" s="55" t="s">
        <v>319</v>
      </c>
      <c r="K151" s="51">
        <v>15.4</v>
      </c>
      <c r="L151" s="51">
        <v>15.4</v>
      </c>
      <c r="M151" s="51">
        <v>15</v>
      </c>
      <c r="N151" s="51">
        <v>14.8</v>
      </c>
      <c r="O151" s="51">
        <v>14.2</v>
      </c>
      <c r="P151" s="51">
        <v>14.8</v>
      </c>
      <c r="Q151" s="51">
        <v>14.2</v>
      </c>
      <c r="R151" s="51">
        <v>15.4</v>
      </c>
      <c r="S151" s="51">
        <v>15.8</v>
      </c>
      <c r="T151" s="51">
        <v>16.2</v>
      </c>
      <c r="U151" s="51">
        <v>16.399999999999999</v>
      </c>
      <c r="V151" s="51">
        <v>14.4</v>
      </c>
      <c r="W151" s="51">
        <v>14.4</v>
      </c>
      <c r="X151" s="51">
        <v>16.2</v>
      </c>
      <c r="Y151" s="51">
        <v>15.4</v>
      </c>
      <c r="Z151" s="111">
        <v>16.2</v>
      </c>
      <c r="AA151" s="51">
        <v>15.4</v>
      </c>
      <c r="AB151" s="51">
        <v>17.399999999999999</v>
      </c>
      <c r="AC151" s="51">
        <v>17.2</v>
      </c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19</v>
      </c>
      <c r="AQ151" s="89">
        <f t="shared" si="12"/>
        <v>15.484210526315787</v>
      </c>
      <c r="AR151" s="89">
        <f>IFERROR(VLOOKUP(A151,Climatologia!A:U,9+$E$2,FALSE),"")</f>
        <v>14.218116214197231</v>
      </c>
      <c r="AS151" s="89">
        <f t="shared" si="13"/>
        <v>1.2660943121185557</v>
      </c>
      <c r="AT151" s="90">
        <f t="shared" si="14"/>
        <v>14.2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11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31657</v>
      </c>
      <c r="AW151" s="92">
        <f t="shared" si="15"/>
        <v>3.1999999999999993</v>
      </c>
    </row>
    <row r="152" spans="1:49" ht="14.25" customHeight="1" x14ac:dyDescent="0.2">
      <c r="A152" s="48">
        <v>23195110</v>
      </c>
      <c r="B152" s="52" t="s">
        <v>320</v>
      </c>
      <c r="C152" s="52" t="s">
        <v>299</v>
      </c>
      <c r="D152" s="53">
        <v>-73.167222219999999</v>
      </c>
      <c r="E152" s="53">
        <v>7.0255555559999996</v>
      </c>
      <c r="F152" s="48">
        <v>777</v>
      </c>
      <c r="G152" s="46">
        <v>68</v>
      </c>
      <c r="H152" s="46">
        <v>68307</v>
      </c>
      <c r="I152" s="55" t="s">
        <v>49</v>
      </c>
      <c r="J152" s="55" t="s">
        <v>321</v>
      </c>
      <c r="K152" s="51">
        <v>21.2</v>
      </c>
      <c r="L152" s="51">
        <v>19.8</v>
      </c>
      <c r="M152" s="51">
        <v>20.399999999999999</v>
      </c>
      <c r="N152" s="51">
        <v>19.399999999999999</v>
      </c>
      <c r="O152" s="51">
        <v>20.399999999999999</v>
      </c>
      <c r="P152" s="51">
        <v>20</v>
      </c>
      <c r="Q152" s="51">
        <v>18.8</v>
      </c>
      <c r="R152" s="51">
        <v>19.600000000000001</v>
      </c>
      <c r="S152" s="51">
        <v>19.399999999999999</v>
      </c>
      <c r="T152" s="51">
        <v>20.6</v>
      </c>
      <c r="U152" s="51">
        <v>20</v>
      </c>
      <c r="V152" s="51">
        <v>19.8</v>
      </c>
      <c r="W152" s="51">
        <v>20.399999999999999</v>
      </c>
      <c r="X152" s="51">
        <v>22</v>
      </c>
      <c r="Y152" s="51">
        <v>20.399999999999999</v>
      </c>
      <c r="Z152" s="111">
        <v>21.4</v>
      </c>
      <c r="AA152" s="51">
        <v>19.8</v>
      </c>
      <c r="AB152" s="51">
        <v>22</v>
      </c>
      <c r="AC152" s="51">
        <v>22.2</v>
      </c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19</v>
      </c>
      <c r="AQ152" s="89">
        <f t="shared" si="12"/>
        <v>20.399999999999999</v>
      </c>
      <c r="AR152" s="89">
        <f>IFERROR(VLOOKUP(A152,Climatologia!A:U,9+$E$2,FALSE),"")</f>
        <v>19.470720699479319</v>
      </c>
      <c r="AS152" s="89">
        <f t="shared" si="13"/>
        <v>0.92927930052067964</v>
      </c>
      <c r="AT152" s="90">
        <f t="shared" si="14"/>
        <v>18.8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37871</v>
      </c>
      <c r="AW152" s="92">
        <f t="shared" si="15"/>
        <v>4.8000000000000007</v>
      </c>
    </row>
    <row r="153" spans="1:49" ht="14.25" customHeight="1" x14ac:dyDescent="0.2">
      <c r="A153" s="48">
        <v>24015250</v>
      </c>
      <c r="B153" s="52" t="s">
        <v>322</v>
      </c>
      <c r="C153" s="52" t="s">
        <v>299</v>
      </c>
      <c r="D153" s="53">
        <v>-73.415388890000003</v>
      </c>
      <c r="E153" s="53">
        <v>6.2371666670000003</v>
      </c>
      <c r="F153" s="48">
        <v>1400</v>
      </c>
      <c r="G153" s="46">
        <v>68</v>
      </c>
      <c r="H153" s="46">
        <v>68320</v>
      </c>
      <c r="I153" s="55" t="s">
        <v>49</v>
      </c>
      <c r="J153" s="55" t="s">
        <v>323</v>
      </c>
      <c r="K153" s="51">
        <v>16</v>
      </c>
      <c r="L153" s="51">
        <v>16.2</v>
      </c>
      <c r="M153" s="51">
        <v>17</v>
      </c>
      <c r="N153" s="51">
        <v>16</v>
      </c>
      <c r="O153" s="51">
        <v>16</v>
      </c>
      <c r="P153" s="51">
        <v>15.2</v>
      </c>
      <c r="Q153" s="51">
        <v>14.8</v>
      </c>
      <c r="R153" s="51">
        <v>15</v>
      </c>
      <c r="S153" s="51">
        <v>16</v>
      </c>
      <c r="T153" s="51">
        <v>14</v>
      </c>
      <c r="U153" s="51">
        <v>16.399999999999999</v>
      </c>
      <c r="V153" s="51">
        <v>17</v>
      </c>
      <c r="W153" s="51">
        <v>16.399999999999999</v>
      </c>
      <c r="X153" s="51">
        <v>17.399999999999999</v>
      </c>
      <c r="Y153" s="51">
        <v>16.8</v>
      </c>
      <c r="Z153" s="111">
        <v>16.8</v>
      </c>
      <c r="AA153" s="51">
        <v>15.6</v>
      </c>
      <c r="AB153" s="51">
        <v>18</v>
      </c>
      <c r="AC153" s="51">
        <v>17</v>
      </c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19</v>
      </c>
      <c r="AQ153" s="89">
        <f t="shared" si="12"/>
        <v>16.189473684210526</v>
      </c>
      <c r="AR153" s="89">
        <f>IFERROR(VLOOKUP(A153,Climatologia!A:U,9+$E$2,FALSE),"")</f>
        <v>15.55247935291613</v>
      </c>
      <c r="AS153" s="89">
        <f t="shared" si="13"/>
        <v>0.63699433129439598</v>
      </c>
      <c r="AT153" s="90">
        <f t="shared" si="14"/>
        <v>14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11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37160</v>
      </c>
      <c r="AW153" s="92">
        <f t="shared" si="15"/>
        <v>3</v>
      </c>
    </row>
    <row r="154" spans="1:49" ht="14.25" customHeight="1" x14ac:dyDescent="0.2">
      <c r="A154" s="48">
        <v>24015260</v>
      </c>
      <c r="B154" s="52" t="s">
        <v>123</v>
      </c>
      <c r="C154" s="52" t="s">
        <v>299</v>
      </c>
      <c r="D154" s="53">
        <v>-73.368333329999999</v>
      </c>
      <c r="E154" s="53">
        <v>6.3550000000000004</v>
      </c>
      <c r="F154" s="48">
        <v>190</v>
      </c>
      <c r="G154" s="46">
        <v>68</v>
      </c>
      <c r="H154" s="46">
        <v>68176</v>
      </c>
      <c r="I154" s="55" t="s">
        <v>49</v>
      </c>
      <c r="J154" s="55" t="s">
        <v>123</v>
      </c>
      <c r="K154" s="51">
        <v>19.399999999999999</v>
      </c>
      <c r="L154" s="51">
        <v>19</v>
      </c>
      <c r="M154" s="51">
        <v>18.8</v>
      </c>
      <c r="N154" s="51">
        <v>19.2</v>
      </c>
      <c r="O154" s="51">
        <v>18.600000000000001</v>
      </c>
      <c r="P154" s="51">
        <v>19.600000000000001</v>
      </c>
      <c r="Q154" s="51">
        <v>18</v>
      </c>
      <c r="R154" s="51">
        <v>18.2</v>
      </c>
      <c r="S154" s="51">
        <v>19</v>
      </c>
      <c r="T154" s="51">
        <v>18.399999999999999</v>
      </c>
      <c r="U154" s="51">
        <v>19.600000000000001</v>
      </c>
      <c r="V154" s="51">
        <v>19.2</v>
      </c>
      <c r="W154" s="51">
        <v>18.8</v>
      </c>
      <c r="X154" s="51">
        <v>19</v>
      </c>
      <c r="Y154" s="51">
        <v>19.600000000000001</v>
      </c>
      <c r="Z154" s="111">
        <v>19.8</v>
      </c>
      <c r="AA154" s="51">
        <v>19.399999999999999</v>
      </c>
      <c r="AB154" s="51">
        <v>19</v>
      </c>
      <c r="AC154" s="51">
        <v>19.8</v>
      </c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19</v>
      </c>
      <c r="AQ154" s="89">
        <f t="shared" si="12"/>
        <v>19.073684210526313</v>
      </c>
      <c r="AR154" s="89">
        <f>IFERROR(VLOOKUP(A154,Climatologia!A:U,9+$E$2,FALSE),"")</f>
        <v>17.95067323481117</v>
      </c>
      <c r="AS154" s="89">
        <f t="shared" si="13"/>
        <v>1.1230109757151432</v>
      </c>
      <c r="AT154" s="90">
        <f t="shared" si="14"/>
        <v>18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29476</v>
      </c>
      <c r="AW154" s="92">
        <f t="shared" si="15"/>
        <v>7</v>
      </c>
    </row>
    <row r="155" spans="1:49" ht="14.25" customHeight="1" x14ac:dyDescent="0.2">
      <c r="A155" s="48">
        <v>24025040</v>
      </c>
      <c r="B155" s="52" t="s">
        <v>324</v>
      </c>
      <c r="C155" s="52" t="s">
        <v>299</v>
      </c>
      <c r="D155" s="53">
        <v>-72.968888890000002</v>
      </c>
      <c r="E155" s="53">
        <v>6.47</v>
      </c>
      <c r="F155" s="48">
        <v>1673</v>
      </c>
      <c r="G155" s="46">
        <v>68</v>
      </c>
      <c r="H155" s="46">
        <v>68464</v>
      </c>
      <c r="I155" s="55" t="s">
        <v>49</v>
      </c>
      <c r="J155" s="55" t="s">
        <v>325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0</v>
      </c>
      <c r="AQ155" s="89" t="str">
        <f t="shared" si="12"/>
        <v/>
      </c>
      <c r="AR155" s="89">
        <f>IFERROR(VLOOKUP(A155,Climatologia!A:U,9+$E$2,FALSE),"")</f>
        <v>13.359148505747131</v>
      </c>
      <c r="AS155" s="89" t="str">
        <f t="shared" si="13"/>
        <v/>
      </c>
      <c r="AT155" s="90" t="str">
        <f t="shared" si="14"/>
        <v/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8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35677</v>
      </c>
      <c r="AW155" s="92" t="str">
        <f t="shared" si="15"/>
        <v>NA</v>
      </c>
    </row>
    <row r="156" spans="1:49" ht="14.25" customHeight="1" x14ac:dyDescent="0.2">
      <c r="A156" s="48">
        <v>24035400</v>
      </c>
      <c r="B156" s="52" t="s">
        <v>326</v>
      </c>
      <c r="C156" s="52" t="s">
        <v>299</v>
      </c>
      <c r="D156" s="53">
        <v>-72.67777778</v>
      </c>
      <c r="E156" s="53">
        <v>6.8452777779999998</v>
      </c>
      <c r="F156" s="48">
        <v>2841</v>
      </c>
      <c r="G156" s="46">
        <v>68</v>
      </c>
      <c r="H156" s="46">
        <v>68162</v>
      </c>
      <c r="I156" s="55" t="s">
        <v>49</v>
      </c>
      <c r="J156" s="55" t="s">
        <v>327</v>
      </c>
      <c r="K156" s="51">
        <v>9</v>
      </c>
      <c r="L156" s="51">
        <v>10</v>
      </c>
      <c r="M156" s="51">
        <v>10</v>
      </c>
      <c r="N156" s="51">
        <v>9.1999999999999993</v>
      </c>
      <c r="O156" s="51">
        <v>9</v>
      </c>
      <c r="P156" s="51">
        <v>10.6</v>
      </c>
      <c r="Q156" s="51">
        <v>10.199999999999999</v>
      </c>
      <c r="R156" s="51">
        <v>11</v>
      </c>
      <c r="S156" s="51">
        <v>10.199999999999999</v>
      </c>
      <c r="T156" s="51">
        <v>9.8000000000000007</v>
      </c>
      <c r="U156" s="51">
        <v>11</v>
      </c>
      <c r="V156" s="51">
        <v>12</v>
      </c>
      <c r="W156" s="51">
        <v>11.2</v>
      </c>
      <c r="X156" s="51">
        <v>11</v>
      </c>
      <c r="Y156" s="51">
        <v>9.6</v>
      </c>
      <c r="Z156" s="111">
        <v>10.4</v>
      </c>
      <c r="AA156" s="51">
        <v>10.199999999999999</v>
      </c>
      <c r="AB156" s="51">
        <v>10.4</v>
      </c>
      <c r="AC156" s="51">
        <v>10</v>
      </c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19</v>
      </c>
      <c r="AQ156" s="89">
        <f t="shared" si="12"/>
        <v>10.252631578947367</v>
      </c>
      <c r="AR156" s="89">
        <f>IFERROR(VLOOKUP(A156,Climatologia!A:U,9+$E$2,FALSE),"")</f>
        <v>8.9902791461412157</v>
      </c>
      <c r="AS156" s="89">
        <f t="shared" si="13"/>
        <v>1.2623524328061517</v>
      </c>
      <c r="AT156" s="90">
        <f t="shared" si="14"/>
        <v>9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5.4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41902</v>
      </c>
      <c r="AW156" s="92">
        <f t="shared" si="15"/>
        <v>3.5999999999999996</v>
      </c>
    </row>
    <row r="157" spans="1:49" ht="14.25" customHeight="1" x14ac:dyDescent="0.2">
      <c r="A157" s="48">
        <v>24055030</v>
      </c>
      <c r="B157" s="52" t="s">
        <v>328</v>
      </c>
      <c r="C157" s="52" t="s">
        <v>299</v>
      </c>
      <c r="D157" s="53">
        <v>-73.282749999999993</v>
      </c>
      <c r="E157" s="53">
        <v>6.7927777779999996</v>
      </c>
      <c r="F157" s="48">
        <v>1810</v>
      </c>
      <c r="G157" s="46">
        <v>68</v>
      </c>
      <c r="H157" s="46">
        <v>68895</v>
      </c>
      <c r="I157" s="55" t="s">
        <v>49</v>
      </c>
      <c r="J157" s="55" t="s">
        <v>328</v>
      </c>
      <c r="K157" s="51">
        <v>13.8</v>
      </c>
      <c r="L157" s="51">
        <v>14.2</v>
      </c>
      <c r="M157" s="51">
        <v>14.4</v>
      </c>
      <c r="N157" s="51">
        <v>14</v>
      </c>
      <c r="O157" s="51">
        <v>12.8</v>
      </c>
      <c r="P157" s="51">
        <v>14</v>
      </c>
      <c r="Q157" s="51">
        <v>13.2</v>
      </c>
      <c r="R157" s="51">
        <v>13.2</v>
      </c>
      <c r="S157" s="51">
        <v>13.6</v>
      </c>
      <c r="T157" s="51">
        <v>13.8</v>
      </c>
      <c r="U157" s="51">
        <v>13.2</v>
      </c>
      <c r="V157" s="51">
        <v>13.6</v>
      </c>
      <c r="W157" s="51">
        <v>15.8</v>
      </c>
      <c r="X157" s="51">
        <v>13.2</v>
      </c>
      <c r="Y157" s="51">
        <v>15.2</v>
      </c>
      <c r="Z157" s="111">
        <v>12.8</v>
      </c>
      <c r="AA157" s="51">
        <v>13</v>
      </c>
      <c r="AB157" s="51">
        <v>14.6</v>
      </c>
      <c r="AC157" s="51">
        <v>15.8</v>
      </c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19</v>
      </c>
      <c r="AQ157" s="89">
        <f t="shared" si="12"/>
        <v>13.905263157894737</v>
      </c>
      <c r="AR157" s="89">
        <f>IFERROR(VLOOKUP(A157,Climatologia!A:U,9+$E$2,FALSE),"")</f>
        <v>14.050960919540231</v>
      </c>
      <c r="AS157" s="89">
        <f t="shared" si="13"/>
        <v>-0.14569776164549353</v>
      </c>
      <c r="AT157" s="90">
        <f t="shared" si="14"/>
        <v>12.8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11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33127</v>
      </c>
      <c r="AW157" s="92">
        <f t="shared" si="15"/>
        <v>1.8000000000000007</v>
      </c>
    </row>
    <row r="158" spans="1:49" ht="14.25" customHeight="1" x14ac:dyDescent="0.2">
      <c r="A158" s="48">
        <v>24055040</v>
      </c>
      <c r="B158" s="52" t="s">
        <v>329</v>
      </c>
      <c r="C158" s="52" t="s">
        <v>299</v>
      </c>
      <c r="D158" s="53">
        <v>-73.292000000000002</v>
      </c>
      <c r="E158" s="53">
        <v>6.5497222219999998</v>
      </c>
      <c r="F158" s="48">
        <v>940</v>
      </c>
      <c r="G158" s="46">
        <v>68</v>
      </c>
      <c r="H158" s="46">
        <v>68522</v>
      </c>
      <c r="I158" s="55" t="s">
        <v>49</v>
      </c>
      <c r="J158" s="55" t="s">
        <v>330</v>
      </c>
      <c r="K158" s="51">
        <v>21.4</v>
      </c>
      <c r="L158" s="51">
        <v>21</v>
      </c>
      <c r="M158" s="51">
        <v>21.2</v>
      </c>
      <c r="N158" s="51">
        <v>21.6</v>
      </c>
      <c r="O158" s="51">
        <v>21</v>
      </c>
      <c r="P158" s="51">
        <v>19.2</v>
      </c>
      <c r="Q158" s="51">
        <v>19.8</v>
      </c>
      <c r="R158" s="51">
        <v>21</v>
      </c>
      <c r="S158" s="51">
        <v>21.2</v>
      </c>
      <c r="T158" s="51">
        <v>20.8</v>
      </c>
      <c r="U158" s="51">
        <v>20.399999999999999</v>
      </c>
      <c r="V158" s="51">
        <v>21</v>
      </c>
      <c r="W158" s="51">
        <v>21.4</v>
      </c>
      <c r="X158" s="51">
        <v>21.8</v>
      </c>
      <c r="Y158" s="51">
        <v>21.2</v>
      </c>
      <c r="Z158" s="111">
        <v>20.399999999999999</v>
      </c>
      <c r="AA158" s="51">
        <v>20.8</v>
      </c>
      <c r="AB158" s="51">
        <v>22</v>
      </c>
      <c r="AC158" s="51">
        <v>20.6</v>
      </c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19</v>
      </c>
      <c r="AQ158" s="89">
        <f t="shared" si="12"/>
        <v>20.936842105263157</v>
      </c>
      <c r="AR158" s="89">
        <f>IFERROR(VLOOKUP(A158,Climatologia!A:U,9+$E$2,FALSE),"")</f>
        <v>19.856944177063081</v>
      </c>
      <c r="AS158" s="89">
        <f t="shared" si="13"/>
        <v>1.0798979282000758</v>
      </c>
      <c r="AT158" s="90">
        <f t="shared" si="14"/>
        <v>19.2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16.2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30927</v>
      </c>
      <c r="AW158" s="92">
        <f t="shared" si="15"/>
        <v>3</v>
      </c>
    </row>
    <row r="159" spans="1:49" ht="14.25" customHeight="1" x14ac:dyDescent="0.2">
      <c r="A159" s="48">
        <v>37015020</v>
      </c>
      <c r="B159" s="52" t="s">
        <v>331</v>
      </c>
      <c r="C159" s="52" t="s">
        <v>299</v>
      </c>
      <c r="D159" s="53">
        <v>-72.868611110000003</v>
      </c>
      <c r="E159" s="53">
        <v>7.1869444439999999</v>
      </c>
      <c r="F159" s="48">
        <v>3214</v>
      </c>
      <c r="G159" s="46">
        <v>68</v>
      </c>
      <c r="H159" s="46">
        <v>68820</v>
      </c>
      <c r="I159" s="55" t="s">
        <v>49</v>
      </c>
      <c r="J159" s="55" t="s">
        <v>332</v>
      </c>
      <c r="K159" s="51">
        <v>5.4</v>
      </c>
      <c r="L159" s="51">
        <v>6.6</v>
      </c>
      <c r="M159" s="51">
        <v>7.2</v>
      </c>
      <c r="N159" s="51">
        <v>5.8</v>
      </c>
      <c r="O159" s="51">
        <v>6.2</v>
      </c>
      <c r="P159" s="51">
        <v>6.6</v>
      </c>
      <c r="Q159" s="51">
        <v>5.8</v>
      </c>
      <c r="R159" s="51">
        <v>6</v>
      </c>
      <c r="S159" s="51">
        <v>7.2</v>
      </c>
      <c r="T159" s="51">
        <v>7</v>
      </c>
      <c r="U159" s="51">
        <v>6.8</v>
      </c>
      <c r="V159" s="51">
        <v>6.4</v>
      </c>
      <c r="W159" s="51">
        <v>6.8</v>
      </c>
      <c r="X159" s="51">
        <v>7.2</v>
      </c>
      <c r="Y159" s="51">
        <v>5.6</v>
      </c>
      <c r="Z159" s="111">
        <v>7.4</v>
      </c>
      <c r="AA159" s="51">
        <v>6.8</v>
      </c>
      <c r="AB159" s="51">
        <v>7.6</v>
      </c>
      <c r="AC159" s="51">
        <v>3.8</v>
      </c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19</v>
      </c>
      <c r="AQ159" s="89">
        <f t="shared" si="12"/>
        <v>6.4315789473684202</v>
      </c>
      <c r="AR159" s="89">
        <f>IFERROR(VLOOKUP(A159,Climatologia!A:U,9+$E$2,FALSE),"")</f>
        <v>5.302976940353874</v>
      </c>
      <c r="AS159" s="89">
        <f t="shared" si="13"/>
        <v>1.1286020070145462</v>
      </c>
      <c r="AT159" s="90">
        <f t="shared" si="14"/>
        <v>3.8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-4.4000000000000004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31681</v>
      </c>
      <c r="AW159" s="92">
        <f t="shared" si="15"/>
        <v>8.1999999999999993</v>
      </c>
    </row>
    <row r="160" spans="1:49" ht="14.25" customHeight="1" x14ac:dyDescent="0.2">
      <c r="A160" s="48">
        <v>37035010</v>
      </c>
      <c r="B160" s="52" t="s">
        <v>333</v>
      </c>
      <c r="C160" s="52" t="s">
        <v>299</v>
      </c>
      <c r="D160" s="53">
        <v>-72.115833330000001</v>
      </c>
      <c r="E160" s="53">
        <v>7.0061111110000001</v>
      </c>
      <c r="F160" s="48">
        <v>370</v>
      </c>
      <c r="G160" s="46">
        <v>54</v>
      </c>
      <c r="H160" s="46">
        <v>54820</v>
      </c>
      <c r="I160" s="55" t="s">
        <v>300</v>
      </c>
      <c r="J160" s="55" t="s">
        <v>334</v>
      </c>
      <c r="K160" s="51">
        <v>22</v>
      </c>
      <c r="L160" s="51">
        <v>22.2</v>
      </c>
      <c r="M160" s="51">
        <v>20.2</v>
      </c>
      <c r="N160" s="51">
        <v>22</v>
      </c>
      <c r="O160" s="51">
        <v>20</v>
      </c>
      <c r="P160" s="51">
        <v>21</v>
      </c>
      <c r="Q160" s="51">
        <v>19.600000000000001</v>
      </c>
      <c r="R160" s="51">
        <v>21</v>
      </c>
      <c r="S160" s="51">
        <v>21</v>
      </c>
      <c r="T160" s="51">
        <v>21.6</v>
      </c>
      <c r="U160" s="51">
        <v>20.2</v>
      </c>
      <c r="V160" s="51">
        <v>21.4</v>
      </c>
      <c r="W160" s="51">
        <v>21.4</v>
      </c>
      <c r="X160" s="51">
        <v>21.2</v>
      </c>
      <c r="Y160" s="51">
        <v>21.2</v>
      </c>
      <c r="Z160" s="111">
        <v>21.4</v>
      </c>
      <c r="AA160" s="51">
        <v>21.2</v>
      </c>
      <c r="AB160" s="51">
        <v>21</v>
      </c>
      <c r="AC160" s="51">
        <v>21.2</v>
      </c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19</v>
      </c>
      <c r="AQ160" s="89">
        <f t="shared" si="12"/>
        <v>21.094736842105259</v>
      </c>
      <c r="AR160" s="89">
        <f>IFERROR(VLOOKUP(A160,Climatologia!A:U,9+$E$2,FALSE),"")</f>
        <v>20.703538991340711</v>
      </c>
      <c r="AS160" s="89">
        <f t="shared" si="13"/>
        <v>0.3911978507645486</v>
      </c>
      <c r="AT160" s="90">
        <f t="shared" si="14"/>
        <v>19.600000000000001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16.399999999999999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28744</v>
      </c>
      <c r="AW160" s="92">
        <f t="shared" si="15"/>
        <v>3.2000000000000028</v>
      </c>
    </row>
    <row r="161" spans="1:49" ht="14.25" customHeight="1" x14ac:dyDescent="0.2">
      <c r="A161" s="48">
        <v>26025090</v>
      </c>
      <c r="B161" s="52" t="s">
        <v>335</v>
      </c>
      <c r="C161" s="52" t="s">
        <v>336</v>
      </c>
      <c r="D161" s="53">
        <v>-76.561833332999996</v>
      </c>
      <c r="E161" s="53">
        <v>2.5847500000000001</v>
      </c>
      <c r="F161" s="48">
        <v>1850</v>
      </c>
      <c r="G161" s="46">
        <v>19</v>
      </c>
      <c r="H161" s="46">
        <v>19130</v>
      </c>
      <c r="I161" s="55" t="s">
        <v>181</v>
      </c>
      <c r="J161" s="55" t="s">
        <v>337</v>
      </c>
      <c r="K161" s="51">
        <v>14.8</v>
      </c>
      <c r="L161" s="51">
        <v>15.8</v>
      </c>
      <c r="M161" s="51">
        <v>16</v>
      </c>
      <c r="N161" s="51"/>
      <c r="O161" s="51">
        <v>15</v>
      </c>
      <c r="P161" s="51"/>
      <c r="Q161" s="51"/>
      <c r="R161" s="51">
        <v>14.8</v>
      </c>
      <c r="S161" s="51">
        <v>15</v>
      </c>
      <c r="T161" s="51">
        <v>14.2</v>
      </c>
      <c r="U161" s="51">
        <v>16.2</v>
      </c>
      <c r="V161" s="51">
        <v>14.8</v>
      </c>
      <c r="W161" s="51">
        <v>14.6</v>
      </c>
      <c r="X161" s="51">
        <v>14.6</v>
      </c>
      <c r="Y161" s="51">
        <v>16</v>
      </c>
      <c r="Z161" s="111">
        <v>16</v>
      </c>
      <c r="AA161" s="51">
        <v>16.2</v>
      </c>
      <c r="AB161" s="51">
        <v>16.2</v>
      </c>
      <c r="AC161" s="51">
        <v>16</v>
      </c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16</v>
      </c>
      <c r="AQ161" s="89">
        <f t="shared" si="12"/>
        <v>15.387499999999999</v>
      </c>
      <c r="AR161" s="89">
        <f>IFERROR(VLOOKUP(A161,Climatologia!A:U,9+$E$2,FALSE),"")</f>
        <v>13.66748994960647</v>
      </c>
      <c r="AS161" s="89">
        <f t="shared" si="13"/>
        <v>1.7200100503935296</v>
      </c>
      <c r="AT161" s="90">
        <f t="shared" si="14"/>
        <v>14.2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10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31311</v>
      </c>
      <c r="AW161" s="92">
        <f t="shared" si="15"/>
        <v>4.1999999999999993</v>
      </c>
    </row>
    <row r="162" spans="1:49" ht="14.25" customHeight="1" x14ac:dyDescent="0.2">
      <c r="A162" s="48">
        <v>26025110</v>
      </c>
      <c r="B162" s="52" t="s">
        <v>338</v>
      </c>
      <c r="C162" s="52" t="s">
        <v>336</v>
      </c>
      <c r="D162" s="53">
        <v>-76.556250000000006</v>
      </c>
      <c r="E162" s="53">
        <v>3.0753888890000001</v>
      </c>
      <c r="F162" s="48">
        <v>1009</v>
      </c>
      <c r="G162" s="46">
        <v>19</v>
      </c>
      <c r="H162" s="46">
        <v>19698</v>
      </c>
      <c r="I162" s="55" t="s">
        <v>181</v>
      </c>
      <c r="J162" s="55" t="s">
        <v>339</v>
      </c>
      <c r="K162" s="51">
        <v>19</v>
      </c>
      <c r="L162" s="51">
        <v>19.600000000000001</v>
      </c>
      <c r="M162" s="51">
        <v>19</v>
      </c>
      <c r="N162" s="51">
        <v>18</v>
      </c>
      <c r="O162" s="51">
        <v>18.600000000000001</v>
      </c>
      <c r="P162" s="51">
        <v>18.399999999999999</v>
      </c>
      <c r="Q162" s="51">
        <v>18.8</v>
      </c>
      <c r="R162" s="51">
        <v>18</v>
      </c>
      <c r="S162" s="51">
        <v>18.600000000000001</v>
      </c>
      <c r="T162" s="51">
        <v>18</v>
      </c>
      <c r="U162" s="51">
        <v>18</v>
      </c>
      <c r="V162" s="51">
        <v>18</v>
      </c>
      <c r="W162" s="51">
        <v>19</v>
      </c>
      <c r="X162" s="51">
        <v>18</v>
      </c>
      <c r="Y162" s="51">
        <v>19</v>
      </c>
      <c r="Z162" s="111">
        <v>18.600000000000001</v>
      </c>
      <c r="AA162" s="51">
        <v>18.2</v>
      </c>
      <c r="AB162" s="51">
        <v>19.2</v>
      </c>
      <c r="AC162" s="51">
        <v>18.600000000000001</v>
      </c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19</v>
      </c>
      <c r="AQ162" s="89">
        <f t="shared" si="12"/>
        <v>18.557894736842105</v>
      </c>
      <c r="AR162" s="89">
        <f>IFERROR(VLOOKUP(A162,Climatologia!A:U,9+$E$2,FALSE),"")</f>
        <v>18.073157894736841</v>
      </c>
      <c r="AS162" s="89">
        <f t="shared" si="13"/>
        <v>0.48473684210526358</v>
      </c>
      <c r="AT162" s="90">
        <f t="shared" si="14"/>
        <v>18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15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37507</v>
      </c>
      <c r="AW162" s="92">
        <f t="shared" si="15"/>
        <v>3</v>
      </c>
    </row>
    <row r="163" spans="1:49" ht="14.25" customHeight="1" x14ac:dyDescent="0.2">
      <c r="A163" s="48">
        <v>26075010</v>
      </c>
      <c r="B163" s="52" t="s">
        <v>340</v>
      </c>
      <c r="C163" s="52" t="s">
        <v>336</v>
      </c>
      <c r="D163" s="53">
        <v>-76.314888889000002</v>
      </c>
      <c r="E163" s="53">
        <v>3.5134722219999999</v>
      </c>
      <c r="F163" s="48">
        <v>1018</v>
      </c>
      <c r="G163" s="46">
        <v>76</v>
      </c>
      <c r="H163" s="46">
        <v>76520</v>
      </c>
      <c r="I163" s="55" t="s">
        <v>341</v>
      </c>
      <c r="J163" s="55" t="s">
        <v>77</v>
      </c>
      <c r="K163" s="51">
        <v>19</v>
      </c>
      <c r="L163" s="51">
        <v>20.399999999999999</v>
      </c>
      <c r="M163" s="51">
        <v>19</v>
      </c>
      <c r="N163" s="51">
        <v>19.2</v>
      </c>
      <c r="O163" s="51">
        <v>18</v>
      </c>
      <c r="P163" s="51">
        <v>18.600000000000001</v>
      </c>
      <c r="Q163" s="51">
        <v>21.6</v>
      </c>
      <c r="R163" s="51">
        <v>18</v>
      </c>
      <c r="S163" s="51">
        <v>19.2</v>
      </c>
      <c r="T163" s="51">
        <v>20.2</v>
      </c>
      <c r="U163" s="51">
        <v>22.6</v>
      </c>
      <c r="V163" s="51">
        <v>19.2</v>
      </c>
      <c r="W163" s="51">
        <v>20</v>
      </c>
      <c r="X163" s="51">
        <v>20</v>
      </c>
      <c r="Y163" s="51">
        <v>21</v>
      </c>
      <c r="Z163" s="111">
        <v>20.8</v>
      </c>
      <c r="AA163" s="51">
        <v>18.399999999999999</v>
      </c>
      <c r="AB163" s="51">
        <v>19.600000000000001</v>
      </c>
      <c r="AC163" s="51">
        <v>19.8</v>
      </c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19</v>
      </c>
      <c r="AQ163" s="89">
        <f t="shared" si="12"/>
        <v>19.715789473684207</v>
      </c>
      <c r="AR163" s="89">
        <f>IFERROR(VLOOKUP(A163,Climatologia!A:U,9+$E$2,FALSE),"")</f>
        <v>19.171552610996091</v>
      </c>
      <c r="AS163" s="89">
        <f t="shared" si="13"/>
        <v>0.54423686268811622</v>
      </c>
      <c r="AT163" s="90">
        <f t="shared" si="14"/>
        <v>18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15.7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28744</v>
      </c>
      <c r="AW163" s="92">
        <f t="shared" si="15"/>
        <v>2.3000000000000007</v>
      </c>
    </row>
    <row r="164" spans="1:49" ht="14.25" customHeight="1" x14ac:dyDescent="0.2">
      <c r="A164" s="48">
        <v>26105140</v>
      </c>
      <c r="B164" s="52" t="s">
        <v>342</v>
      </c>
      <c r="C164" s="52" t="s">
        <v>336</v>
      </c>
      <c r="D164" s="53">
        <v>-75.888027777999994</v>
      </c>
      <c r="E164" s="53">
        <v>4.0330555559999999</v>
      </c>
      <c r="F164" s="48">
        <v>2902</v>
      </c>
      <c r="G164" s="46">
        <v>76</v>
      </c>
      <c r="H164" s="46">
        <v>76834</v>
      </c>
      <c r="I164" s="55" t="s">
        <v>341</v>
      </c>
      <c r="J164" s="55" t="s">
        <v>343</v>
      </c>
      <c r="K164" s="51">
        <v>11</v>
      </c>
      <c r="L164" s="51">
        <v>8</v>
      </c>
      <c r="M164" s="51">
        <v>9</v>
      </c>
      <c r="N164" s="51">
        <v>10.8</v>
      </c>
      <c r="O164" s="51">
        <v>9</v>
      </c>
      <c r="P164" s="51">
        <v>8</v>
      </c>
      <c r="Q164" s="51">
        <v>9.1999999999999993</v>
      </c>
      <c r="R164" s="51">
        <v>10</v>
      </c>
      <c r="S164" s="51"/>
      <c r="T164" s="51"/>
      <c r="U164" s="51"/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8</v>
      </c>
      <c r="AQ164" s="89" t="str">
        <f t="shared" si="12"/>
        <v/>
      </c>
      <c r="AR164" s="89">
        <f>IFERROR(VLOOKUP(A164,Climatologia!A:U,9+$E$2,FALSE),"")</f>
        <v>8.1571670780627432</v>
      </c>
      <c r="AS164" s="89" t="str">
        <f t="shared" si="13"/>
        <v/>
      </c>
      <c r="AT164" s="90">
        <f t="shared" si="14"/>
        <v>8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3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31672</v>
      </c>
      <c r="AW164" s="92">
        <f t="shared" si="15"/>
        <v>5</v>
      </c>
    </row>
    <row r="165" spans="1:49" ht="14.25" customHeight="1" x14ac:dyDescent="0.2">
      <c r="A165" s="48">
        <v>26105150</v>
      </c>
      <c r="B165" s="52" t="s">
        <v>344</v>
      </c>
      <c r="C165" s="52" t="s">
        <v>336</v>
      </c>
      <c r="D165" s="53">
        <v>-76.033055555999994</v>
      </c>
      <c r="E165" s="53">
        <v>4.2389166669999998</v>
      </c>
      <c r="F165" s="48">
        <v>1011</v>
      </c>
      <c r="G165" s="46">
        <v>76</v>
      </c>
      <c r="H165" s="46">
        <v>76113</v>
      </c>
      <c r="I165" s="55" t="s">
        <v>341</v>
      </c>
      <c r="J165" s="55" t="s">
        <v>345</v>
      </c>
      <c r="K165" s="51">
        <v>19.600000000000001</v>
      </c>
      <c r="L165" s="51">
        <v>19</v>
      </c>
      <c r="M165" s="51">
        <v>19.600000000000001</v>
      </c>
      <c r="N165" s="51"/>
      <c r="O165" s="51">
        <v>19.600000000000001</v>
      </c>
      <c r="P165" s="51"/>
      <c r="Q165" s="51"/>
      <c r="R165" s="51"/>
      <c r="S165" s="51">
        <v>18</v>
      </c>
      <c r="T165" s="51">
        <v>19.399999999999999</v>
      </c>
      <c r="U165" s="51">
        <v>18.600000000000001</v>
      </c>
      <c r="V165" s="51">
        <v>19</v>
      </c>
      <c r="W165" s="51"/>
      <c r="X165" s="51">
        <v>19.2</v>
      </c>
      <c r="Y165" s="51"/>
      <c r="Z165" s="111"/>
      <c r="AA165" s="51">
        <v>19</v>
      </c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10</v>
      </c>
      <c r="AQ165" s="89" t="str">
        <f t="shared" si="12"/>
        <v/>
      </c>
      <c r="AR165" s="89">
        <f>IFERROR(VLOOKUP(A165,Climatologia!A:U,9+$E$2,FALSE),"")</f>
        <v>17.38327387384858</v>
      </c>
      <c r="AS165" s="89" t="str">
        <f t="shared" si="13"/>
        <v/>
      </c>
      <c r="AT165" s="90">
        <f t="shared" si="14"/>
        <v>18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12.6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40062</v>
      </c>
      <c r="AW165" s="92">
        <f t="shared" si="15"/>
        <v>5.4</v>
      </c>
    </row>
    <row r="166" spans="1:49" ht="14.25" customHeight="1" x14ac:dyDescent="0.2">
      <c r="A166" s="48">
        <v>26105230</v>
      </c>
      <c r="B166" s="52" t="s">
        <v>346</v>
      </c>
      <c r="C166" s="52" t="s">
        <v>336</v>
      </c>
      <c r="D166" s="53">
        <v>-76.168527780000005</v>
      </c>
      <c r="E166" s="53">
        <v>4.028333333</v>
      </c>
      <c r="F166" s="48">
        <v>1119</v>
      </c>
      <c r="G166" s="46">
        <v>76</v>
      </c>
      <c r="H166" s="46">
        <v>76834</v>
      </c>
      <c r="I166" s="55" t="s">
        <v>341</v>
      </c>
      <c r="J166" s="55" t="s">
        <v>343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0</v>
      </c>
      <c r="AQ166" s="89" t="str">
        <f t="shared" si="12"/>
        <v/>
      </c>
      <c r="AR166" s="89">
        <f>IFERROR(VLOOKUP(A166,Climatologia!A:U,9+$E$2,FALSE),"")</f>
        <v>17.538792398415641</v>
      </c>
      <c r="AS166" s="89" t="str">
        <f t="shared" si="13"/>
        <v/>
      </c>
      <c r="AT166" s="90" t="str">
        <f t="shared" si="14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14.2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43362</v>
      </c>
      <c r="AW166" s="92" t="str">
        <f t="shared" si="15"/>
        <v>NA</v>
      </c>
    </row>
    <row r="167" spans="1:49" ht="14.25" customHeight="1" x14ac:dyDescent="0.2">
      <c r="A167" s="48">
        <v>26125130</v>
      </c>
      <c r="B167" s="52" t="s">
        <v>347</v>
      </c>
      <c r="C167" s="52" t="s">
        <v>336</v>
      </c>
      <c r="D167" s="53">
        <v>-75.832361109999994</v>
      </c>
      <c r="E167" s="53">
        <v>4.185055556</v>
      </c>
      <c r="F167" s="48">
        <v>1749</v>
      </c>
      <c r="G167" s="46">
        <v>76</v>
      </c>
      <c r="H167" s="46">
        <v>76736</v>
      </c>
      <c r="I167" s="55" t="s">
        <v>341</v>
      </c>
      <c r="J167" s="55" t="s">
        <v>348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15.58295354982547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8.6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30209</v>
      </c>
      <c r="AW167" s="92" t="str">
        <f t="shared" si="15"/>
        <v>NA</v>
      </c>
    </row>
    <row r="168" spans="1:49" ht="14.25" customHeight="1" x14ac:dyDescent="0.2">
      <c r="A168" s="48">
        <v>26135100</v>
      </c>
      <c r="B168" s="52" t="s">
        <v>349</v>
      </c>
      <c r="C168" s="52" t="s">
        <v>336</v>
      </c>
      <c r="D168" s="53">
        <v>-75.877555560000005</v>
      </c>
      <c r="E168" s="53">
        <v>4.8780277779999999</v>
      </c>
      <c r="F168" s="48">
        <v>995</v>
      </c>
      <c r="G168" s="46">
        <v>66</v>
      </c>
      <c r="H168" s="46">
        <v>66001</v>
      </c>
      <c r="I168" s="55" t="s">
        <v>64</v>
      </c>
      <c r="J168" s="55" t="s">
        <v>65</v>
      </c>
      <c r="K168" s="51">
        <v>19.8</v>
      </c>
      <c r="L168" s="51">
        <v>20.2</v>
      </c>
      <c r="M168" s="51">
        <v>19.399999999999999</v>
      </c>
      <c r="N168" s="51">
        <v>19.8</v>
      </c>
      <c r="O168" s="51">
        <v>20.2</v>
      </c>
      <c r="P168" s="51">
        <v>19.600000000000001</v>
      </c>
      <c r="Q168" s="51">
        <v>19.2</v>
      </c>
      <c r="R168" s="51">
        <v>17.8</v>
      </c>
      <c r="S168" s="51">
        <v>18.399999999999999</v>
      </c>
      <c r="T168" s="51">
        <v>20.2</v>
      </c>
      <c r="U168" s="51">
        <v>20.8</v>
      </c>
      <c r="V168" s="51">
        <v>19.2</v>
      </c>
      <c r="W168" s="51">
        <v>20.399999999999999</v>
      </c>
      <c r="X168" s="51"/>
      <c r="Y168" s="51">
        <v>20.399999999999999</v>
      </c>
      <c r="Z168" s="111"/>
      <c r="AA168" s="51">
        <v>19.8</v>
      </c>
      <c r="AB168" s="51">
        <v>20.6</v>
      </c>
      <c r="AC168" s="51">
        <v>20.8</v>
      </c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17</v>
      </c>
      <c r="AQ168" s="89">
        <f t="shared" si="12"/>
        <v>19.8</v>
      </c>
      <c r="AR168" s="89">
        <f>IFERROR(VLOOKUP(A168,Climatologia!A:U,9+$E$2,FALSE),"")</f>
        <v>19.095617658203871</v>
      </c>
      <c r="AS168" s="89">
        <f t="shared" si="13"/>
        <v>0.70438234179612991</v>
      </c>
      <c r="AT168" s="90">
        <f t="shared" si="14"/>
        <v>17.8</v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15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28739</v>
      </c>
      <c r="AW168" s="92">
        <f t="shared" si="15"/>
        <v>2.8000000000000007</v>
      </c>
    </row>
    <row r="169" spans="1:49" ht="14.25" customHeight="1" x14ac:dyDescent="0.2">
      <c r="A169" s="48">
        <v>26145020</v>
      </c>
      <c r="B169" s="52" t="s">
        <v>350</v>
      </c>
      <c r="C169" s="52" t="s">
        <v>336</v>
      </c>
      <c r="D169" s="53">
        <v>-75.800138888999996</v>
      </c>
      <c r="E169" s="53">
        <v>5.2759444440000003</v>
      </c>
      <c r="F169" s="48">
        <v>1984</v>
      </c>
      <c r="G169" s="46">
        <v>17</v>
      </c>
      <c r="H169" s="46">
        <v>17042</v>
      </c>
      <c r="I169" s="55" t="s">
        <v>116</v>
      </c>
      <c r="J169" s="55" t="s">
        <v>351</v>
      </c>
      <c r="K169" s="51">
        <v>15.2</v>
      </c>
      <c r="L169" s="51">
        <v>15.6</v>
      </c>
      <c r="M169" s="51">
        <v>14</v>
      </c>
      <c r="N169" s="51">
        <v>14.8</v>
      </c>
      <c r="O169" s="51">
        <v>13.6</v>
      </c>
      <c r="P169" s="51">
        <v>14.2</v>
      </c>
      <c r="Q169" s="51">
        <v>13.2</v>
      </c>
      <c r="R169" s="51">
        <v>14</v>
      </c>
      <c r="S169" s="51">
        <v>14.2</v>
      </c>
      <c r="T169" s="51">
        <v>15</v>
      </c>
      <c r="U169" s="51">
        <v>15</v>
      </c>
      <c r="V169" s="51">
        <v>14.8</v>
      </c>
      <c r="W169" s="51">
        <v>15</v>
      </c>
      <c r="X169" s="51">
        <v>12</v>
      </c>
      <c r="Y169" s="51">
        <v>15</v>
      </c>
      <c r="Z169" s="111">
        <v>15.8</v>
      </c>
      <c r="AA169" s="51">
        <v>15.2</v>
      </c>
      <c r="AB169" s="51">
        <v>14.8</v>
      </c>
      <c r="AC169" s="51">
        <v>16</v>
      </c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19</v>
      </c>
      <c r="AQ169" s="89">
        <f t="shared" si="12"/>
        <v>14.6</v>
      </c>
      <c r="AR169" s="89">
        <f>IFERROR(VLOOKUP(A169,Climatologia!A:U,9+$E$2,FALSE),"")</f>
        <v>13.604003489326759</v>
      </c>
      <c r="AS169" s="89">
        <f t="shared" si="13"/>
        <v>0.99599651067324046</v>
      </c>
      <c r="AT169" s="90">
        <f t="shared" si="14"/>
        <v>12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6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31314</v>
      </c>
      <c r="AW169" s="92">
        <f t="shared" si="15"/>
        <v>6</v>
      </c>
    </row>
    <row r="170" spans="1:49" ht="14.25" customHeight="1" x14ac:dyDescent="0.2">
      <c r="A170" s="48">
        <v>26155170</v>
      </c>
      <c r="B170" s="52" t="s">
        <v>352</v>
      </c>
      <c r="C170" s="52" t="s">
        <v>336</v>
      </c>
      <c r="D170" s="53">
        <v>-75.438333330000006</v>
      </c>
      <c r="E170" s="53">
        <v>5.0322222219999997</v>
      </c>
      <c r="F170" s="48">
        <v>2325</v>
      </c>
      <c r="G170" s="46">
        <v>17</v>
      </c>
      <c r="H170" s="46">
        <v>17001</v>
      </c>
      <c r="I170" s="55" t="s">
        <v>116</v>
      </c>
      <c r="J170" s="55" t="s">
        <v>353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0</v>
      </c>
      <c r="AQ170" s="89" t="str">
        <f t="shared" si="12"/>
        <v/>
      </c>
      <c r="AR170" s="89">
        <f>IFERROR(VLOOKUP(A170,Climatologia!A:U,9+$E$2,FALSE),"")</f>
        <v>11.71973333333333</v>
      </c>
      <c r="AS170" s="89" t="str">
        <f t="shared" si="13"/>
        <v/>
      </c>
      <c r="AT170" s="90" t="str">
        <f t="shared" si="14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9.6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36055</v>
      </c>
      <c r="AW170" s="92" t="str">
        <f t="shared" si="15"/>
        <v>NA</v>
      </c>
    </row>
    <row r="171" spans="1:49" ht="14.25" customHeight="1" x14ac:dyDescent="0.2">
      <c r="A171" s="48">
        <v>21135020</v>
      </c>
      <c r="B171" s="52" t="s">
        <v>354</v>
      </c>
      <c r="C171" s="52" t="s">
        <v>355</v>
      </c>
      <c r="D171" s="53">
        <v>-75.015749999999997</v>
      </c>
      <c r="E171" s="53">
        <v>3.85575</v>
      </c>
      <c r="F171" s="48">
        <v>313</v>
      </c>
      <c r="G171" s="46">
        <v>73</v>
      </c>
      <c r="H171" s="46">
        <v>73671</v>
      </c>
      <c r="I171" s="55" t="s">
        <v>70</v>
      </c>
      <c r="J171" s="55" t="s">
        <v>356</v>
      </c>
      <c r="K171" s="51">
        <v>25</v>
      </c>
      <c r="L171" s="51">
        <v>20</v>
      </c>
      <c r="M171" s="51">
        <v>20.2</v>
      </c>
      <c r="N171" s="51">
        <v>20.399999999999999</v>
      </c>
      <c r="O171" s="51">
        <v>20.6</v>
      </c>
      <c r="P171" s="51">
        <v>21.2</v>
      </c>
      <c r="Q171" s="51">
        <v>21.8</v>
      </c>
      <c r="R171" s="51">
        <v>23.6</v>
      </c>
      <c r="S171" s="51">
        <v>24.2</v>
      </c>
      <c r="T171" s="51">
        <v>24.8</v>
      </c>
      <c r="U171" s="51">
        <v>25.2</v>
      </c>
      <c r="V171" s="51">
        <v>25.4</v>
      </c>
      <c r="W171" s="51">
        <v>26</v>
      </c>
      <c r="X171" s="51">
        <v>24.6</v>
      </c>
      <c r="Y171" s="51">
        <v>25</v>
      </c>
      <c r="Z171" s="111"/>
      <c r="AA171" s="51">
        <v>25.6</v>
      </c>
      <c r="AB171" s="51"/>
      <c r="AC171" s="51">
        <v>26.4</v>
      </c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17</v>
      </c>
      <c r="AQ171" s="89">
        <f t="shared" si="12"/>
        <v>23.529411764705884</v>
      </c>
      <c r="AR171" s="89" t="str">
        <f>IFERROR(VLOOKUP(A171,Climatologia!A:U,9+$E$2,FALSE),"")</f>
        <v/>
      </c>
      <c r="AS171" s="89" t="str">
        <f t="shared" si="13"/>
        <v/>
      </c>
      <c r="AT171" s="90">
        <f t="shared" si="14"/>
        <v>20</v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18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29120</v>
      </c>
      <c r="AW171" s="92">
        <f t="shared" si="15"/>
        <v>2</v>
      </c>
    </row>
    <row r="172" spans="1:49" ht="14.25" customHeight="1" x14ac:dyDescent="0.2">
      <c r="A172" s="48">
        <v>21165010</v>
      </c>
      <c r="B172" s="52" t="s">
        <v>357</v>
      </c>
      <c r="C172" s="52" t="s">
        <v>355</v>
      </c>
      <c r="D172" s="53">
        <v>-74.917027779999998</v>
      </c>
      <c r="E172" s="53">
        <v>3.7876111109999999</v>
      </c>
      <c r="F172" s="48">
        <v>311</v>
      </c>
      <c r="G172" s="46">
        <v>73</v>
      </c>
      <c r="H172" s="46">
        <v>73563</v>
      </c>
      <c r="I172" s="55" t="s">
        <v>70</v>
      </c>
      <c r="J172" s="55" t="s">
        <v>358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0</v>
      </c>
      <c r="AQ172" s="89" t="str">
        <f t="shared" si="12"/>
        <v/>
      </c>
      <c r="AR172" s="89">
        <f>IFERROR(VLOOKUP(A172,Climatologia!A:U,9+$E$2,FALSE),"")</f>
        <v>22.290641792860178</v>
      </c>
      <c r="AS172" s="89" t="str">
        <f t="shared" si="13"/>
        <v/>
      </c>
      <c r="AT172" s="90" t="str">
        <f t="shared" si="14"/>
        <v/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35324</v>
      </c>
      <c r="AW172" s="92" t="str">
        <f t="shared" si="15"/>
        <v>NA</v>
      </c>
    </row>
    <row r="173" spans="1:49" ht="14.25" customHeight="1" x14ac:dyDescent="0.2">
      <c r="A173" s="48">
        <v>21185030</v>
      </c>
      <c r="B173" s="52" t="s">
        <v>359</v>
      </c>
      <c r="C173" s="52" t="s">
        <v>355</v>
      </c>
      <c r="D173" s="53">
        <v>-74.981388890000005</v>
      </c>
      <c r="E173" s="53">
        <v>4.0088333330000001</v>
      </c>
      <c r="F173" s="48">
        <v>332</v>
      </c>
      <c r="G173" s="46">
        <v>73</v>
      </c>
      <c r="H173" s="46">
        <v>73319</v>
      </c>
      <c r="I173" s="55" t="s">
        <v>70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22.991182948434439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18.399999999999999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37142</v>
      </c>
      <c r="AW173" s="92" t="str">
        <f t="shared" si="15"/>
        <v>NA</v>
      </c>
    </row>
    <row r="174" spans="1:49" ht="14.25" customHeight="1" x14ac:dyDescent="0.2">
      <c r="A174" s="48">
        <v>21185080</v>
      </c>
      <c r="B174" s="52" t="s">
        <v>360</v>
      </c>
      <c r="C174" s="52" t="s">
        <v>355</v>
      </c>
      <c r="D174" s="53">
        <v>-75.104611110999997</v>
      </c>
      <c r="E174" s="53">
        <v>4.2164583330000003</v>
      </c>
      <c r="F174" s="48">
        <v>591</v>
      </c>
      <c r="G174" s="46">
        <v>73</v>
      </c>
      <c r="H174" s="46">
        <v>73854</v>
      </c>
      <c r="I174" s="55" t="s">
        <v>70</v>
      </c>
      <c r="J174" s="55" t="s">
        <v>360</v>
      </c>
      <c r="K174" s="51">
        <v>24.4</v>
      </c>
      <c r="L174" s="51">
        <v>21.6</v>
      </c>
      <c r="M174" s="51">
        <v>21.4</v>
      </c>
      <c r="N174" s="51">
        <v>21.8</v>
      </c>
      <c r="O174" s="51">
        <v>22.2</v>
      </c>
      <c r="P174" s="51">
        <v>20.6</v>
      </c>
      <c r="Q174" s="51">
        <v>23.8</v>
      </c>
      <c r="R174" s="51">
        <v>20.399999999999999</v>
      </c>
      <c r="S174" s="51">
        <v>20.6</v>
      </c>
      <c r="T174" s="51">
        <v>20.399999999999999</v>
      </c>
      <c r="U174" s="51">
        <v>23.6</v>
      </c>
      <c r="V174" s="51">
        <v>22</v>
      </c>
      <c r="W174" s="51">
        <v>22.2</v>
      </c>
      <c r="X174" s="51">
        <v>21.4</v>
      </c>
      <c r="Y174" s="51">
        <v>22</v>
      </c>
      <c r="Z174" s="111">
        <v>22.6</v>
      </c>
      <c r="AA174" s="51">
        <v>21.2</v>
      </c>
      <c r="AB174" s="51">
        <v>24</v>
      </c>
      <c r="AC174" s="51">
        <v>22.6</v>
      </c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19</v>
      </c>
      <c r="AQ174" s="89">
        <f t="shared" si="12"/>
        <v>22.042105263157897</v>
      </c>
      <c r="AR174" s="89">
        <f>IFERROR(VLOOKUP(A174,Climatologia!A:U,9+$E$2,FALSE),"")</f>
        <v>20.74341280266896</v>
      </c>
      <c r="AS174" s="89">
        <f t="shared" si="13"/>
        <v>1.2986924604889367</v>
      </c>
      <c r="AT174" s="90">
        <f t="shared" si="14"/>
        <v>20.399999999999999</v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16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33849</v>
      </c>
      <c r="AW174" s="92">
        <f t="shared" si="15"/>
        <v>4.3999999999999986</v>
      </c>
    </row>
    <row r="175" spans="1:49" ht="14.25" customHeight="1" x14ac:dyDescent="0.2">
      <c r="A175" s="48">
        <v>21215080</v>
      </c>
      <c r="B175" s="52" t="s">
        <v>361</v>
      </c>
      <c r="C175" s="52" t="s">
        <v>355</v>
      </c>
      <c r="D175" s="53">
        <v>-74.995361110000005</v>
      </c>
      <c r="E175" s="53">
        <v>4.2315277780000002</v>
      </c>
      <c r="F175" s="48">
        <v>432</v>
      </c>
      <c r="G175" s="46">
        <v>73</v>
      </c>
      <c r="H175" s="46">
        <v>73268</v>
      </c>
      <c r="I175" s="55" t="s">
        <v>70</v>
      </c>
      <c r="J175" s="55" t="s">
        <v>362</v>
      </c>
      <c r="K175" s="51">
        <v>24.4</v>
      </c>
      <c r="L175" s="51">
        <v>24.2</v>
      </c>
      <c r="M175" s="51">
        <v>23.4</v>
      </c>
      <c r="N175" s="51">
        <v>24.6</v>
      </c>
      <c r="O175" s="51">
        <v>25</v>
      </c>
      <c r="P175" s="51">
        <v>23.8</v>
      </c>
      <c r="Q175" s="51">
        <v>22.6</v>
      </c>
      <c r="R175" s="51">
        <v>25</v>
      </c>
      <c r="S175" s="51">
        <v>22.6</v>
      </c>
      <c r="T175" s="51">
        <v>22.8</v>
      </c>
      <c r="U175" s="51">
        <v>25.8</v>
      </c>
      <c r="V175" s="51">
        <v>24.4</v>
      </c>
      <c r="W175" s="51">
        <v>24.2</v>
      </c>
      <c r="X175" s="51">
        <v>25.8</v>
      </c>
      <c r="Y175" s="51">
        <v>25</v>
      </c>
      <c r="Z175" s="111"/>
      <c r="AA175" s="51">
        <v>21.6</v>
      </c>
      <c r="AB175" s="51">
        <v>25.6</v>
      </c>
      <c r="AC175" s="51">
        <v>25</v>
      </c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18</v>
      </c>
      <c r="AQ175" s="89">
        <f t="shared" si="12"/>
        <v>24.211111111111112</v>
      </c>
      <c r="AR175" s="89">
        <f>IFERROR(VLOOKUP(A175,Climatologia!A:U,9+$E$2,FALSE),"")</f>
        <v>21.67335632183908</v>
      </c>
      <c r="AS175" s="89">
        <f t="shared" si="13"/>
        <v>2.5377547892720322</v>
      </c>
      <c r="AT175" s="90">
        <f t="shared" si="14"/>
        <v>21.6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36051</v>
      </c>
      <c r="AW175" s="92">
        <f t="shared" si="15"/>
        <v>5.6000000000000014</v>
      </c>
    </row>
    <row r="176" spans="1:49" ht="14.25" customHeight="1" x14ac:dyDescent="0.2">
      <c r="A176" s="48">
        <v>21235010</v>
      </c>
      <c r="B176" s="52" t="s">
        <v>363</v>
      </c>
      <c r="C176" s="52" t="s">
        <v>355</v>
      </c>
      <c r="D176" s="53">
        <v>-74.702388889999995</v>
      </c>
      <c r="E176" s="53">
        <v>4.5618055560000004</v>
      </c>
      <c r="F176" s="48">
        <v>297</v>
      </c>
      <c r="G176" s="46">
        <v>25</v>
      </c>
      <c r="H176" s="46">
        <v>25368</v>
      </c>
      <c r="I176" s="55" t="s">
        <v>73</v>
      </c>
      <c r="J176" s="55" t="s">
        <v>364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0</v>
      </c>
      <c r="AQ176" s="89" t="str">
        <f t="shared" si="12"/>
        <v/>
      </c>
      <c r="AR176" s="89" t="str">
        <f>IFERROR(VLOOKUP(A176,Climatologia!A:U,9+$E$2,FALSE),"")</f>
        <v/>
      </c>
      <c r="AS176" s="89" t="str">
        <f t="shared" si="13"/>
        <v/>
      </c>
      <c r="AT176" s="90" t="str">
        <f t="shared" si="14"/>
        <v/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17.399999999999999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39717</v>
      </c>
      <c r="AW176" s="92" t="str">
        <f t="shared" si="15"/>
        <v>NA</v>
      </c>
    </row>
    <row r="177" spans="1:49" ht="14.25" customHeight="1" x14ac:dyDescent="0.2">
      <c r="A177" s="48">
        <v>21245010</v>
      </c>
      <c r="B177" s="52" t="s">
        <v>365</v>
      </c>
      <c r="C177" s="52" t="s">
        <v>355</v>
      </c>
      <c r="D177" s="53">
        <v>-75.200522219999996</v>
      </c>
      <c r="E177" s="53">
        <v>4.4296666670000002</v>
      </c>
      <c r="F177" s="48">
        <v>826</v>
      </c>
      <c r="G177" s="46">
        <v>73</v>
      </c>
      <c r="H177" s="46">
        <v>73001</v>
      </c>
      <c r="I177" s="55" t="s">
        <v>70</v>
      </c>
      <c r="J177" s="55" t="s">
        <v>71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33145</v>
      </c>
      <c r="AW177" s="92" t="str">
        <f t="shared" si="15"/>
        <v>NA</v>
      </c>
    </row>
    <row r="178" spans="1:49" ht="14.25" customHeight="1" x14ac:dyDescent="0.2">
      <c r="A178" s="48">
        <v>21245140</v>
      </c>
      <c r="B178" s="52" t="s">
        <v>366</v>
      </c>
      <c r="C178" s="52" t="s">
        <v>355</v>
      </c>
      <c r="D178" s="53">
        <v>-75.09445556</v>
      </c>
      <c r="E178" s="53">
        <v>4.7118611110000002</v>
      </c>
      <c r="F178" s="48">
        <v>2288</v>
      </c>
      <c r="G178" s="46">
        <v>73</v>
      </c>
      <c r="H178" s="46">
        <v>73686</v>
      </c>
      <c r="I178" s="55" t="s">
        <v>70</v>
      </c>
      <c r="J178" s="55" t="s">
        <v>366</v>
      </c>
      <c r="K178" s="51">
        <v>13.6</v>
      </c>
      <c r="L178" s="51">
        <v>12.4</v>
      </c>
      <c r="M178" s="51">
        <v>13.2</v>
      </c>
      <c r="N178" s="51">
        <v>12.6</v>
      </c>
      <c r="O178" s="51">
        <v>13.2</v>
      </c>
      <c r="P178" s="51">
        <v>13.8</v>
      </c>
      <c r="Q178" s="51">
        <v>13.8</v>
      </c>
      <c r="R178" s="51">
        <v>14</v>
      </c>
      <c r="S178" s="51">
        <v>14</v>
      </c>
      <c r="T178" s="51"/>
      <c r="U178" s="51">
        <v>13.4</v>
      </c>
      <c r="V178" s="51">
        <v>13.4</v>
      </c>
      <c r="W178" s="51">
        <v>13.6</v>
      </c>
      <c r="X178" s="51">
        <v>13.8</v>
      </c>
      <c r="Y178" s="51">
        <v>14.2</v>
      </c>
      <c r="Z178" s="111">
        <v>12.8</v>
      </c>
      <c r="AA178" s="51">
        <v>13.8</v>
      </c>
      <c r="AB178" s="51">
        <v>15</v>
      </c>
      <c r="AC178" s="51">
        <v>14</v>
      </c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18</v>
      </c>
      <c r="AQ178" s="89">
        <f t="shared" si="12"/>
        <v>13.58888888888889</v>
      </c>
      <c r="AR178" s="89" t="str">
        <f>IFERROR(VLOOKUP(A178,Climatologia!A:U,9+$E$2,FALSE),"")</f>
        <v/>
      </c>
      <c r="AS178" s="89" t="str">
        <f t="shared" si="13"/>
        <v/>
      </c>
      <c r="AT178" s="90">
        <f t="shared" si="14"/>
        <v>12.4</v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10.6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30561</v>
      </c>
      <c r="AW178" s="92">
        <f t="shared" si="15"/>
        <v>1.8000000000000007</v>
      </c>
    </row>
    <row r="179" spans="1:49" ht="14.25" customHeight="1" x14ac:dyDescent="0.2">
      <c r="A179" s="48">
        <v>21255080</v>
      </c>
      <c r="B179" s="52" t="s">
        <v>367</v>
      </c>
      <c r="C179" s="52" t="s">
        <v>355</v>
      </c>
      <c r="D179" s="53">
        <v>-74.767944439999994</v>
      </c>
      <c r="E179" s="53">
        <v>4.7837779999999999</v>
      </c>
      <c r="F179" s="48">
        <v>308</v>
      </c>
      <c r="G179" s="46">
        <v>73</v>
      </c>
      <c r="H179" s="46">
        <v>73030</v>
      </c>
      <c r="I179" s="55" t="s">
        <v>70</v>
      </c>
      <c r="J179" s="55" t="s">
        <v>368</v>
      </c>
      <c r="K179" s="51">
        <v>26.4</v>
      </c>
      <c r="L179" s="51">
        <v>22.8</v>
      </c>
      <c r="M179" s="51"/>
      <c r="N179" s="51">
        <v>22.6</v>
      </c>
      <c r="O179" s="51">
        <v>25.6</v>
      </c>
      <c r="P179" s="51">
        <v>25</v>
      </c>
      <c r="Q179" s="51"/>
      <c r="R179" s="51">
        <v>25.8</v>
      </c>
      <c r="S179" s="51">
        <v>25.2</v>
      </c>
      <c r="T179" s="51">
        <v>25.6</v>
      </c>
      <c r="U179" s="51">
        <v>25.4</v>
      </c>
      <c r="V179" s="51">
        <v>25.4</v>
      </c>
      <c r="W179" s="51">
        <v>25.8</v>
      </c>
      <c r="X179" s="51"/>
      <c r="Y179" s="51"/>
      <c r="Z179" s="111"/>
      <c r="AA179" s="51">
        <v>25</v>
      </c>
      <c r="AB179" s="51"/>
      <c r="AC179" s="51">
        <v>24.8</v>
      </c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13</v>
      </c>
      <c r="AQ179" s="89" t="str">
        <f t="shared" si="12"/>
        <v/>
      </c>
      <c r="AR179" s="89">
        <f>IFERROR(VLOOKUP(A179,Climatologia!A:U,9+$E$2,FALSE),"")</f>
        <v>22.952130860571948</v>
      </c>
      <c r="AS179" s="89" t="str">
        <f t="shared" si="13"/>
        <v/>
      </c>
      <c r="AT179" s="90">
        <f t="shared" si="14"/>
        <v>22.6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30581</v>
      </c>
      <c r="AW179" s="92">
        <f t="shared" si="15"/>
        <v>3.6000000000000014</v>
      </c>
    </row>
    <row r="180" spans="1:49" ht="14.25" customHeight="1" x14ac:dyDescent="0.2">
      <c r="A180" s="48">
        <v>21255090</v>
      </c>
      <c r="B180" s="52" t="s">
        <v>369</v>
      </c>
      <c r="C180" s="52" t="s">
        <v>355</v>
      </c>
      <c r="D180" s="53">
        <v>-74.899991666999995</v>
      </c>
      <c r="E180" s="53">
        <v>5</v>
      </c>
      <c r="F180" s="48">
        <v>321</v>
      </c>
      <c r="G180" s="46">
        <v>73</v>
      </c>
      <c r="H180" s="46">
        <v>73055</v>
      </c>
      <c r="I180" s="55" t="s">
        <v>70</v>
      </c>
      <c r="J180" s="55" t="s">
        <v>370</v>
      </c>
      <c r="K180" s="51">
        <v>23.6</v>
      </c>
      <c r="L180" s="51">
        <v>21.8</v>
      </c>
      <c r="M180" s="51">
        <v>23.2</v>
      </c>
      <c r="N180" s="51">
        <v>23.8</v>
      </c>
      <c r="O180" s="51">
        <v>23.6</v>
      </c>
      <c r="P180" s="51">
        <v>22.2</v>
      </c>
      <c r="Q180" s="51">
        <v>23.4</v>
      </c>
      <c r="R180" s="51">
        <v>23.6</v>
      </c>
      <c r="S180" s="51">
        <v>22</v>
      </c>
      <c r="T180" s="51">
        <v>22.8</v>
      </c>
      <c r="U180" s="51">
        <v>23.8</v>
      </c>
      <c r="V180" s="51">
        <v>23.8</v>
      </c>
      <c r="W180" s="51">
        <v>24.2</v>
      </c>
      <c r="X180" s="51">
        <v>24.6</v>
      </c>
      <c r="Y180" s="51">
        <v>25.4</v>
      </c>
      <c r="Z180" s="111">
        <v>23.8</v>
      </c>
      <c r="AA180" s="51">
        <v>20.6</v>
      </c>
      <c r="AB180" s="51">
        <v>21</v>
      </c>
      <c r="AC180" s="51">
        <v>23.6</v>
      </c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19</v>
      </c>
      <c r="AQ180" s="89">
        <f t="shared" si="12"/>
        <v>23.200000000000003</v>
      </c>
      <c r="AR180" s="89">
        <f>IFERROR(VLOOKUP(A180,Climatologia!A:U,9+$E$2,FALSE),"")</f>
        <v>21.663136479048831</v>
      </c>
      <c r="AS180" s="89">
        <f t="shared" si="13"/>
        <v>1.5368635209511723</v>
      </c>
      <c r="AT180" s="90">
        <f t="shared" si="14"/>
        <v>20.6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16.2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33850</v>
      </c>
      <c r="AW180" s="92">
        <f t="shared" si="15"/>
        <v>4.4000000000000021</v>
      </c>
    </row>
    <row r="181" spans="1:49" ht="14.25" customHeight="1" x14ac:dyDescent="0.2">
      <c r="A181" s="48">
        <v>21255120</v>
      </c>
      <c r="B181" s="52" t="s">
        <v>371</v>
      </c>
      <c r="C181" s="52" t="s">
        <v>355</v>
      </c>
      <c r="D181" s="53">
        <v>-75.117336111</v>
      </c>
      <c r="E181" s="53">
        <v>5.0267619440000004</v>
      </c>
      <c r="F181" s="48">
        <v>2069</v>
      </c>
      <c r="G181" s="46">
        <v>73</v>
      </c>
      <c r="H181" s="46">
        <v>73870</v>
      </c>
      <c r="I181" s="55" t="s">
        <v>70</v>
      </c>
      <c r="J181" s="55" t="s">
        <v>371</v>
      </c>
      <c r="K181" s="51">
        <v>12.6</v>
      </c>
      <c r="L181" s="51">
        <v>13.2</v>
      </c>
      <c r="M181" s="51">
        <v>13</v>
      </c>
      <c r="N181" s="51">
        <v>13.4</v>
      </c>
      <c r="O181" s="51">
        <v>13.2</v>
      </c>
      <c r="P181" s="51">
        <v>13</v>
      </c>
      <c r="Q181" s="51">
        <v>14.6</v>
      </c>
      <c r="R181" s="51">
        <v>13.8</v>
      </c>
      <c r="S181" s="51">
        <v>13</v>
      </c>
      <c r="T181" s="51">
        <v>13.8</v>
      </c>
      <c r="U181" s="51">
        <v>13.4</v>
      </c>
      <c r="V181" s="51">
        <v>13</v>
      </c>
      <c r="W181" s="51">
        <v>13.2</v>
      </c>
      <c r="X181" s="51">
        <v>14.8</v>
      </c>
      <c r="Y181" s="51">
        <v>15</v>
      </c>
      <c r="Z181" s="111">
        <v>12.6</v>
      </c>
      <c r="AA181" s="51">
        <v>12.2</v>
      </c>
      <c r="AB181" s="51">
        <v>14.8</v>
      </c>
      <c r="AC181" s="51">
        <v>13.6</v>
      </c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19</v>
      </c>
      <c r="AQ181" s="89">
        <f t="shared" si="12"/>
        <v>13.484210526315788</v>
      </c>
      <c r="AR181" s="89">
        <f>IFERROR(VLOOKUP(A181,Climatologia!A:U,9+$E$2,FALSE),"")</f>
        <v>14.28702791461412</v>
      </c>
      <c r="AS181" s="89">
        <f t="shared" si="13"/>
        <v>-0.80281738829833138</v>
      </c>
      <c r="AT181" s="90">
        <f t="shared" si="14"/>
        <v>12.2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11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29841</v>
      </c>
      <c r="AW181" s="92">
        <f t="shared" si="15"/>
        <v>1.1999999999999993</v>
      </c>
    </row>
    <row r="182" spans="1:49" ht="14.25" customHeight="1" x14ac:dyDescent="0.2">
      <c r="A182" s="48">
        <v>22045010</v>
      </c>
      <c r="B182" s="52" t="s">
        <v>372</v>
      </c>
      <c r="C182" s="52" t="s">
        <v>355</v>
      </c>
      <c r="D182" s="53">
        <v>-75.503444439999996</v>
      </c>
      <c r="E182" s="53">
        <v>3.7224444440000002</v>
      </c>
      <c r="F182" s="48">
        <v>895</v>
      </c>
      <c r="G182" s="46">
        <v>73</v>
      </c>
      <c r="H182" s="46">
        <v>73168</v>
      </c>
      <c r="I182" s="55" t="s">
        <v>70</v>
      </c>
      <c r="J182" s="55" t="s">
        <v>373</v>
      </c>
      <c r="K182" s="51">
        <v>18.8</v>
      </c>
      <c r="L182" s="51">
        <v>19.600000000000001</v>
      </c>
      <c r="M182" s="51">
        <v>17.2</v>
      </c>
      <c r="N182" s="51">
        <v>19.2</v>
      </c>
      <c r="O182" s="51">
        <v>19.600000000000001</v>
      </c>
      <c r="P182" s="51">
        <v>19</v>
      </c>
      <c r="Q182" s="51">
        <v>18.600000000000001</v>
      </c>
      <c r="R182" s="51">
        <v>18.2</v>
      </c>
      <c r="S182" s="51">
        <v>18.2</v>
      </c>
      <c r="T182" s="51">
        <v>19.2</v>
      </c>
      <c r="U182" s="51">
        <v>18.2</v>
      </c>
      <c r="V182" s="51">
        <v>18.600000000000001</v>
      </c>
      <c r="W182" s="51">
        <v>19.2</v>
      </c>
      <c r="X182" s="51">
        <v>18</v>
      </c>
      <c r="Y182" s="51">
        <v>18.2</v>
      </c>
      <c r="Z182" s="111">
        <v>18.399999999999999</v>
      </c>
      <c r="AA182" s="51">
        <v>19</v>
      </c>
      <c r="AB182" s="51">
        <v>22.4</v>
      </c>
      <c r="AC182" s="51">
        <v>18.600000000000001</v>
      </c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19</v>
      </c>
      <c r="AQ182" s="89">
        <f t="shared" si="12"/>
        <v>18.852631578947364</v>
      </c>
      <c r="AR182" s="89">
        <f>IFERROR(VLOOKUP(A182,Climatologia!A:U,9+$E$2,FALSE),"")</f>
        <v>19.90422009459251</v>
      </c>
      <c r="AS182" s="89">
        <f t="shared" si="13"/>
        <v>-1.0515885156451468</v>
      </c>
      <c r="AT182" s="90">
        <f t="shared" si="14"/>
        <v>17.2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16.8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37882</v>
      </c>
      <c r="AW182" s="92">
        <f t="shared" si="15"/>
        <v>0.39999999999999858</v>
      </c>
    </row>
    <row r="183" spans="1:49" ht="14.25" customHeight="1" x14ac:dyDescent="0.2">
      <c r="A183" s="48">
        <v>22055020</v>
      </c>
      <c r="B183" s="52" t="s">
        <v>374</v>
      </c>
      <c r="C183" s="52" t="s">
        <v>355</v>
      </c>
      <c r="D183" s="53">
        <v>-75.536361110000001</v>
      </c>
      <c r="E183" s="53">
        <v>3.4557777779999999</v>
      </c>
      <c r="F183" s="48">
        <v>699</v>
      </c>
      <c r="G183" s="46">
        <v>73</v>
      </c>
      <c r="H183" s="46">
        <v>73067</v>
      </c>
      <c r="I183" s="55" t="s">
        <v>70</v>
      </c>
      <c r="J183" s="55" t="s">
        <v>375</v>
      </c>
      <c r="K183" s="51">
        <v>21.4</v>
      </c>
      <c r="L183" s="51">
        <v>22.6</v>
      </c>
      <c r="M183" s="51">
        <v>22.4</v>
      </c>
      <c r="N183" s="51">
        <v>22.8</v>
      </c>
      <c r="O183" s="51">
        <v>23.8</v>
      </c>
      <c r="P183" s="51">
        <v>23.4</v>
      </c>
      <c r="Q183" s="51">
        <v>23.8</v>
      </c>
      <c r="R183" s="51">
        <v>21.2</v>
      </c>
      <c r="S183" s="51">
        <v>22.4</v>
      </c>
      <c r="T183" s="51">
        <v>20.6</v>
      </c>
      <c r="U183" s="51">
        <v>22</v>
      </c>
      <c r="V183" s="51">
        <v>20.6</v>
      </c>
      <c r="W183" s="51">
        <v>22</v>
      </c>
      <c r="X183" s="51">
        <v>22.8</v>
      </c>
      <c r="Y183" s="51">
        <v>22.6</v>
      </c>
      <c r="Z183" s="111">
        <v>23.2</v>
      </c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16</v>
      </c>
      <c r="AQ183" s="89">
        <f t="shared" si="12"/>
        <v>22.35</v>
      </c>
      <c r="AR183" s="89">
        <f>IFERROR(VLOOKUP(A183,Climatologia!A:U,9+$E$2,FALSE),"")</f>
        <v>20.13286316365626</v>
      </c>
      <c r="AS183" s="89">
        <f t="shared" si="13"/>
        <v>2.2171368363437409</v>
      </c>
      <c r="AT183" s="90">
        <f t="shared" si="14"/>
        <v>20.6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41538</v>
      </c>
      <c r="AW183" s="92">
        <f t="shared" si="15"/>
        <v>4.6000000000000014</v>
      </c>
    </row>
    <row r="184" spans="1:49" ht="14.25" customHeight="1" x14ac:dyDescent="0.2">
      <c r="A184" s="48">
        <v>22065040</v>
      </c>
      <c r="B184" s="52" t="s">
        <v>376</v>
      </c>
      <c r="C184" s="52" t="s">
        <v>355</v>
      </c>
      <c r="D184" s="53">
        <v>-75.467749999999995</v>
      </c>
      <c r="E184" s="53">
        <v>3.9211999999999998</v>
      </c>
      <c r="F184" s="48">
        <v>1566</v>
      </c>
      <c r="G184" s="46">
        <v>73</v>
      </c>
      <c r="H184" s="46">
        <v>73675</v>
      </c>
      <c r="I184" s="55" t="s">
        <v>70</v>
      </c>
      <c r="J184" s="55" t="s">
        <v>377</v>
      </c>
      <c r="K184" s="51">
        <v>17.2</v>
      </c>
      <c r="L184" s="51">
        <v>17</v>
      </c>
      <c r="M184" s="51">
        <v>16</v>
      </c>
      <c r="N184" s="51">
        <v>15.8</v>
      </c>
      <c r="O184" s="51">
        <v>17.600000000000001</v>
      </c>
      <c r="P184" s="51">
        <v>16.399999999999999</v>
      </c>
      <c r="Q184" s="51">
        <v>15.8</v>
      </c>
      <c r="R184" s="51">
        <v>15.2</v>
      </c>
      <c r="S184" s="51">
        <v>16.600000000000001</v>
      </c>
      <c r="T184" s="51">
        <v>15.4</v>
      </c>
      <c r="U184" s="51">
        <v>16.399999999999999</v>
      </c>
      <c r="V184" s="51">
        <v>15.6</v>
      </c>
      <c r="W184" s="51">
        <v>17.8</v>
      </c>
      <c r="X184" s="51">
        <v>16.399999999999999</v>
      </c>
      <c r="Y184" s="51">
        <v>16.600000000000001</v>
      </c>
      <c r="Z184" s="111">
        <v>17</v>
      </c>
      <c r="AA184" s="51">
        <v>14.6</v>
      </c>
      <c r="AB184" s="51"/>
      <c r="AC184" s="51">
        <v>15.6</v>
      </c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18</v>
      </c>
      <c r="AQ184" s="89">
        <f t="shared" si="12"/>
        <v>16.277777777777782</v>
      </c>
      <c r="AR184" s="89">
        <f>IFERROR(VLOOKUP(A184,Climatologia!A:U,9+$E$2,FALSE),"")</f>
        <v>16.92344442575952</v>
      </c>
      <c r="AS184" s="89">
        <f t="shared" si="13"/>
        <v>-0.6456666479817379</v>
      </c>
      <c r="AT184" s="90">
        <f t="shared" si="14"/>
        <v>14.6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12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31315</v>
      </c>
      <c r="AW184" s="92">
        <f t="shared" si="15"/>
        <v>2.5999999999999996</v>
      </c>
    </row>
    <row r="185" spans="1:49" ht="14.25" customHeight="1" x14ac:dyDescent="0.2">
      <c r="A185" s="48">
        <v>23025040</v>
      </c>
      <c r="B185" s="52" t="s">
        <v>311</v>
      </c>
      <c r="C185" s="52" t="s">
        <v>355</v>
      </c>
      <c r="D185" s="53">
        <v>-74.914580556000004</v>
      </c>
      <c r="E185" s="53">
        <v>5.301108889</v>
      </c>
      <c r="F185" s="48">
        <v>788</v>
      </c>
      <c r="G185" s="46">
        <v>73</v>
      </c>
      <c r="H185" s="46">
        <v>73443</v>
      </c>
      <c r="I185" s="55" t="s">
        <v>70</v>
      </c>
      <c r="J185" s="55" t="s">
        <v>378</v>
      </c>
      <c r="K185" s="51">
        <v>21.8</v>
      </c>
      <c r="L185" s="51">
        <v>20.6</v>
      </c>
      <c r="M185" s="51">
        <v>20.399999999999999</v>
      </c>
      <c r="N185" s="51">
        <v>21.6</v>
      </c>
      <c r="O185" s="51"/>
      <c r="P185" s="51">
        <v>23</v>
      </c>
      <c r="Q185" s="51">
        <v>21.6</v>
      </c>
      <c r="R185" s="51">
        <v>22</v>
      </c>
      <c r="S185" s="51">
        <v>22.8</v>
      </c>
      <c r="T185" s="51">
        <v>23.4</v>
      </c>
      <c r="U185" s="51">
        <v>22.4</v>
      </c>
      <c r="V185" s="51">
        <v>21.6</v>
      </c>
      <c r="W185" s="51">
        <v>23</v>
      </c>
      <c r="X185" s="51">
        <v>22.4</v>
      </c>
      <c r="Y185" s="51"/>
      <c r="Z185" s="111">
        <v>21.6</v>
      </c>
      <c r="AA185" s="51">
        <v>22</v>
      </c>
      <c r="AB185" s="51">
        <v>22.4</v>
      </c>
      <c r="AC185" s="51">
        <v>24</v>
      </c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17</v>
      </c>
      <c r="AQ185" s="89">
        <f t="shared" si="12"/>
        <v>22.152941176470591</v>
      </c>
      <c r="AR185" s="89">
        <f>IFERROR(VLOOKUP(A185,Climatologia!A:U,9+$E$2,FALSE),"")</f>
        <v>20.23041991214405</v>
      </c>
      <c r="AS185" s="89">
        <f t="shared" si="13"/>
        <v>1.9225212643265408</v>
      </c>
      <c r="AT185" s="90">
        <f t="shared" si="14"/>
        <v>20.399999999999999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17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33500</v>
      </c>
      <c r="AW185" s="92">
        <f t="shared" si="15"/>
        <v>3.3999999999999986</v>
      </c>
    </row>
    <row r="186" spans="1:49" ht="14.25" customHeight="1" x14ac:dyDescent="0.2">
      <c r="A186" s="48">
        <v>23055040</v>
      </c>
      <c r="B186" s="52" t="s">
        <v>379</v>
      </c>
      <c r="C186" s="52" t="s">
        <v>355</v>
      </c>
      <c r="D186" s="53">
        <v>-74.992927777999995</v>
      </c>
      <c r="E186" s="53">
        <v>5.4182880559999997</v>
      </c>
      <c r="F186" s="48">
        <v>1532</v>
      </c>
      <c r="G186" s="46">
        <v>17</v>
      </c>
      <c r="H186" s="46">
        <v>17662</v>
      </c>
      <c r="I186" s="55" t="s">
        <v>116</v>
      </c>
      <c r="J186" s="55" t="s">
        <v>380</v>
      </c>
      <c r="K186" s="51">
        <v>17.399999999999999</v>
      </c>
      <c r="L186" s="51">
        <v>16.2</v>
      </c>
      <c r="M186" s="51">
        <v>16.2</v>
      </c>
      <c r="N186" s="51">
        <v>18</v>
      </c>
      <c r="O186" s="51">
        <v>18.2</v>
      </c>
      <c r="P186" s="51">
        <v>19.2</v>
      </c>
      <c r="Q186" s="51">
        <v>17.399999999999999</v>
      </c>
      <c r="R186" s="51">
        <v>18.399999999999999</v>
      </c>
      <c r="S186" s="51">
        <v>18</v>
      </c>
      <c r="T186" s="51">
        <v>19</v>
      </c>
      <c r="U186" s="51">
        <v>17.399999999999999</v>
      </c>
      <c r="V186" s="51">
        <v>17.600000000000001</v>
      </c>
      <c r="W186" s="51">
        <v>19.399999999999999</v>
      </c>
      <c r="X186" s="51">
        <v>18</v>
      </c>
      <c r="Y186" s="51">
        <v>16</v>
      </c>
      <c r="Z186" s="111">
        <v>17</v>
      </c>
      <c r="AA186" s="51">
        <v>17.2</v>
      </c>
      <c r="AB186" s="51">
        <v>19.600000000000001</v>
      </c>
      <c r="AC186" s="51">
        <v>19</v>
      </c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19</v>
      </c>
      <c r="AQ186" s="89">
        <f t="shared" si="12"/>
        <v>17.852631578947367</v>
      </c>
      <c r="AR186" s="89">
        <f>IFERROR(VLOOKUP(A186,Climatologia!A:U,9+$E$2,FALSE),"")</f>
        <v>16.7940049395581</v>
      </c>
      <c r="AS186" s="89">
        <f t="shared" si="13"/>
        <v>1.0586266393892672</v>
      </c>
      <c r="AT186" s="90">
        <f t="shared" si="14"/>
        <v>16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14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30207</v>
      </c>
      <c r="AW186" s="92">
        <f t="shared" si="15"/>
        <v>2</v>
      </c>
    </row>
    <row r="187" spans="1:49" ht="14.25" customHeight="1" x14ac:dyDescent="0.2">
      <c r="A187" s="48">
        <v>21195060</v>
      </c>
      <c r="B187" s="52" t="s">
        <v>381</v>
      </c>
      <c r="C187" s="52" t="s">
        <v>382</v>
      </c>
      <c r="D187" s="93">
        <v>-74.487416670000002</v>
      </c>
      <c r="E187" s="93">
        <v>4.1927222220000004</v>
      </c>
      <c r="F187" s="48">
        <v>950</v>
      </c>
      <c r="G187" s="46">
        <v>25</v>
      </c>
      <c r="H187" s="46">
        <v>25524</v>
      </c>
      <c r="I187" s="55" t="s">
        <v>73</v>
      </c>
      <c r="J187" s="55" t="s">
        <v>381</v>
      </c>
      <c r="K187" s="51">
        <v>23.2</v>
      </c>
      <c r="L187" s="51">
        <v>20.8</v>
      </c>
      <c r="M187" s="51">
        <v>20.399999999999999</v>
      </c>
      <c r="N187" s="51">
        <v>20.8</v>
      </c>
      <c r="O187" s="51">
        <v>23.2</v>
      </c>
      <c r="P187" s="51">
        <v>22.6</v>
      </c>
      <c r="Q187" s="51">
        <v>22.8</v>
      </c>
      <c r="R187" s="51">
        <v>23.2</v>
      </c>
      <c r="S187" s="51">
        <v>22.8</v>
      </c>
      <c r="T187" s="51">
        <v>22.6</v>
      </c>
      <c r="U187" s="51">
        <v>23.2</v>
      </c>
      <c r="V187" s="51">
        <v>22.2</v>
      </c>
      <c r="W187" s="51">
        <v>23.2</v>
      </c>
      <c r="X187" s="51">
        <v>24.2</v>
      </c>
      <c r="Y187" s="51">
        <v>23.8</v>
      </c>
      <c r="Z187" s="111">
        <v>23.8</v>
      </c>
      <c r="AA187" s="51">
        <v>22.2</v>
      </c>
      <c r="AB187" s="51">
        <v>23.4</v>
      </c>
      <c r="AC187" s="51">
        <v>22.4</v>
      </c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19</v>
      </c>
      <c r="AQ187" s="89">
        <f t="shared" si="12"/>
        <v>22.673684210526314</v>
      </c>
      <c r="AR187" s="89">
        <f>IFERROR(VLOOKUP(A187,Climatologia!A:U,9+$E$2,FALSE),"")</f>
        <v>20.381504495550061</v>
      </c>
      <c r="AS187" s="89">
        <f t="shared" si="13"/>
        <v>2.2921797149762533</v>
      </c>
      <c r="AT187" s="90">
        <f t="shared" si="14"/>
        <v>20.399999999999999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14.8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45543</v>
      </c>
      <c r="AW187" s="92">
        <f t="shared" si="15"/>
        <v>5.5999999999999979</v>
      </c>
    </row>
    <row r="188" spans="1:49" ht="14.25" customHeight="1" x14ac:dyDescent="0.2">
      <c r="A188" s="48">
        <v>21195120</v>
      </c>
      <c r="B188" s="52" t="s">
        <v>383</v>
      </c>
      <c r="C188" s="52" t="s">
        <v>382</v>
      </c>
      <c r="D188" s="53">
        <v>-74.392719999999997</v>
      </c>
      <c r="E188" s="53">
        <v>4.3929200000000002</v>
      </c>
      <c r="F188" s="48">
        <v>1421</v>
      </c>
      <c r="G188" s="46">
        <v>25</v>
      </c>
      <c r="H188" s="46">
        <v>25743</v>
      </c>
      <c r="I188" s="55" t="s">
        <v>73</v>
      </c>
      <c r="J188" s="55" t="s">
        <v>384</v>
      </c>
      <c r="K188" s="51">
        <v>19.399999999999999</v>
      </c>
      <c r="L188" s="51">
        <v>17.8</v>
      </c>
      <c r="M188" s="51">
        <v>18.399999999999999</v>
      </c>
      <c r="N188" s="51">
        <v>17.8</v>
      </c>
      <c r="O188" s="51">
        <v>18.8</v>
      </c>
      <c r="P188" s="51">
        <v>18.399999999999999</v>
      </c>
      <c r="Q188" s="51">
        <v>18.8</v>
      </c>
      <c r="R188" s="51">
        <v>19.399999999999999</v>
      </c>
      <c r="S188" s="51">
        <v>18.600000000000001</v>
      </c>
      <c r="T188" s="51">
        <v>19.2</v>
      </c>
      <c r="U188" s="51">
        <v>18.8</v>
      </c>
      <c r="V188" s="51">
        <v>18.399999999999999</v>
      </c>
      <c r="W188" s="51">
        <v>18.600000000000001</v>
      </c>
      <c r="X188" s="51">
        <v>18.8</v>
      </c>
      <c r="Y188" s="51">
        <v>19.8</v>
      </c>
      <c r="Z188" s="111">
        <v>18</v>
      </c>
      <c r="AA188" s="51">
        <v>18.399999999999999</v>
      </c>
      <c r="AB188" s="51">
        <v>19.600000000000001</v>
      </c>
      <c r="AC188" s="51">
        <v>18</v>
      </c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19</v>
      </c>
      <c r="AQ188" s="89">
        <f t="shared" si="12"/>
        <v>18.684210526315791</v>
      </c>
      <c r="AR188" s="89">
        <f>IFERROR(VLOOKUP(A188,Climatologia!A:U,9+$E$2,FALSE),"")</f>
        <v>15.6368235879347</v>
      </c>
      <c r="AS188" s="89">
        <f t="shared" si="13"/>
        <v>3.0473869383810914</v>
      </c>
      <c r="AT188" s="90">
        <f t="shared" si="14"/>
        <v>17.8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11.2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39326</v>
      </c>
      <c r="AW188" s="92">
        <f t="shared" si="15"/>
        <v>6.6000000000000014</v>
      </c>
    </row>
    <row r="189" spans="1:49" ht="14.25" customHeight="1" x14ac:dyDescent="0.2">
      <c r="A189" s="48">
        <v>21195190</v>
      </c>
      <c r="B189" s="52" t="s">
        <v>385</v>
      </c>
      <c r="C189" s="52" t="s">
        <v>382</v>
      </c>
      <c r="D189" s="53">
        <v>-74.308398999999994</v>
      </c>
      <c r="E189" s="53">
        <v>4.3071890000000002</v>
      </c>
      <c r="F189" s="48">
        <v>2187</v>
      </c>
      <c r="G189" s="46">
        <v>25</v>
      </c>
      <c r="H189" s="46">
        <v>25535</v>
      </c>
      <c r="I189" s="55" t="s">
        <v>73</v>
      </c>
      <c r="J189" s="55" t="s">
        <v>385</v>
      </c>
      <c r="K189" s="51">
        <v>13.6</v>
      </c>
      <c r="L189" s="51">
        <v>13.8</v>
      </c>
      <c r="M189" s="51">
        <v>14.8</v>
      </c>
      <c r="N189" s="51">
        <v>13.4</v>
      </c>
      <c r="O189" s="51">
        <v>13.6</v>
      </c>
      <c r="P189" s="51">
        <v>14</v>
      </c>
      <c r="Q189" s="51">
        <v>13.2</v>
      </c>
      <c r="R189" s="51">
        <v>12.8</v>
      </c>
      <c r="S189" s="51">
        <v>14.2</v>
      </c>
      <c r="T189" s="51">
        <v>12.8</v>
      </c>
      <c r="U189" s="51">
        <v>13</v>
      </c>
      <c r="V189" s="51">
        <v>12.6</v>
      </c>
      <c r="W189" s="51">
        <v>14.4</v>
      </c>
      <c r="X189" s="51">
        <v>15</v>
      </c>
      <c r="Y189" s="51">
        <v>14.4</v>
      </c>
      <c r="Z189" s="111">
        <v>14.2</v>
      </c>
      <c r="AA189" s="51">
        <v>12.6</v>
      </c>
      <c r="AB189" s="51">
        <v>15</v>
      </c>
      <c r="AC189" s="51">
        <v>11.8</v>
      </c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19</v>
      </c>
      <c r="AQ189" s="89">
        <f t="shared" si="12"/>
        <v>13.642105263157895</v>
      </c>
      <c r="AR189" s="89">
        <f>IFERROR(VLOOKUP(A189,Climatologia!A:U,9+$E$2,FALSE),"")</f>
        <v>11.04110301039956</v>
      </c>
      <c r="AS189" s="89">
        <f t="shared" si="13"/>
        <v>2.6010022527583345</v>
      </c>
      <c r="AT189" s="90">
        <f t="shared" si="14"/>
        <v>11.8</v>
      </c>
      <c r="AU189" s="90" t="str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/>
      </c>
      <c r="AV189" s="91" t="str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9" s="92" t="str">
        <f t="shared" si="15"/>
        <v>NA</v>
      </c>
    </row>
    <row r="190" spans="1:49" ht="14.25" customHeight="1" x14ac:dyDescent="0.2">
      <c r="A190" s="48">
        <v>21205420</v>
      </c>
      <c r="B190" s="52" t="s">
        <v>386</v>
      </c>
      <c r="C190" s="52" t="s">
        <v>382</v>
      </c>
      <c r="D190" s="53">
        <v>-74.205625999999995</v>
      </c>
      <c r="E190" s="53">
        <v>4.6886619999999999</v>
      </c>
      <c r="F190" s="48">
        <v>2543</v>
      </c>
      <c r="G190" s="46">
        <v>25</v>
      </c>
      <c r="H190" s="46">
        <v>25473</v>
      </c>
      <c r="I190" s="55" t="s">
        <v>73</v>
      </c>
      <c r="J190" s="55" t="s">
        <v>387</v>
      </c>
      <c r="K190" s="51">
        <v>8.4</v>
      </c>
      <c r="L190" s="51">
        <v>8.6</v>
      </c>
      <c r="M190" s="51">
        <v>7.4</v>
      </c>
      <c r="N190" s="51">
        <v>8.8000000000000007</v>
      </c>
      <c r="O190" s="51">
        <v>7</v>
      </c>
      <c r="P190" s="51">
        <v>6.4</v>
      </c>
      <c r="Q190" s="51">
        <v>6.2</v>
      </c>
      <c r="R190" s="51">
        <v>4.5999999999999996</v>
      </c>
      <c r="S190" s="51">
        <v>9</v>
      </c>
      <c r="T190" s="51">
        <v>6.4</v>
      </c>
      <c r="U190" s="51">
        <v>8</v>
      </c>
      <c r="V190" s="51">
        <v>6.8</v>
      </c>
      <c r="W190" s="51">
        <v>6</v>
      </c>
      <c r="X190" s="51">
        <v>10.199999999999999</v>
      </c>
      <c r="Y190" s="51">
        <v>6.2</v>
      </c>
      <c r="Z190" s="111">
        <v>9</v>
      </c>
      <c r="AA190" s="51">
        <v>8</v>
      </c>
      <c r="AB190" s="51">
        <v>8</v>
      </c>
      <c r="AC190" s="51">
        <v>6.4</v>
      </c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19</v>
      </c>
      <c r="AQ190" s="89">
        <f t="shared" si="12"/>
        <v>7.4421052631578952</v>
      </c>
      <c r="AR190" s="89">
        <f>IFERROR(VLOOKUP(A190,Climatologia!A:U,9+$E$2,FALSE),"")</f>
        <v>6.3320712773816243</v>
      </c>
      <c r="AS190" s="89">
        <f t="shared" si="13"/>
        <v>1.1100339857762709</v>
      </c>
      <c r="AT190" s="90">
        <f t="shared" si="14"/>
        <v>4.5999999999999996</v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-1.8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35331</v>
      </c>
      <c r="AW190" s="92">
        <f t="shared" si="15"/>
        <v>6.3999999999999995</v>
      </c>
    </row>
    <row r="191" spans="1:49" ht="14.25" customHeight="1" x14ac:dyDescent="0.2">
      <c r="A191" s="48">
        <v>21205660</v>
      </c>
      <c r="B191" s="52" t="s">
        <v>388</v>
      </c>
      <c r="C191" s="52" t="s">
        <v>382</v>
      </c>
      <c r="D191" s="93">
        <v>-74.523179999999996</v>
      </c>
      <c r="E191" s="93">
        <v>4.5791000000000004</v>
      </c>
      <c r="F191" s="48">
        <v>765</v>
      </c>
      <c r="G191" s="46">
        <v>25</v>
      </c>
      <c r="H191" s="46">
        <v>25035</v>
      </c>
      <c r="I191" s="55" t="s">
        <v>73</v>
      </c>
      <c r="J191" s="55" t="s">
        <v>389</v>
      </c>
      <c r="K191" s="51">
        <v>24.2</v>
      </c>
      <c r="L191" s="51">
        <v>21.4</v>
      </c>
      <c r="M191" s="51">
        <v>21</v>
      </c>
      <c r="N191" s="51">
        <v>23.4</v>
      </c>
      <c r="O191" s="51">
        <v>23.6</v>
      </c>
      <c r="P191" s="51">
        <v>22.6</v>
      </c>
      <c r="Q191" s="51">
        <v>23</v>
      </c>
      <c r="R191" s="51">
        <v>23.2</v>
      </c>
      <c r="S191" s="51">
        <v>23</v>
      </c>
      <c r="T191" s="51">
        <v>23.4</v>
      </c>
      <c r="U191" s="51">
        <v>22.2</v>
      </c>
      <c r="V191" s="51">
        <v>22.8</v>
      </c>
      <c r="W191" s="51">
        <v>24</v>
      </c>
      <c r="X191" s="51">
        <v>24.8</v>
      </c>
      <c r="Y191" s="51">
        <v>24.2</v>
      </c>
      <c r="Z191" s="111">
        <v>20.399999999999999</v>
      </c>
      <c r="AA191" s="51">
        <v>22</v>
      </c>
      <c r="AB191" s="51">
        <v>23.6</v>
      </c>
      <c r="AC191" s="51">
        <v>23</v>
      </c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19</v>
      </c>
      <c r="AQ191" s="89">
        <f t="shared" si="12"/>
        <v>22.936842105263157</v>
      </c>
      <c r="AR191" s="89">
        <f>IFERROR(VLOOKUP(A191,Climatologia!A:U,9+$E$2,FALSE),"")</f>
        <v>20.01407453289416</v>
      </c>
      <c r="AS191" s="89">
        <f t="shared" si="13"/>
        <v>2.922767572368997</v>
      </c>
      <c r="AT191" s="90">
        <f t="shared" si="14"/>
        <v>20.399999999999999</v>
      </c>
      <c r="AU191" s="90" t="str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/>
      </c>
      <c r="AV191" s="91" t="str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1" s="92" t="str">
        <f t="shared" si="15"/>
        <v>NA</v>
      </c>
    </row>
    <row r="192" spans="1:49" ht="14.25" customHeight="1" x14ac:dyDescent="0.2">
      <c r="A192" s="48">
        <v>21205700</v>
      </c>
      <c r="B192" s="52" t="s">
        <v>390</v>
      </c>
      <c r="C192" s="52" t="s">
        <v>382</v>
      </c>
      <c r="D192" s="53">
        <v>-73.864452999999997</v>
      </c>
      <c r="E192" s="53">
        <v>4.8779529999999998</v>
      </c>
      <c r="F192" s="48">
        <v>2750</v>
      </c>
      <c r="G192" s="46">
        <v>25</v>
      </c>
      <c r="H192" s="46">
        <v>25322</v>
      </c>
      <c r="I192" s="55" t="s">
        <v>73</v>
      </c>
      <c r="J192" s="55" t="s">
        <v>390</v>
      </c>
      <c r="K192" s="51">
        <v>10.199999999999999</v>
      </c>
      <c r="L192" s="51">
        <v>10.4</v>
      </c>
      <c r="M192" s="51">
        <v>10.199999999999999</v>
      </c>
      <c r="N192" s="51">
        <v>9.4</v>
      </c>
      <c r="O192" s="51">
        <v>9.6</v>
      </c>
      <c r="P192" s="51">
        <v>9.1999999999999993</v>
      </c>
      <c r="Q192" s="51">
        <v>10.4</v>
      </c>
      <c r="R192" s="51">
        <v>7.8</v>
      </c>
      <c r="S192" s="51">
        <v>10.8</v>
      </c>
      <c r="T192" s="51">
        <v>7.6</v>
      </c>
      <c r="U192" s="51">
        <v>9.6</v>
      </c>
      <c r="V192" s="51">
        <v>8.1999999999999993</v>
      </c>
      <c r="W192" s="51">
        <v>8.1999999999999993</v>
      </c>
      <c r="X192" s="51">
        <v>11.4</v>
      </c>
      <c r="Y192" s="51">
        <v>10.8</v>
      </c>
      <c r="Z192" s="111">
        <v>10.8</v>
      </c>
      <c r="AA192" s="51">
        <v>9.8000000000000007</v>
      </c>
      <c r="AB192" s="51">
        <v>9.1999999999999993</v>
      </c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18</v>
      </c>
      <c r="AQ192" s="89">
        <f t="shared" si="12"/>
        <v>9.6444444444444457</v>
      </c>
      <c r="AR192" s="89">
        <f>IFERROR(VLOOKUP(A192,Climatologia!A:U,9+$E$2,FALSE),"")</f>
        <v>7.2971740738735793</v>
      </c>
      <c r="AS192" s="89">
        <f t="shared" si="13"/>
        <v>2.3472703705708664</v>
      </c>
      <c r="AT192" s="90">
        <f t="shared" si="14"/>
        <v>7.6</v>
      </c>
      <c r="AU192" s="90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>2</v>
      </c>
      <c r="AV192" s="91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>44096</v>
      </c>
      <c r="AW192" s="92">
        <f t="shared" si="15"/>
        <v>5.6</v>
      </c>
    </row>
    <row r="193" spans="1:49" ht="14.25" customHeight="1" x14ac:dyDescent="0.2">
      <c r="A193" s="48">
        <v>21205720</v>
      </c>
      <c r="B193" s="52" t="s">
        <v>391</v>
      </c>
      <c r="C193" s="52" t="s">
        <v>382</v>
      </c>
      <c r="D193" s="53">
        <v>-74.189277779999998</v>
      </c>
      <c r="E193" s="53">
        <v>4.5057499999999999</v>
      </c>
      <c r="F193" s="48">
        <v>2900</v>
      </c>
      <c r="G193" s="46">
        <v>25</v>
      </c>
      <c r="H193" s="46">
        <v>25754</v>
      </c>
      <c r="I193" s="55" t="s">
        <v>73</v>
      </c>
      <c r="J193" s="55" t="s">
        <v>392</v>
      </c>
      <c r="K193" s="51">
        <v>8</v>
      </c>
      <c r="L193" s="51">
        <v>8.1999999999999993</v>
      </c>
      <c r="M193" s="51">
        <v>10.6</v>
      </c>
      <c r="N193" s="51">
        <v>8.1999999999999993</v>
      </c>
      <c r="O193" s="51">
        <v>10.6</v>
      </c>
      <c r="P193" s="51">
        <v>8.4</v>
      </c>
      <c r="Q193" s="51">
        <v>9.4</v>
      </c>
      <c r="R193" s="51">
        <v>6.2</v>
      </c>
      <c r="S193" s="51">
        <v>11.4</v>
      </c>
      <c r="T193" s="51">
        <v>7</v>
      </c>
      <c r="U193" s="51">
        <v>8.6</v>
      </c>
      <c r="V193" s="51">
        <v>8.4</v>
      </c>
      <c r="W193" s="51">
        <v>7.2</v>
      </c>
      <c r="X193" s="51">
        <v>11</v>
      </c>
      <c r="Y193" s="51">
        <v>6.6</v>
      </c>
      <c r="Z193" s="111">
        <v>10.199999999999999</v>
      </c>
      <c r="AA193" s="51">
        <v>8.6</v>
      </c>
      <c r="AB193" s="51">
        <v>10</v>
      </c>
      <c r="AC193" s="51">
        <v>8</v>
      </c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19</v>
      </c>
      <c r="AQ193" s="89">
        <f t="shared" si="12"/>
        <v>8.7684210526315791</v>
      </c>
      <c r="AR193" s="89">
        <f>IFERROR(VLOOKUP(A193,Climatologia!A:U,9+$E$2,FALSE),"")</f>
        <v>7.3102534256681198</v>
      </c>
      <c r="AS193" s="89">
        <f t="shared" si="13"/>
        <v>1.4581676269634594</v>
      </c>
      <c r="AT193" s="90">
        <f t="shared" si="14"/>
        <v>6.2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42260</v>
      </c>
      <c r="AW193" s="92">
        <f t="shared" si="15"/>
        <v>4.2</v>
      </c>
    </row>
    <row r="194" spans="1:49" ht="14.25" customHeight="1" x14ac:dyDescent="0.2">
      <c r="A194" s="48">
        <v>21205740</v>
      </c>
      <c r="B194" s="52" t="s">
        <v>393</v>
      </c>
      <c r="C194" s="52" t="s">
        <v>382</v>
      </c>
      <c r="D194" s="53">
        <v>-73.70141667</v>
      </c>
      <c r="E194" s="53">
        <v>5.1177222220000003</v>
      </c>
      <c r="F194" s="48">
        <v>2709</v>
      </c>
      <c r="G194" s="46">
        <v>25</v>
      </c>
      <c r="H194" s="46">
        <v>25183</v>
      </c>
      <c r="I194" s="55" t="s">
        <v>73</v>
      </c>
      <c r="J194" s="55" t="s">
        <v>394</v>
      </c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0</v>
      </c>
      <c r="AQ194" s="89" t="str">
        <f t="shared" si="12"/>
        <v/>
      </c>
      <c r="AR194" s="89">
        <f>IFERROR(VLOOKUP(A194,Climatologia!A:U,9+$E$2,FALSE),"")</f>
        <v>7.6942555167267797</v>
      </c>
      <c r="AS194" s="89" t="str">
        <f t="shared" si="13"/>
        <v/>
      </c>
      <c r="AT194" s="90" t="str">
        <f t="shared" si="14"/>
        <v/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0.4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4" s="92" t="str">
        <f t="shared" si="15"/>
        <v>NA</v>
      </c>
    </row>
    <row r="195" spans="1:49" ht="14.25" customHeight="1" x14ac:dyDescent="0.2">
      <c r="A195" s="48">
        <v>21205920</v>
      </c>
      <c r="B195" s="52" t="s">
        <v>395</v>
      </c>
      <c r="C195" s="52" t="s">
        <v>382</v>
      </c>
      <c r="D195" s="53">
        <v>-73.963888890000007</v>
      </c>
      <c r="E195" s="53">
        <v>4.8208333330000004</v>
      </c>
      <c r="F195" s="48">
        <v>2650</v>
      </c>
      <c r="G195" s="46">
        <v>25</v>
      </c>
      <c r="H195" s="46">
        <v>25758</v>
      </c>
      <c r="I195" s="55" t="s">
        <v>73</v>
      </c>
      <c r="J195" s="55" t="s">
        <v>396</v>
      </c>
      <c r="K195" s="51">
        <v>5.8</v>
      </c>
      <c r="L195" s="51">
        <v>8.6</v>
      </c>
      <c r="M195" s="51">
        <v>7.2</v>
      </c>
      <c r="N195" s="51">
        <v>8.1999999999999993</v>
      </c>
      <c r="O195" s="51">
        <v>5.8</v>
      </c>
      <c r="P195" s="51">
        <v>5.4</v>
      </c>
      <c r="Q195" s="51">
        <v>6</v>
      </c>
      <c r="R195" s="51">
        <v>5.4</v>
      </c>
      <c r="S195" s="51">
        <v>5.2</v>
      </c>
      <c r="T195" s="51">
        <v>7</v>
      </c>
      <c r="U195" s="51">
        <v>5.8</v>
      </c>
      <c r="V195" s="51">
        <v>4.5999999999999996</v>
      </c>
      <c r="W195" s="51">
        <v>5</v>
      </c>
      <c r="X195" s="51">
        <v>6.2</v>
      </c>
      <c r="Y195" s="51">
        <v>6.4</v>
      </c>
      <c r="Z195" s="111">
        <v>6.2</v>
      </c>
      <c r="AA195" s="51">
        <v>5.2</v>
      </c>
      <c r="AB195" s="51">
        <v>4.8</v>
      </c>
      <c r="AC195" s="51">
        <v>7.4</v>
      </c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19</v>
      </c>
      <c r="AQ195" s="89">
        <f t="shared" si="12"/>
        <v>6.1157894736842104</v>
      </c>
      <c r="AR195" s="89">
        <f>IFERROR(VLOOKUP(A195,Climatologia!A:U,9+$E$2,FALSE),"")</f>
        <v>6.5871179225202194</v>
      </c>
      <c r="AS195" s="89">
        <f t="shared" si="13"/>
        <v>-0.471328448836009</v>
      </c>
      <c r="AT195" s="90">
        <f t="shared" si="14"/>
        <v>4.5999999999999996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-1.6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5" s="92">
        <f t="shared" si="15"/>
        <v>6.1999999999999993</v>
      </c>
    </row>
    <row r="196" spans="1:49" ht="14.25" customHeight="1" x14ac:dyDescent="0.2">
      <c r="A196" s="48">
        <v>21205940</v>
      </c>
      <c r="B196" s="52" t="s">
        <v>397</v>
      </c>
      <c r="C196" s="52" t="s">
        <v>382</v>
      </c>
      <c r="D196" s="53">
        <v>-74.380560000000003</v>
      </c>
      <c r="E196" s="53">
        <v>4.8321100000000001</v>
      </c>
      <c r="F196" s="48">
        <v>2590</v>
      </c>
      <c r="G196" s="46">
        <v>25</v>
      </c>
      <c r="H196" s="46">
        <v>25269</v>
      </c>
      <c r="I196" s="55" t="s">
        <v>73</v>
      </c>
      <c r="J196" s="55" t="s">
        <v>398</v>
      </c>
      <c r="K196" s="51">
        <v>8.8000000000000007</v>
      </c>
      <c r="L196" s="51">
        <v>10</v>
      </c>
      <c r="M196" s="51">
        <v>8</v>
      </c>
      <c r="N196" s="51">
        <v>9.4</v>
      </c>
      <c r="O196" s="51">
        <v>9</v>
      </c>
      <c r="P196" s="51">
        <v>8</v>
      </c>
      <c r="Q196" s="51">
        <v>6.8</v>
      </c>
      <c r="R196" s="51">
        <v>8.8000000000000007</v>
      </c>
      <c r="S196" s="51">
        <v>9</v>
      </c>
      <c r="T196" s="51">
        <v>7</v>
      </c>
      <c r="U196" s="51">
        <v>10</v>
      </c>
      <c r="V196" s="51">
        <v>10.4</v>
      </c>
      <c r="W196" s="51">
        <v>11</v>
      </c>
      <c r="X196" s="51">
        <v>8.8000000000000007</v>
      </c>
      <c r="Y196" s="51">
        <v>7.4</v>
      </c>
      <c r="Z196" s="111">
        <v>10.199999999999999</v>
      </c>
      <c r="AA196" s="51">
        <v>9.4</v>
      </c>
      <c r="AB196" s="51">
        <v>10</v>
      </c>
      <c r="AC196" s="51">
        <v>9.8000000000000007</v>
      </c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19</v>
      </c>
      <c r="AQ196" s="89">
        <f t="shared" si="12"/>
        <v>9.0421052631578949</v>
      </c>
      <c r="AR196" s="89">
        <f>IFERROR(VLOOKUP(A196,Climatologia!A:U,9+$E$2,FALSE),"")</f>
        <v>6.1188038398383222</v>
      </c>
      <c r="AS196" s="89">
        <f t="shared" si="13"/>
        <v>2.9233014233195727</v>
      </c>
      <c r="AT196" s="90">
        <f t="shared" si="14"/>
        <v>6.8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-1.6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6" s="92">
        <f t="shared" si="15"/>
        <v>8.4</v>
      </c>
    </row>
    <row r="197" spans="1:49" ht="14.25" customHeight="1" x14ac:dyDescent="0.2">
      <c r="A197" s="48">
        <v>21205960</v>
      </c>
      <c r="B197" s="52" t="s">
        <v>399</v>
      </c>
      <c r="C197" s="52" t="s">
        <v>382</v>
      </c>
      <c r="D197" s="93">
        <v>-74.152583329999999</v>
      </c>
      <c r="E197" s="93">
        <v>4.9390555559999996</v>
      </c>
      <c r="F197" s="48">
        <v>2650</v>
      </c>
      <c r="G197" s="46">
        <v>25</v>
      </c>
      <c r="H197" s="46">
        <v>25769</v>
      </c>
      <c r="I197" s="55" t="s">
        <v>73</v>
      </c>
      <c r="J197" s="55" t="s">
        <v>400</v>
      </c>
      <c r="K197" s="51">
        <v>8.6</v>
      </c>
      <c r="L197" s="51">
        <v>9</v>
      </c>
      <c r="M197" s="51">
        <v>9.1999999999999993</v>
      </c>
      <c r="N197" s="51">
        <v>7.2</v>
      </c>
      <c r="O197" s="51">
        <v>10.4</v>
      </c>
      <c r="P197" s="51">
        <v>8.6</v>
      </c>
      <c r="Q197" s="51">
        <v>7.2</v>
      </c>
      <c r="R197" s="51">
        <v>5.2</v>
      </c>
      <c r="S197" s="51">
        <v>9.8000000000000007</v>
      </c>
      <c r="T197" s="51">
        <v>7</v>
      </c>
      <c r="U197" s="51">
        <v>9.6</v>
      </c>
      <c r="V197" s="51">
        <v>6.6</v>
      </c>
      <c r="W197" s="51">
        <v>5.6</v>
      </c>
      <c r="X197" s="51">
        <v>9.8000000000000007</v>
      </c>
      <c r="Y197" s="51">
        <v>6.4</v>
      </c>
      <c r="Z197" s="111">
        <v>9.1999999999999993</v>
      </c>
      <c r="AA197" s="51">
        <v>7.4</v>
      </c>
      <c r="AB197" s="51"/>
      <c r="AC197" s="51">
        <v>6.2</v>
      </c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07" si="16">COUNTIF(K197:AO197,"&gt;0")</f>
        <v>18</v>
      </c>
      <c r="AQ197" s="89">
        <f t="shared" ref="AQ197:AQ207" si="17">IF(AP197&gt;14,AVERAGE(K197:AO197),"")</f>
        <v>7.9444444444444429</v>
      </c>
      <c r="AR197" s="89">
        <f>IFERROR(VLOOKUP(A197,Climatologia!A:U,9+$E$2,FALSE),"")</f>
        <v>6.6913987808700464</v>
      </c>
      <c r="AS197" s="89">
        <f t="shared" ref="AS197:AS207" si="18">IF(OR(AQ197="",AR197=""),"",IFERROR(AQ197-AR197,""))</f>
        <v>1.2530456635743965</v>
      </c>
      <c r="AT197" s="90">
        <f t="shared" ref="AT197:AT207" si="19">IF(COUNT(K197:AO197)=0,"",MIN(K197:AO197))</f>
        <v>5.2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0.2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7" s="92">
        <f t="shared" ref="AW197:AW207" si="20">IF(OR(AT197="",AU197=""),"NA",IFERROR(AT197-AU197,"NA"))</f>
        <v>5</v>
      </c>
    </row>
    <row r="198" spans="1:49" ht="14.25" customHeight="1" x14ac:dyDescent="0.2">
      <c r="A198" s="48">
        <v>21205980</v>
      </c>
      <c r="B198" s="52" t="s">
        <v>401</v>
      </c>
      <c r="C198" s="52" t="s">
        <v>382</v>
      </c>
      <c r="D198" s="93">
        <v>-74.200916669999998</v>
      </c>
      <c r="E198" s="93">
        <v>4.7923888889999997</v>
      </c>
      <c r="F198" s="48">
        <v>2560</v>
      </c>
      <c r="G198" s="46">
        <v>47</v>
      </c>
      <c r="H198" s="46">
        <v>47798</v>
      </c>
      <c r="I198" s="55" t="s">
        <v>31</v>
      </c>
      <c r="J198" s="55" t="s">
        <v>402</v>
      </c>
      <c r="K198" s="51">
        <v>11</v>
      </c>
      <c r="L198" s="51">
        <v>9.1999999999999993</v>
      </c>
      <c r="M198" s="51">
        <v>10.199999999999999</v>
      </c>
      <c r="N198" s="51">
        <v>10</v>
      </c>
      <c r="O198" s="51">
        <v>10.6</v>
      </c>
      <c r="P198" s="51">
        <v>8.1999999999999993</v>
      </c>
      <c r="Q198" s="51">
        <v>8.6</v>
      </c>
      <c r="R198" s="51">
        <v>7</v>
      </c>
      <c r="S198" s="51">
        <v>11.2</v>
      </c>
      <c r="T198" s="51">
        <v>7.4</v>
      </c>
      <c r="U198" s="51">
        <v>10.8</v>
      </c>
      <c r="V198" s="51">
        <v>9</v>
      </c>
      <c r="W198" s="51">
        <v>7.6</v>
      </c>
      <c r="X198" s="51">
        <v>10</v>
      </c>
      <c r="Y198" s="51">
        <v>8.1999999999999993</v>
      </c>
      <c r="Z198" s="111">
        <v>10.199999999999999</v>
      </c>
      <c r="AA198" s="51">
        <v>9.1999999999999993</v>
      </c>
      <c r="AB198" s="51">
        <v>8.8000000000000007</v>
      </c>
      <c r="AC198" s="51">
        <v>8.1999999999999993</v>
      </c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19</v>
      </c>
      <c r="AQ198" s="89">
        <f t="shared" si="17"/>
        <v>9.2315789473684191</v>
      </c>
      <c r="AR198" s="89">
        <f>IFERROR(VLOOKUP(A198,Climatologia!A:U,9+$E$2,FALSE),"")</f>
        <v>6.8721572322812943</v>
      </c>
      <c r="AS198" s="89">
        <f t="shared" si="18"/>
        <v>2.3594217150871248</v>
      </c>
      <c r="AT198" s="90">
        <f t="shared" si="19"/>
        <v>7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-1.8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33867</v>
      </c>
      <c r="AW198" s="92">
        <f t="shared" si="20"/>
        <v>8.8000000000000007</v>
      </c>
    </row>
    <row r="199" spans="1:49" ht="14.25" customHeight="1" x14ac:dyDescent="0.2">
      <c r="A199" s="48">
        <v>21206020</v>
      </c>
      <c r="B199" s="52" t="s">
        <v>403</v>
      </c>
      <c r="C199" s="52" t="s">
        <v>382</v>
      </c>
      <c r="D199" s="93">
        <v>-74.104833330000005</v>
      </c>
      <c r="E199" s="93">
        <v>4.8985277780000001</v>
      </c>
      <c r="F199" s="48">
        <v>2575</v>
      </c>
      <c r="G199" s="46">
        <v>25</v>
      </c>
      <c r="H199" s="46">
        <v>25785</v>
      </c>
      <c r="I199" s="55" t="s">
        <v>73</v>
      </c>
      <c r="J199" s="55" t="s">
        <v>404</v>
      </c>
      <c r="K199" s="51">
        <v>10</v>
      </c>
      <c r="L199" s="51">
        <v>11</v>
      </c>
      <c r="M199" s="51">
        <v>10</v>
      </c>
      <c r="N199" s="51">
        <v>9.1999999999999993</v>
      </c>
      <c r="O199" s="51">
        <v>6.6</v>
      </c>
      <c r="P199" s="51">
        <v>7</v>
      </c>
      <c r="Q199" s="51">
        <v>9</v>
      </c>
      <c r="R199" s="51"/>
      <c r="S199" s="51">
        <v>7</v>
      </c>
      <c r="T199" s="51"/>
      <c r="U199" s="51">
        <v>8.1999999999999993</v>
      </c>
      <c r="V199" s="51"/>
      <c r="W199" s="51">
        <v>8</v>
      </c>
      <c r="X199" s="51">
        <v>10</v>
      </c>
      <c r="Y199" s="51">
        <v>8.4</v>
      </c>
      <c r="Z199" s="111">
        <v>7.6</v>
      </c>
      <c r="AA199" s="51">
        <v>8</v>
      </c>
      <c r="AB199" s="51">
        <v>7.8</v>
      </c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15</v>
      </c>
      <c r="AQ199" s="89">
        <f t="shared" si="17"/>
        <v>8.5200000000000014</v>
      </c>
      <c r="AR199" s="89">
        <f>IFERROR(VLOOKUP(A199,Climatologia!A:U,9+$E$2,FALSE),"")</f>
        <v>6.8567518092805448</v>
      </c>
      <c r="AS199" s="89">
        <f t="shared" si="18"/>
        <v>1.6632481907194565</v>
      </c>
      <c r="AT199" s="90">
        <f t="shared" si="19"/>
        <v>6.6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-3.4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35690</v>
      </c>
      <c r="AW199" s="92">
        <f t="shared" si="20"/>
        <v>10</v>
      </c>
    </row>
    <row r="200" spans="1:49" ht="14.25" customHeight="1" x14ac:dyDescent="0.2">
      <c r="A200" s="48">
        <v>21206060</v>
      </c>
      <c r="B200" s="52" t="s">
        <v>405</v>
      </c>
      <c r="C200" s="52" t="s">
        <v>382</v>
      </c>
      <c r="D200" s="53">
        <v>-74.253333330000004</v>
      </c>
      <c r="E200" s="53">
        <v>4.7171111110000004</v>
      </c>
      <c r="F200" s="48">
        <v>2575</v>
      </c>
      <c r="G200" s="46">
        <v>25</v>
      </c>
      <c r="H200" s="46">
        <v>25430</v>
      </c>
      <c r="I200" s="55" t="s">
        <v>73</v>
      </c>
      <c r="J200" s="55" t="s">
        <v>406</v>
      </c>
      <c r="K200" s="51">
        <v>10.8</v>
      </c>
      <c r="L200" s="51">
        <v>8.4</v>
      </c>
      <c r="M200" s="51">
        <v>8.1999999999999993</v>
      </c>
      <c r="N200" s="51">
        <v>10.199999999999999</v>
      </c>
      <c r="O200" s="51">
        <v>8.8000000000000007</v>
      </c>
      <c r="P200" s="51">
        <v>7.8</v>
      </c>
      <c r="Q200" s="51">
        <v>6.4</v>
      </c>
      <c r="R200" s="51">
        <v>5.8</v>
      </c>
      <c r="S200" s="51">
        <v>10.8</v>
      </c>
      <c r="T200" s="51">
        <v>7.4</v>
      </c>
      <c r="U200" s="51">
        <v>8.4</v>
      </c>
      <c r="V200" s="51">
        <v>8.1999999999999993</v>
      </c>
      <c r="W200" s="51">
        <v>6.4</v>
      </c>
      <c r="X200" s="51">
        <v>9.4</v>
      </c>
      <c r="Y200" s="51">
        <v>7.4</v>
      </c>
      <c r="Z200" s="111">
        <v>10.4</v>
      </c>
      <c r="AA200" s="51">
        <v>6.6</v>
      </c>
      <c r="AB200" s="51">
        <v>7.8</v>
      </c>
      <c r="AC200" s="51">
        <v>6</v>
      </c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19</v>
      </c>
      <c r="AQ200" s="89">
        <f t="shared" si="17"/>
        <v>8.1684210526315812</v>
      </c>
      <c r="AR200" s="89">
        <f>IFERROR(VLOOKUP(A200,Climatologia!A:U,9+$E$2,FALSE),"")</f>
        <v>6.3417884368241078</v>
      </c>
      <c r="AS200" s="89">
        <f t="shared" si="18"/>
        <v>1.8266326158074735</v>
      </c>
      <c r="AT200" s="90">
        <f t="shared" si="19"/>
        <v>5.8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-0.6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35690</v>
      </c>
      <c r="AW200" s="92">
        <f t="shared" si="20"/>
        <v>6.3999999999999995</v>
      </c>
    </row>
    <row r="201" spans="1:49" ht="14.25" customHeight="1" x14ac:dyDescent="0.2">
      <c r="A201" s="48">
        <v>21206260</v>
      </c>
      <c r="B201" s="52" t="s">
        <v>407</v>
      </c>
      <c r="C201" s="52" t="s">
        <v>382</v>
      </c>
      <c r="D201" s="93">
        <v>-74.049722220000007</v>
      </c>
      <c r="E201" s="93">
        <v>4.7986388890000002</v>
      </c>
      <c r="F201" s="48">
        <v>2570</v>
      </c>
      <c r="G201" s="46">
        <v>11</v>
      </c>
      <c r="H201" s="46">
        <v>11001</v>
      </c>
      <c r="I201" s="55" t="s">
        <v>408</v>
      </c>
      <c r="J201" s="55" t="s">
        <v>409</v>
      </c>
      <c r="K201" s="51">
        <v>10.6</v>
      </c>
      <c r="L201" s="51">
        <v>10</v>
      </c>
      <c r="M201" s="51">
        <v>9.6</v>
      </c>
      <c r="N201" s="51">
        <v>9.1999999999999993</v>
      </c>
      <c r="O201" s="51">
        <v>9.6</v>
      </c>
      <c r="P201" s="51">
        <v>9.6</v>
      </c>
      <c r="Q201" s="51">
        <v>8.4</v>
      </c>
      <c r="R201" s="51">
        <v>7</v>
      </c>
      <c r="S201" s="51">
        <v>9.8000000000000007</v>
      </c>
      <c r="T201" s="51">
        <v>8.4</v>
      </c>
      <c r="U201" s="51">
        <v>9.6</v>
      </c>
      <c r="V201" s="51">
        <v>9</v>
      </c>
      <c r="W201" s="51"/>
      <c r="X201" s="51">
        <v>8.4</v>
      </c>
      <c r="Y201" s="51">
        <v>8</v>
      </c>
      <c r="Z201" s="111">
        <v>9.6</v>
      </c>
      <c r="AA201" s="51">
        <v>8</v>
      </c>
      <c r="AB201" s="51">
        <v>9.4</v>
      </c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17</v>
      </c>
      <c r="AQ201" s="89">
        <f t="shared" si="17"/>
        <v>9.0705882352941192</v>
      </c>
      <c r="AR201" s="89">
        <f>IFERROR(VLOOKUP(A201,Climatologia!A:U,9+$E$2,FALSE),"")</f>
        <v>7.0236414292537948</v>
      </c>
      <c r="AS201" s="89">
        <f t="shared" si="18"/>
        <v>2.0469468060403244</v>
      </c>
      <c r="AT201" s="90">
        <f t="shared" si="19"/>
        <v>7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0.2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33849</v>
      </c>
      <c r="AW201" s="92">
        <f t="shared" si="20"/>
        <v>6.8</v>
      </c>
    </row>
    <row r="202" spans="1:49" ht="14.25" customHeight="1" x14ac:dyDescent="0.2">
      <c r="A202" s="48">
        <v>21206600</v>
      </c>
      <c r="B202" s="52" t="s">
        <v>410</v>
      </c>
      <c r="C202" s="52" t="s">
        <v>382</v>
      </c>
      <c r="D202" s="53">
        <v>-74.102247000000006</v>
      </c>
      <c r="E202" s="53">
        <v>4.786594</v>
      </c>
      <c r="F202" s="48">
        <v>2590</v>
      </c>
      <c r="G202" s="46">
        <v>11</v>
      </c>
      <c r="H202" s="46">
        <v>11001</v>
      </c>
      <c r="I202" s="55" t="s">
        <v>408</v>
      </c>
      <c r="J202" s="55" t="s">
        <v>409</v>
      </c>
      <c r="K202" s="51">
        <v>9.8000000000000007</v>
      </c>
      <c r="L202" s="51">
        <v>8.6</v>
      </c>
      <c r="M202" s="51">
        <v>8.6</v>
      </c>
      <c r="N202" s="51">
        <v>9.8000000000000007</v>
      </c>
      <c r="O202" s="51">
        <v>9</v>
      </c>
      <c r="P202" s="51">
        <v>6.8</v>
      </c>
      <c r="Q202" s="51">
        <v>8.4</v>
      </c>
      <c r="R202" s="51">
        <v>6.2</v>
      </c>
      <c r="S202" s="51">
        <v>9.6</v>
      </c>
      <c r="T202" s="51">
        <v>8.1999999999999993</v>
      </c>
      <c r="U202" s="51">
        <v>9.8000000000000007</v>
      </c>
      <c r="V202" s="51">
        <v>8.4</v>
      </c>
      <c r="W202" s="51">
        <v>8.1999999999999993</v>
      </c>
      <c r="X202" s="51">
        <v>7.8</v>
      </c>
      <c r="Y202" s="51">
        <v>8</v>
      </c>
      <c r="Z202" s="111">
        <v>9.4</v>
      </c>
      <c r="AA202" s="51">
        <v>7.4</v>
      </c>
      <c r="AB202" s="51">
        <v>7.8</v>
      </c>
      <c r="AC202" s="51">
        <v>8.8000000000000007</v>
      </c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19</v>
      </c>
      <c r="AQ202" s="89">
        <f t="shared" si="17"/>
        <v>8.4526315789473703</v>
      </c>
      <c r="AR202" s="89">
        <f>IFERROR(VLOOKUP(A202,Climatologia!A:U,9+$E$2,FALSE),"")</f>
        <v>8.052510832141536</v>
      </c>
      <c r="AS202" s="89">
        <f t="shared" si="18"/>
        <v>0.40012074680583432</v>
      </c>
      <c r="AT202" s="90">
        <f t="shared" si="19"/>
        <v>6.2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1.2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40800</v>
      </c>
      <c r="AW202" s="92">
        <f t="shared" si="20"/>
        <v>5</v>
      </c>
    </row>
    <row r="203" spans="1:49" ht="14.25" customHeight="1" x14ac:dyDescent="0.2">
      <c r="A203" s="48">
        <v>21206650</v>
      </c>
      <c r="B203" s="52" t="s">
        <v>411</v>
      </c>
      <c r="C203" s="52" t="s">
        <v>382</v>
      </c>
      <c r="D203" s="53">
        <v>-74.088222221999999</v>
      </c>
      <c r="E203" s="53">
        <v>4.5167527779999999</v>
      </c>
      <c r="F203" s="48">
        <v>3100</v>
      </c>
      <c r="G203" s="46">
        <v>11</v>
      </c>
      <c r="H203" s="46">
        <v>11001</v>
      </c>
      <c r="I203" s="55" t="s">
        <v>408</v>
      </c>
      <c r="J203" s="55" t="s">
        <v>409</v>
      </c>
      <c r="K203" s="51">
        <v>6</v>
      </c>
      <c r="L203" s="51">
        <v>5.4</v>
      </c>
      <c r="M203" s="51">
        <v>5.6</v>
      </c>
      <c r="N203" s="51">
        <v>5.2</v>
      </c>
      <c r="O203" s="51">
        <v>6.2</v>
      </c>
      <c r="P203" s="51">
        <v>5.6</v>
      </c>
      <c r="Q203" s="51">
        <v>5.2</v>
      </c>
      <c r="R203" s="51">
        <v>4.8</v>
      </c>
      <c r="S203" s="51">
        <v>5</v>
      </c>
      <c r="T203" s="51">
        <v>5.4</v>
      </c>
      <c r="U203" s="51">
        <v>5</v>
      </c>
      <c r="V203" s="51">
        <v>5.8</v>
      </c>
      <c r="W203" s="51">
        <v>5.2</v>
      </c>
      <c r="X203" s="51">
        <v>5.4</v>
      </c>
      <c r="Y203" s="51">
        <v>5.8</v>
      </c>
      <c r="Z203" s="111">
        <v>5.2</v>
      </c>
      <c r="AA203" s="51">
        <v>4.2</v>
      </c>
      <c r="AB203" s="51">
        <v>4.8</v>
      </c>
      <c r="AC203" s="51">
        <v>5.4</v>
      </c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19</v>
      </c>
      <c r="AQ203" s="89">
        <f t="shared" si="17"/>
        <v>5.3263157894736848</v>
      </c>
      <c r="AR203" s="89" t="str">
        <f>IFERROR(VLOOKUP(A203,Climatologia!A:U,9+$E$2,FALSE),"")</f>
        <v/>
      </c>
      <c r="AS203" s="89" t="str">
        <f t="shared" si="18"/>
        <v/>
      </c>
      <c r="AT203" s="90">
        <f t="shared" si="19"/>
        <v>4.2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3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44104</v>
      </c>
      <c r="AW203" s="92">
        <f t="shared" si="20"/>
        <v>1.2000000000000002</v>
      </c>
    </row>
    <row r="204" spans="1:49" ht="14.25" customHeight="1" x14ac:dyDescent="0.2">
      <c r="A204" s="48">
        <v>23065110</v>
      </c>
      <c r="B204" s="52" t="s">
        <v>412</v>
      </c>
      <c r="C204" s="52" t="s">
        <v>382</v>
      </c>
      <c r="D204" s="53">
        <v>-74.351249999999993</v>
      </c>
      <c r="E204" s="53">
        <v>5.4812099999999999</v>
      </c>
      <c r="F204" s="48">
        <v>1347</v>
      </c>
      <c r="G204" s="46">
        <v>25</v>
      </c>
      <c r="H204" s="46">
        <v>25885</v>
      </c>
      <c r="I204" s="55" t="s">
        <v>73</v>
      </c>
      <c r="J204" s="55" t="s">
        <v>413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0</v>
      </c>
      <c r="AQ204" s="89" t="str">
        <f t="shared" si="17"/>
        <v/>
      </c>
      <c r="AR204" s="89">
        <f>IFERROR(VLOOKUP(A204,Climatologia!A:U,9+$E$2,FALSE),"")</f>
        <v>17.734083083854891</v>
      </c>
      <c r="AS204" s="89" t="str">
        <f t="shared" si="18"/>
        <v/>
      </c>
      <c r="AT204" s="90" t="str">
        <f t="shared" si="19"/>
        <v/>
      </c>
      <c r="AU204" s="90" t="str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/>
      </c>
      <c r="AV204" s="91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4" s="92" t="str">
        <f t="shared" si="20"/>
        <v>NA</v>
      </c>
    </row>
    <row r="205" spans="1:49" ht="14.25" customHeight="1" x14ac:dyDescent="0.2">
      <c r="A205" s="48">
        <v>24015120</v>
      </c>
      <c r="B205" s="52" t="s">
        <v>414</v>
      </c>
      <c r="C205" s="52" t="s">
        <v>382</v>
      </c>
      <c r="D205" s="53">
        <v>-73.734805559999998</v>
      </c>
      <c r="E205" s="53">
        <v>5.4672777779999997</v>
      </c>
      <c r="F205" s="48">
        <v>2580</v>
      </c>
      <c r="G205" s="46">
        <v>25</v>
      </c>
      <c r="H205" s="46">
        <v>25288</v>
      </c>
      <c r="I205" s="55" t="s">
        <v>73</v>
      </c>
      <c r="J205" s="55" t="s">
        <v>415</v>
      </c>
      <c r="K205" s="51">
        <v>9.8000000000000007</v>
      </c>
      <c r="L205" s="51">
        <v>10.6</v>
      </c>
      <c r="M205" s="51">
        <v>11.6</v>
      </c>
      <c r="N205" s="51">
        <v>9.8000000000000007</v>
      </c>
      <c r="O205" s="51">
        <v>10.6</v>
      </c>
      <c r="P205" s="51">
        <v>11</v>
      </c>
      <c r="Q205" s="51">
        <v>10.4</v>
      </c>
      <c r="R205" s="51">
        <v>7.8</v>
      </c>
      <c r="S205" s="51">
        <v>13.2</v>
      </c>
      <c r="T205" s="51">
        <v>11.6</v>
      </c>
      <c r="U205" s="51">
        <v>11.6</v>
      </c>
      <c r="V205" s="51">
        <v>9.6</v>
      </c>
      <c r="W205" s="51">
        <v>10.199999999999999</v>
      </c>
      <c r="X205" s="51">
        <v>11</v>
      </c>
      <c r="Y205" s="51">
        <v>10.8</v>
      </c>
      <c r="Z205" s="111">
        <v>11.8</v>
      </c>
      <c r="AA205" s="51">
        <v>11</v>
      </c>
      <c r="AB205" s="51">
        <v>12.2</v>
      </c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18</v>
      </c>
      <c r="AQ205" s="89">
        <f t="shared" si="17"/>
        <v>10.81111111111111</v>
      </c>
      <c r="AR205" s="89">
        <f>IFERROR(VLOOKUP(A205,Climatologia!A:U,9+$E$2,FALSE),"")</f>
        <v>8.9660145437485337</v>
      </c>
      <c r="AS205" s="89">
        <f t="shared" si="18"/>
        <v>1.8450965673625763</v>
      </c>
      <c r="AT205" s="90">
        <f t="shared" si="19"/>
        <v>7.8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1.1000000000000001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40085</v>
      </c>
      <c r="AW205" s="92">
        <f t="shared" si="20"/>
        <v>6.6999999999999993</v>
      </c>
    </row>
    <row r="206" spans="1:49" ht="14.25" customHeight="1" x14ac:dyDescent="0.2">
      <c r="A206" s="48">
        <v>35025060</v>
      </c>
      <c r="B206" s="52" t="s">
        <v>416</v>
      </c>
      <c r="C206" s="52" t="s">
        <v>382</v>
      </c>
      <c r="D206" s="53">
        <v>-73.995885000000001</v>
      </c>
      <c r="E206" s="53">
        <v>4.587059</v>
      </c>
      <c r="F206" s="48">
        <v>3195</v>
      </c>
      <c r="G206" s="46">
        <v>25</v>
      </c>
      <c r="H206" s="46">
        <v>25181</v>
      </c>
      <c r="I206" s="55" t="s">
        <v>73</v>
      </c>
      <c r="J206" s="55" t="s">
        <v>417</v>
      </c>
      <c r="K206" s="51">
        <v>7</v>
      </c>
      <c r="L206" s="51">
        <v>5.8</v>
      </c>
      <c r="M206" s="51">
        <v>7</v>
      </c>
      <c r="N206" s="51">
        <v>6</v>
      </c>
      <c r="O206" s="51">
        <v>5.2</v>
      </c>
      <c r="P206" s="51">
        <v>5.4</v>
      </c>
      <c r="Q206" s="51">
        <v>5.4</v>
      </c>
      <c r="R206" s="51">
        <v>4.8</v>
      </c>
      <c r="S206" s="51">
        <v>5</v>
      </c>
      <c r="T206" s="51">
        <v>4.4000000000000004</v>
      </c>
      <c r="U206" s="51">
        <v>6</v>
      </c>
      <c r="V206" s="51">
        <v>6</v>
      </c>
      <c r="W206" s="51">
        <v>6</v>
      </c>
      <c r="X206" s="51">
        <v>6.6</v>
      </c>
      <c r="Y206" s="51">
        <v>6.8</v>
      </c>
      <c r="Z206" s="111">
        <v>6.4</v>
      </c>
      <c r="AA206" s="51">
        <v>6.6</v>
      </c>
      <c r="AB206" s="51">
        <v>5.8</v>
      </c>
      <c r="AC206" s="51">
        <v>7</v>
      </c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19</v>
      </c>
      <c r="AQ206" s="89">
        <f t="shared" si="17"/>
        <v>5.9578947368421042</v>
      </c>
      <c r="AR206" s="89">
        <f>IFERROR(VLOOKUP(A206,Climatologia!A:U,9+$E$2,FALSE),"")</f>
        <v>4.9011609803563827</v>
      </c>
      <c r="AS206" s="89">
        <f t="shared" si="18"/>
        <v>1.0567337564857215</v>
      </c>
      <c r="AT206" s="90">
        <f t="shared" si="19"/>
        <v>4.4000000000000004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0.2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36045</v>
      </c>
      <c r="AW206" s="92">
        <f t="shared" si="20"/>
        <v>4.2</v>
      </c>
    </row>
    <row r="207" spans="1:49" ht="14.25" customHeight="1" x14ac:dyDescent="0.2">
      <c r="A207" s="48">
        <v>47075010</v>
      </c>
      <c r="B207" s="52" t="s">
        <v>418</v>
      </c>
      <c r="C207" s="52" t="s">
        <v>382</v>
      </c>
      <c r="D207" s="53">
        <v>-72.789583332999996</v>
      </c>
      <c r="E207" s="53">
        <v>-1.4446111109999999</v>
      </c>
      <c r="F207" s="48">
        <v>160</v>
      </c>
      <c r="G207" s="46">
        <v>91</v>
      </c>
      <c r="H207" s="46">
        <v>91405</v>
      </c>
      <c r="I207" s="55" t="s">
        <v>98</v>
      </c>
      <c r="J207" s="55" t="s">
        <v>418</v>
      </c>
      <c r="K207" s="51">
        <v>23</v>
      </c>
      <c r="L207" s="51">
        <v>23.2</v>
      </c>
      <c r="M207" s="51">
        <v>23</v>
      </c>
      <c r="N207" s="51">
        <v>23.2</v>
      </c>
      <c r="O207" s="51">
        <v>23.6</v>
      </c>
      <c r="P207" s="51">
        <v>23.2</v>
      </c>
      <c r="Q207" s="51">
        <v>23.8</v>
      </c>
      <c r="R207" s="51">
        <v>23.4</v>
      </c>
      <c r="S207" s="51">
        <v>24</v>
      </c>
      <c r="T207" s="51">
        <v>24.2</v>
      </c>
      <c r="U207" s="51">
        <v>23</v>
      </c>
      <c r="V207" s="51">
        <v>23.4</v>
      </c>
      <c r="W207" s="51">
        <v>22.6</v>
      </c>
      <c r="X207" s="51">
        <v>23.2</v>
      </c>
      <c r="Y207" s="51">
        <v>20</v>
      </c>
      <c r="Z207" s="111">
        <v>21.4</v>
      </c>
      <c r="AA207" s="51">
        <v>21.6</v>
      </c>
      <c r="AB207" s="51">
        <v>21.4</v>
      </c>
      <c r="AC207" s="51">
        <v>21.6</v>
      </c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19</v>
      </c>
      <c r="AQ207" s="89">
        <f t="shared" si="17"/>
        <v>22.778947368421054</v>
      </c>
      <c r="AR207" s="89" t="str">
        <f>IFERROR(VLOOKUP(A207,Climatologia!A:U,9+$E$2,FALSE),"")</f>
        <v/>
      </c>
      <c r="AS207" s="89" t="str">
        <f t="shared" si="18"/>
        <v/>
      </c>
      <c r="AT207" s="90">
        <f t="shared" si="19"/>
        <v>20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18.2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37877</v>
      </c>
      <c r="AW207" s="92">
        <f t="shared" si="20"/>
        <v>1.8000000000000007</v>
      </c>
    </row>
    <row r="208" spans="1:49" x14ac:dyDescent="0.25">
      <c r="Z208" s="110"/>
      <c r="AB208" s="84"/>
      <c r="AC208" s="84"/>
      <c r="AD208" s="84"/>
      <c r="AE208" s="84"/>
      <c r="AF208" s="84"/>
      <c r="AG208" s="76"/>
      <c r="AH208" s="95"/>
      <c r="AI208" s="95"/>
      <c r="AJ208" s="95"/>
      <c r="AK208" s="95"/>
      <c r="AL208" s="95"/>
      <c r="AM208" s="95"/>
      <c r="AN208" s="95"/>
      <c r="AO208" s="95"/>
      <c r="AP208" s="96"/>
      <c r="AQ208" s="96"/>
    </row>
  </sheetData>
  <conditionalFormatting sqref="K5:AO207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8">
    <cfRule type="cellIs" dxfId="12" priority="84" stopIfTrue="1" operator="equal">
      <formula>1</formula>
    </cfRule>
  </conditionalFormatting>
  <conditionalFormatting sqref="AP5:AP207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7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7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419</v>
      </c>
      <c r="B1" s="106"/>
      <c r="C1" s="106"/>
      <c r="D1" s="106"/>
      <c r="E1" s="106"/>
      <c r="F1" s="106"/>
      <c r="G1" s="106"/>
      <c r="H1" s="106"/>
      <c r="I1" s="104"/>
      <c r="J1" s="107" t="s">
        <v>420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21" t="s">
        <v>421</v>
      </c>
      <c r="X1" s="122"/>
    </row>
    <row r="2" spans="1:24" ht="24.6" customHeight="1" thickBot="1" x14ac:dyDescent="0.25">
      <c r="A2" s="1" t="s">
        <v>422</v>
      </c>
      <c r="B2" s="2" t="s">
        <v>423</v>
      </c>
      <c r="C2" s="2" t="s">
        <v>424</v>
      </c>
      <c r="D2" s="2" t="s">
        <v>15</v>
      </c>
      <c r="E2" s="2" t="s">
        <v>14</v>
      </c>
      <c r="F2" s="3" t="s">
        <v>425</v>
      </c>
      <c r="G2" s="2" t="s">
        <v>426</v>
      </c>
      <c r="H2" s="4" t="s">
        <v>427</v>
      </c>
      <c r="I2" s="5" t="s">
        <v>428</v>
      </c>
      <c r="J2" s="6" t="s">
        <v>429</v>
      </c>
      <c r="K2" s="2" t="s">
        <v>430</v>
      </c>
      <c r="L2" s="2" t="s">
        <v>431</v>
      </c>
      <c r="M2" s="2" t="s">
        <v>432</v>
      </c>
      <c r="N2" s="2" t="s">
        <v>433</v>
      </c>
      <c r="O2" s="2" t="s">
        <v>434</v>
      </c>
      <c r="P2" s="2" t="s">
        <v>435</v>
      </c>
      <c r="Q2" s="2" t="s">
        <v>436</v>
      </c>
      <c r="R2" s="2" t="s">
        <v>437</v>
      </c>
      <c r="S2" s="2" t="s">
        <v>438</v>
      </c>
      <c r="T2" s="2" t="s">
        <v>439</v>
      </c>
      <c r="U2" s="2" t="s">
        <v>440</v>
      </c>
      <c r="V2" s="7" t="s">
        <v>441</v>
      </c>
      <c r="W2" s="8" t="s">
        <v>442</v>
      </c>
      <c r="X2" s="9" t="s">
        <v>443</v>
      </c>
    </row>
    <row r="3" spans="1:24" ht="13.9" customHeight="1" x14ac:dyDescent="0.2">
      <c r="A3" s="10">
        <v>48015050</v>
      </c>
      <c r="B3" s="11" t="s">
        <v>444</v>
      </c>
      <c r="C3" s="11" t="s">
        <v>97</v>
      </c>
      <c r="D3" s="11" t="s">
        <v>99</v>
      </c>
      <c r="E3" s="11" t="s">
        <v>98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445</v>
      </c>
      <c r="C4" s="11" t="s">
        <v>105</v>
      </c>
      <c r="D4" s="11" t="s">
        <v>105</v>
      </c>
      <c r="E4" s="11" t="s">
        <v>57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446</v>
      </c>
      <c r="C5" s="11" t="s">
        <v>447</v>
      </c>
      <c r="D5" s="11" t="s">
        <v>448</v>
      </c>
      <c r="E5" s="11" t="s">
        <v>57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445</v>
      </c>
      <c r="C6" s="11" t="s">
        <v>449</v>
      </c>
      <c r="D6" s="11" t="s">
        <v>449</v>
      </c>
      <c r="E6" s="11" t="s">
        <v>57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450</v>
      </c>
      <c r="C7" s="11" t="s">
        <v>102</v>
      </c>
      <c r="D7" s="11" t="s">
        <v>103</v>
      </c>
      <c r="E7" s="11" t="s">
        <v>57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445</v>
      </c>
      <c r="C8" s="19" t="s">
        <v>113</v>
      </c>
      <c r="D8" s="11" t="s">
        <v>114</v>
      </c>
      <c r="E8" s="11" t="s">
        <v>57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445</v>
      </c>
      <c r="C9" s="11" t="s">
        <v>451</v>
      </c>
      <c r="D9" s="11" t="s">
        <v>452</v>
      </c>
      <c r="E9" s="11" t="s">
        <v>57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450</v>
      </c>
      <c r="C10" s="11" t="s">
        <v>115</v>
      </c>
      <c r="D10" s="11" t="s">
        <v>453</v>
      </c>
      <c r="E10" s="11" t="s">
        <v>57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445</v>
      </c>
      <c r="C11" s="11" t="s">
        <v>454</v>
      </c>
      <c r="D11" s="11" t="s">
        <v>455</v>
      </c>
      <c r="E11" s="11" t="s">
        <v>57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444</v>
      </c>
      <c r="C12" s="11" t="s">
        <v>56</v>
      </c>
      <c r="D12" s="11" t="s">
        <v>58</v>
      </c>
      <c r="E12" s="11" t="s">
        <v>57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445</v>
      </c>
      <c r="C13" s="11" t="s">
        <v>456</v>
      </c>
      <c r="D13" s="11" t="s">
        <v>58</v>
      </c>
      <c r="E13" s="11" t="s">
        <v>57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445</v>
      </c>
      <c r="C14" s="11" t="s">
        <v>457</v>
      </c>
      <c r="D14" s="11" t="s">
        <v>458</v>
      </c>
      <c r="E14" s="11" t="s">
        <v>57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445</v>
      </c>
      <c r="C15" s="11" t="s">
        <v>459</v>
      </c>
      <c r="D15" s="11" t="s">
        <v>460</v>
      </c>
      <c r="E15" s="11" t="s">
        <v>57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445</v>
      </c>
      <c r="C16" s="11" t="s">
        <v>108</v>
      </c>
      <c r="D16" s="11" t="s">
        <v>109</v>
      </c>
      <c r="E16" s="11" t="s">
        <v>57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445</v>
      </c>
      <c r="C17" s="11" t="s">
        <v>461</v>
      </c>
      <c r="D17" s="11" t="s">
        <v>462</v>
      </c>
      <c r="E17" s="11" t="s">
        <v>57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445</v>
      </c>
      <c r="C18" s="11" t="s">
        <v>463</v>
      </c>
      <c r="D18" s="11" t="s">
        <v>464</v>
      </c>
      <c r="E18" s="11" t="s">
        <v>57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445</v>
      </c>
      <c r="C19" s="11" t="s">
        <v>110</v>
      </c>
      <c r="D19" s="11" t="s">
        <v>465</v>
      </c>
      <c r="E19" s="11" t="s">
        <v>57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444</v>
      </c>
      <c r="C20" s="11" t="s">
        <v>59</v>
      </c>
      <c r="D20" s="11" t="s">
        <v>60</v>
      </c>
      <c r="E20" s="11" t="s">
        <v>57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445</v>
      </c>
      <c r="C21" s="11" t="s">
        <v>466</v>
      </c>
      <c r="D21" s="11" t="s">
        <v>467</v>
      </c>
      <c r="E21" s="11" t="s">
        <v>57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445</v>
      </c>
      <c r="C22" s="11" t="s">
        <v>468</v>
      </c>
      <c r="D22" s="11" t="s">
        <v>469</v>
      </c>
      <c r="E22" s="11" t="s">
        <v>57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445</v>
      </c>
      <c r="C23" s="11" t="s">
        <v>470</v>
      </c>
      <c r="D23" s="11" t="s">
        <v>107</v>
      </c>
      <c r="E23" s="11" t="s">
        <v>57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471</v>
      </c>
      <c r="C24" s="11" t="s">
        <v>472</v>
      </c>
      <c r="D24" s="11" t="s">
        <v>473</v>
      </c>
      <c r="E24" s="11" t="s">
        <v>57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445</v>
      </c>
      <c r="C25" s="11" t="s">
        <v>474</v>
      </c>
      <c r="D25" s="11" t="s">
        <v>475</v>
      </c>
      <c r="E25" s="11" t="s">
        <v>57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444</v>
      </c>
      <c r="C26" s="11" t="s">
        <v>61</v>
      </c>
      <c r="D26" s="11" t="s">
        <v>476</v>
      </c>
      <c r="E26" s="11" t="s">
        <v>57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450</v>
      </c>
      <c r="C27" s="11" t="s">
        <v>477</v>
      </c>
      <c r="D27" s="11" t="s">
        <v>476</v>
      </c>
      <c r="E27" s="11" t="s">
        <v>57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471</v>
      </c>
      <c r="C28" s="11" t="s">
        <v>478</v>
      </c>
      <c r="D28" s="11" t="s">
        <v>479</v>
      </c>
      <c r="E28" s="11" t="s">
        <v>57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445</v>
      </c>
      <c r="C29" s="11" t="s">
        <v>480</v>
      </c>
      <c r="D29" s="11" t="s">
        <v>481</v>
      </c>
      <c r="E29" s="11" t="s">
        <v>57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471</v>
      </c>
      <c r="C30" s="11" t="s">
        <v>482</v>
      </c>
      <c r="D30" s="11" t="s">
        <v>483</v>
      </c>
      <c r="E30" s="11" t="s">
        <v>57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471</v>
      </c>
      <c r="C31" s="11" t="s">
        <v>484</v>
      </c>
      <c r="D31" s="11" t="s">
        <v>485</v>
      </c>
      <c r="E31" s="11" t="s">
        <v>57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445</v>
      </c>
      <c r="C32" s="11" t="s">
        <v>486</v>
      </c>
      <c r="D32" s="11" t="s">
        <v>487</v>
      </c>
      <c r="E32" s="11" t="s">
        <v>57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450</v>
      </c>
      <c r="C33" s="11" t="s">
        <v>488</v>
      </c>
      <c r="D33" s="11" t="s">
        <v>489</v>
      </c>
      <c r="E33" s="11" t="s">
        <v>57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445</v>
      </c>
      <c r="C34" s="35" t="s">
        <v>490</v>
      </c>
      <c r="D34" s="35" t="s">
        <v>491</v>
      </c>
      <c r="E34" s="21" t="s">
        <v>57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445</v>
      </c>
      <c r="C35" s="35" t="s">
        <v>492</v>
      </c>
      <c r="D35" s="35" t="s">
        <v>493</v>
      </c>
      <c r="E35" s="21" t="s">
        <v>57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494</v>
      </c>
      <c r="C36" s="35" t="s">
        <v>495</v>
      </c>
      <c r="D36" s="35" t="s">
        <v>496</v>
      </c>
      <c r="E36" s="21" t="s">
        <v>57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471</v>
      </c>
      <c r="C37" s="35" t="s">
        <v>497</v>
      </c>
      <c r="D37" s="35" t="s">
        <v>498</v>
      </c>
      <c r="E37" s="21" t="s">
        <v>57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445</v>
      </c>
      <c r="C38" s="35" t="s">
        <v>499</v>
      </c>
      <c r="D38" s="35" t="s">
        <v>500</v>
      </c>
      <c r="E38" s="21" t="s">
        <v>57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445</v>
      </c>
      <c r="C39" s="35" t="s">
        <v>100</v>
      </c>
      <c r="D39" s="35" t="s">
        <v>100</v>
      </c>
      <c r="E39" s="21" t="s">
        <v>57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445</v>
      </c>
      <c r="C40" s="35" t="s">
        <v>366</v>
      </c>
      <c r="D40" s="35" t="s">
        <v>501</v>
      </c>
      <c r="E40" s="21" t="s">
        <v>57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445</v>
      </c>
      <c r="C41" s="35" t="s">
        <v>502</v>
      </c>
      <c r="D41" s="35" t="s">
        <v>502</v>
      </c>
      <c r="E41" s="21" t="s">
        <v>57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444</v>
      </c>
      <c r="C42" s="35" t="s">
        <v>89</v>
      </c>
      <c r="D42" s="35" t="s">
        <v>90</v>
      </c>
      <c r="E42" s="21" t="s">
        <v>90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445</v>
      </c>
      <c r="C43" s="35" t="s">
        <v>259</v>
      </c>
      <c r="D43" s="35" t="s">
        <v>259</v>
      </c>
      <c r="E43" s="21" t="s">
        <v>90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444</v>
      </c>
      <c r="C44" s="35" t="s">
        <v>28</v>
      </c>
      <c r="D44" s="35" t="s">
        <v>29</v>
      </c>
      <c r="E44" s="21" t="s">
        <v>26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444</v>
      </c>
      <c r="C45" s="35" t="s">
        <v>24</v>
      </c>
      <c r="D45" s="35" t="s">
        <v>27</v>
      </c>
      <c r="E45" s="21" t="s">
        <v>26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445</v>
      </c>
      <c r="C46" s="35" t="s">
        <v>503</v>
      </c>
      <c r="D46" s="35" t="s">
        <v>503</v>
      </c>
      <c r="E46" s="21" t="s">
        <v>37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471</v>
      </c>
      <c r="C47" s="35" t="s">
        <v>504</v>
      </c>
      <c r="D47" s="35" t="s">
        <v>147</v>
      </c>
      <c r="E47" s="21" t="s">
        <v>37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471</v>
      </c>
      <c r="C48" s="35" t="s">
        <v>505</v>
      </c>
      <c r="D48" s="35" t="s">
        <v>506</v>
      </c>
      <c r="E48" s="21" t="s">
        <v>37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444</v>
      </c>
      <c r="C49" s="35" t="s">
        <v>36</v>
      </c>
      <c r="D49" s="35" t="s">
        <v>38</v>
      </c>
      <c r="E49" s="21" t="s">
        <v>37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444</v>
      </c>
      <c r="C50" s="35" t="s">
        <v>33</v>
      </c>
      <c r="D50" s="35" t="s">
        <v>35</v>
      </c>
      <c r="E50" s="21" t="s">
        <v>34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450</v>
      </c>
      <c r="C51" s="35" t="s">
        <v>507</v>
      </c>
      <c r="D51" s="35" t="s">
        <v>508</v>
      </c>
      <c r="E51" s="21" t="s">
        <v>34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471</v>
      </c>
      <c r="C52" s="35" t="s">
        <v>509</v>
      </c>
      <c r="D52" s="35" t="s">
        <v>510</v>
      </c>
      <c r="E52" s="21" t="s">
        <v>34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445</v>
      </c>
      <c r="C53" s="35" t="s">
        <v>148</v>
      </c>
      <c r="D53" s="35" t="s">
        <v>145</v>
      </c>
      <c r="E53" s="21" t="s">
        <v>34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445</v>
      </c>
      <c r="C54" s="35" t="s">
        <v>511</v>
      </c>
      <c r="D54" s="35" t="s">
        <v>148</v>
      </c>
      <c r="E54" s="21" t="s">
        <v>34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445</v>
      </c>
      <c r="C55" s="35" t="s">
        <v>512</v>
      </c>
      <c r="D55" s="35" t="s">
        <v>513</v>
      </c>
      <c r="E55" s="21" t="s">
        <v>34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445</v>
      </c>
      <c r="C56" s="35" t="s">
        <v>514</v>
      </c>
      <c r="D56" s="35" t="s">
        <v>513</v>
      </c>
      <c r="E56" s="21" t="s">
        <v>34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445</v>
      </c>
      <c r="C57" s="35" t="s">
        <v>515</v>
      </c>
      <c r="D57" s="35" t="s">
        <v>516</v>
      </c>
      <c r="E57" s="21" t="s">
        <v>212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450</v>
      </c>
      <c r="C58" s="35" t="s">
        <v>235</v>
      </c>
      <c r="D58" s="35" t="s">
        <v>235</v>
      </c>
      <c r="E58" s="21" t="s">
        <v>212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471</v>
      </c>
      <c r="C59" s="35" t="s">
        <v>210</v>
      </c>
      <c r="D59" s="35" t="s">
        <v>517</v>
      </c>
      <c r="E59" s="21" t="s">
        <v>212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445</v>
      </c>
      <c r="C60" s="35" t="s">
        <v>248</v>
      </c>
      <c r="D60" s="35" t="s">
        <v>248</v>
      </c>
      <c r="E60" s="21" t="s">
        <v>212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445</v>
      </c>
      <c r="C61" s="35" t="s">
        <v>236</v>
      </c>
      <c r="D61" s="35" t="s">
        <v>236</v>
      </c>
      <c r="E61" s="21" t="s">
        <v>212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445</v>
      </c>
      <c r="C62" s="35" t="s">
        <v>234</v>
      </c>
      <c r="D62" s="35" t="s">
        <v>234</v>
      </c>
      <c r="E62" s="21" t="s">
        <v>212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445</v>
      </c>
      <c r="C63" s="35" t="s">
        <v>518</v>
      </c>
      <c r="D63" s="35" t="s">
        <v>232</v>
      </c>
      <c r="E63" s="21" t="s">
        <v>212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445</v>
      </c>
      <c r="C64" s="35" t="s">
        <v>519</v>
      </c>
      <c r="D64" s="35" t="s">
        <v>520</v>
      </c>
      <c r="E64" s="21" t="s">
        <v>212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450</v>
      </c>
      <c r="C65" s="35" t="s">
        <v>227</v>
      </c>
      <c r="D65" s="35" t="s">
        <v>228</v>
      </c>
      <c r="E65" s="21" t="s">
        <v>212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445</v>
      </c>
      <c r="C66" s="35" t="s">
        <v>521</v>
      </c>
      <c r="D66" s="35" t="s">
        <v>521</v>
      </c>
      <c r="E66" s="21" t="s">
        <v>212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445</v>
      </c>
      <c r="C67" s="35" t="s">
        <v>522</v>
      </c>
      <c r="D67" s="35" t="s">
        <v>521</v>
      </c>
      <c r="E67" s="21" t="s">
        <v>212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445</v>
      </c>
      <c r="C68" s="35" t="s">
        <v>523</v>
      </c>
      <c r="D68" s="35" t="s">
        <v>524</v>
      </c>
      <c r="E68" s="21" t="s">
        <v>212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471</v>
      </c>
      <c r="C69" s="35" t="s">
        <v>525</v>
      </c>
      <c r="D69" s="35" t="s">
        <v>245</v>
      </c>
      <c r="E69" s="21" t="s">
        <v>212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445</v>
      </c>
      <c r="C70" s="35" t="s">
        <v>246</v>
      </c>
      <c r="D70" s="35" t="s">
        <v>526</v>
      </c>
      <c r="E70" s="21" t="s">
        <v>212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450</v>
      </c>
      <c r="C71" s="35" t="s">
        <v>240</v>
      </c>
      <c r="D71" s="35" t="s">
        <v>240</v>
      </c>
      <c r="E71" s="21" t="s">
        <v>212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445</v>
      </c>
      <c r="C72" s="35" t="s">
        <v>527</v>
      </c>
      <c r="D72" s="35" t="s">
        <v>527</v>
      </c>
      <c r="E72" s="21" t="s">
        <v>212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471</v>
      </c>
      <c r="C73" s="35" t="s">
        <v>528</v>
      </c>
      <c r="D73" s="35" t="s">
        <v>238</v>
      </c>
      <c r="E73" s="21" t="s">
        <v>212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450</v>
      </c>
      <c r="C74" s="35" t="s">
        <v>529</v>
      </c>
      <c r="D74" s="35" t="s">
        <v>238</v>
      </c>
      <c r="E74" s="21" t="s">
        <v>212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445</v>
      </c>
      <c r="C75" s="35" t="s">
        <v>250</v>
      </c>
      <c r="D75" s="35" t="s">
        <v>251</v>
      </c>
      <c r="E75" s="21" t="s">
        <v>212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445</v>
      </c>
      <c r="C76" s="35" t="s">
        <v>530</v>
      </c>
      <c r="D76" s="35" t="s">
        <v>214</v>
      </c>
      <c r="E76" s="21" t="s">
        <v>212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445</v>
      </c>
      <c r="C77" s="35" t="s">
        <v>242</v>
      </c>
      <c r="D77" s="35" t="s">
        <v>243</v>
      </c>
      <c r="E77" s="21" t="s">
        <v>212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471</v>
      </c>
      <c r="C78" s="35" t="s">
        <v>217</v>
      </c>
      <c r="D78" s="35" t="s">
        <v>218</v>
      </c>
      <c r="E78" s="21" t="s">
        <v>212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445</v>
      </c>
      <c r="C79" s="35" t="s">
        <v>531</v>
      </c>
      <c r="D79" s="35" t="s">
        <v>216</v>
      </c>
      <c r="E79" s="21" t="s">
        <v>212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445</v>
      </c>
      <c r="C80" s="35" t="s">
        <v>532</v>
      </c>
      <c r="D80" s="35" t="s">
        <v>532</v>
      </c>
      <c r="E80" s="21" t="s">
        <v>212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445</v>
      </c>
      <c r="C81" s="35" t="s">
        <v>533</v>
      </c>
      <c r="D81" s="35" t="s">
        <v>534</v>
      </c>
      <c r="E81" s="21" t="s">
        <v>212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471</v>
      </c>
      <c r="C82" s="11" t="s">
        <v>535</v>
      </c>
      <c r="D82" s="35" t="s">
        <v>536</v>
      </c>
      <c r="E82" s="21" t="s">
        <v>212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471</v>
      </c>
      <c r="C83" s="35" t="s">
        <v>241</v>
      </c>
      <c r="D83" s="35" t="s">
        <v>241</v>
      </c>
      <c r="E83" s="21" t="s">
        <v>212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445</v>
      </c>
      <c r="C84" s="35" t="s">
        <v>537</v>
      </c>
      <c r="D84" s="35" t="s">
        <v>224</v>
      </c>
      <c r="E84" s="21" t="s">
        <v>212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471</v>
      </c>
      <c r="C85" s="35" t="s">
        <v>229</v>
      </c>
      <c r="D85" s="35" t="s">
        <v>230</v>
      </c>
      <c r="E85" s="21" t="s">
        <v>212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471</v>
      </c>
      <c r="C86" s="35" t="s">
        <v>538</v>
      </c>
      <c r="D86" s="35" t="s">
        <v>539</v>
      </c>
      <c r="E86" s="21" t="s">
        <v>212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445</v>
      </c>
      <c r="C87" s="35" t="s">
        <v>540</v>
      </c>
      <c r="D87" s="35" t="s">
        <v>541</v>
      </c>
      <c r="E87" s="21" t="s">
        <v>116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445</v>
      </c>
      <c r="C88" s="35" t="s">
        <v>350</v>
      </c>
      <c r="D88" s="35" t="s">
        <v>351</v>
      </c>
      <c r="E88" s="21" t="s">
        <v>116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471</v>
      </c>
      <c r="C89" s="35" t="s">
        <v>542</v>
      </c>
      <c r="D89" s="35" t="s">
        <v>353</v>
      </c>
      <c r="E89" s="21" t="s">
        <v>116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445</v>
      </c>
      <c r="C90" s="35" t="s">
        <v>543</v>
      </c>
      <c r="D90" s="35" t="s">
        <v>353</v>
      </c>
      <c r="E90" s="21" t="s">
        <v>116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445</v>
      </c>
      <c r="C91" s="35" t="s">
        <v>544</v>
      </c>
      <c r="D91" s="35" t="s">
        <v>545</v>
      </c>
      <c r="E91" s="21" t="s">
        <v>116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445</v>
      </c>
      <c r="C92" s="35" t="s">
        <v>380</v>
      </c>
      <c r="D92" s="35" t="s">
        <v>380</v>
      </c>
      <c r="E92" s="21" t="s">
        <v>116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445</v>
      </c>
      <c r="C93" s="35" t="s">
        <v>546</v>
      </c>
      <c r="D93" s="35" t="s">
        <v>547</v>
      </c>
      <c r="E93" s="21" t="s">
        <v>193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445</v>
      </c>
      <c r="C94" s="35" t="s">
        <v>548</v>
      </c>
      <c r="D94" s="35" t="s">
        <v>549</v>
      </c>
      <c r="E94" s="21" t="s">
        <v>193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445</v>
      </c>
      <c r="C95" s="35" t="s">
        <v>550</v>
      </c>
      <c r="D95" s="35" t="s">
        <v>551</v>
      </c>
      <c r="E95" s="21" t="s">
        <v>193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450</v>
      </c>
      <c r="C96" s="35" t="s">
        <v>552</v>
      </c>
      <c r="D96" s="35" t="s">
        <v>551</v>
      </c>
      <c r="E96" s="21" t="s">
        <v>193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445</v>
      </c>
      <c r="C97" s="35" t="s">
        <v>553</v>
      </c>
      <c r="D97" s="35" t="s">
        <v>554</v>
      </c>
      <c r="E97" s="21" t="s">
        <v>193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445</v>
      </c>
      <c r="C98" s="35" t="s">
        <v>555</v>
      </c>
      <c r="D98" s="35" t="s">
        <v>556</v>
      </c>
      <c r="E98" s="21" t="s">
        <v>193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445</v>
      </c>
      <c r="C99" s="35" t="s">
        <v>557</v>
      </c>
      <c r="D99" s="35" t="s">
        <v>558</v>
      </c>
      <c r="E99" s="21" t="s">
        <v>193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445</v>
      </c>
      <c r="C100" s="35" t="s">
        <v>195</v>
      </c>
      <c r="D100" s="35" t="s">
        <v>196</v>
      </c>
      <c r="E100" s="21" t="s">
        <v>193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445</v>
      </c>
      <c r="C101" s="35" t="s">
        <v>249</v>
      </c>
      <c r="D101" s="35" t="s">
        <v>249</v>
      </c>
      <c r="E101" s="21" t="s">
        <v>166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445</v>
      </c>
      <c r="C102" s="35" t="s">
        <v>559</v>
      </c>
      <c r="D102" s="35" t="s">
        <v>171</v>
      </c>
      <c r="E102" s="21" t="s">
        <v>166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471</v>
      </c>
      <c r="C103" s="35" t="s">
        <v>560</v>
      </c>
      <c r="D103" s="35" t="s">
        <v>560</v>
      </c>
      <c r="E103" s="21" t="s">
        <v>166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445</v>
      </c>
      <c r="C104" s="35" t="s">
        <v>561</v>
      </c>
      <c r="D104" s="35" t="s">
        <v>257</v>
      </c>
      <c r="E104" s="21" t="s">
        <v>166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562</v>
      </c>
      <c r="C105" s="35" t="s">
        <v>563</v>
      </c>
      <c r="D105" s="35" t="s">
        <v>563</v>
      </c>
      <c r="E105" s="21" t="s">
        <v>166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471</v>
      </c>
      <c r="C106" s="35" t="s">
        <v>564</v>
      </c>
      <c r="D106" s="35" t="s">
        <v>565</v>
      </c>
      <c r="E106" s="21" t="s">
        <v>166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471</v>
      </c>
      <c r="C107" s="35" t="s">
        <v>566</v>
      </c>
      <c r="D107" s="35" t="s">
        <v>253</v>
      </c>
      <c r="E107" s="21" t="s">
        <v>166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445</v>
      </c>
      <c r="C108" s="35" t="s">
        <v>34</v>
      </c>
      <c r="D108" s="35" t="s">
        <v>34</v>
      </c>
      <c r="E108" s="21" t="s">
        <v>181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445</v>
      </c>
      <c r="C109" s="35" t="s">
        <v>567</v>
      </c>
      <c r="D109" s="35" t="s">
        <v>34</v>
      </c>
      <c r="E109" s="21" t="s">
        <v>181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445</v>
      </c>
      <c r="C110" s="35" t="s">
        <v>568</v>
      </c>
      <c r="D110" s="35" t="s">
        <v>337</v>
      </c>
      <c r="E110" s="21" t="s">
        <v>181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445</v>
      </c>
      <c r="C111" s="35" t="s">
        <v>180</v>
      </c>
      <c r="D111" s="35" t="s">
        <v>182</v>
      </c>
      <c r="E111" s="21" t="s">
        <v>181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471</v>
      </c>
      <c r="C112" s="35" t="s">
        <v>280</v>
      </c>
      <c r="D112" s="35" t="s">
        <v>280</v>
      </c>
      <c r="E112" s="21" t="s">
        <v>181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471</v>
      </c>
      <c r="C113" s="35" t="s">
        <v>569</v>
      </c>
      <c r="D113" s="35" t="s">
        <v>570</v>
      </c>
      <c r="E113" s="21" t="s">
        <v>181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445</v>
      </c>
      <c r="C114" s="35" t="s">
        <v>571</v>
      </c>
      <c r="D114" s="35" t="s">
        <v>571</v>
      </c>
      <c r="E114" s="21" t="s">
        <v>181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445</v>
      </c>
      <c r="C115" s="35" t="s">
        <v>572</v>
      </c>
      <c r="D115" s="35" t="s">
        <v>573</v>
      </c>
      <c r="E115" s="21" t="s">
        <v>181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445</v>
      </c>
      <c r="C116" s="35" t="s">
        <v>574</v>
      </c>
      <c r="D116" s="35" t="s">
        <v>575</v>
      </c>
      <c r="E116" s="21" t="s">
        <v>181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471</v>
      </c>
      <c r="C117" s="35" t="s">
        <v>576</v>
      </c>
      <c r="D117" s="35" t="s">
        <v>577</v>
      </c>
      <c r="E117" s="21" t="s">
        <v>181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445</v>
      </c>
      <c r="C118" s="35" t="s">
        <v>578</v>
      </c>
      <c r="D118" s="35" t="s">
        <v>579</v>
      </c>
      <c r="E118" s="21" t="s">
        <v>181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471</v>
      </c>
      <c r="C119" s="35" t="s">
        <v>260</v>
      </c>
      <c r="D119" s="35" t="s">
        <v>262</v>
      </c>
      <c r="E119" s="21" t="s">
        <v>181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445</v>
      </c>
      <c r="C120" s="35" t="s">
        <v>580</v>
      </c>
      <c r="D120" s="35" t="s">
        <v>581</v>
      </c>
      <c r="E120" s="21" t="s">
        <v>181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445</v>
      </c>
      <c r="C121" s="35" t="s">
        <v>338</v>
      </c>
      <c r="D121" s="35" t="s">
        <v>581</v>
      </c>
      <c r="E121" s="21" t="s">
        <v>181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445</v>
      </c>
      <c r="C122" s="35" t="s">
        <v>276</v>
      </c>
      <c r="D122" s="35" t="s">
        <v>582</v>
      </c>
      <c r="E122" s="21" t="s">
        <v>181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445</v>
      </c>
      <c r="C123" s="35" t="s">
        <v>583</v>
      </c>
      <c r="D123" s="35" t="s">
        <v>584</v>
      </c>
      <c r="E123" s="21" t="s">
        <v>181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446</v>
      </c>
      <c r="C124" s="35" t="s">
        <v>585</v>
      </c>
      <c r="D124" s="35" t="s">
        <v>586</v>
      </c>
      <c r="E124" s="21" t="s">
        <v>43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445</v>
      </c>
      <c r="C125" s="35" t="s">
        <v>587</v>
      </c>
      <c r="D125" s="35" t="s">
        <v>588</v>
      </c>
      <c r="E125" s="21" t="s">
        <v>43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450</v>
      </c>
      <c r="C126" s="35" t="s">
        <v>589</v>
      </c>
      <c r="D126" s="35" t="s">
        <v>588</v>
      </c>
      <c r="E126" s="21" t="s">
        <v>43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471</v>
      </c>
      <c r="C127" s="35" t="s">
        <v>590</v>
      </c>
      <c r="D127" s="35" t="s">
        <v>591</v>
      </c>
      <c r="E127" s="21" t="s">
        <v>43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445</v>
      </c>
      <c r="C128" s="35" t="s">
        <v>592</v>
      </c>
      <c r="D128" s="35" t="s">
        <v>592</v>
      </c>
      <c r="E128" s="21" t="s">
        <v>43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446</v>
      </c>
      <c r="C129" s="35" t="s">
        <v>593</v>
      </c>
      <c r="D129" s="35" t="s">
        <v>594</v>
      </c>
      <c r="E129" s="21" t="s">
        <v>43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471</v>
      </c>
      <c r="C130" s="35" t="s">
        <v>208</v>
      </c>
      <c r="D130" s="35" t="s">
        <v>209</v>
      </c>
      <c r="E130" s="21" t="s">
        <v>43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445</v>
      </c>
      <c r="C131" s="35" t="s">
        <v>595</v>
      </c>
      <c r="D131" s="35" t="s">
        <v>596</v>
      </c>
      <c r="E131" s="21" t="s">
        <v>43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444</v>
      </c>
      <c r="C132" s="11" t="s">
        <v>42</v>
      </c>
      <c r="D132" s="35" t="s">
        <v>44</v>
      </c>
      <c r="E132" s="21" t="s">
        <v>43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445</v>
      </c>
      <c r="C133" s="35" t="s">
        <v>207</v>
      </c>
      <c r="D133" s="35" t="s">
        <v>44</v>
      </c>
      <c r="E133" s="21" t="s">
        <v>43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445</v>
      </c>
      <c r="C134" s="35" t="s">
        <v>597</v>
      </c>
      <c r="D134" s="35" t="s">
        <v>44</v>
      </c>
      <c r="E134" s="21" t="s">
        <v>43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445</v>
      </c>
      <c r="C135" s="35" t="s">
        <v>206</v>
      </c>
      <c r="D135" s="35" t="s">
        <v>44</v>
      </c>
      <c r="E135" s="21" t="s">
        <v>43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445</v>
      </c>
      <c r="C136" s="35" t="s">
        <v>598</v>
      </c>
      <c r="D136" s="35" t="s">
        <v>599</v>
      </c>
      <c r="E136" s="21" t="s">
        <v>87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445</v>
      </c>
      <c r="C137" s="35" t="s">
        <v>600</v>
      </c>
      <c r="D137" s="35" t="s">
        <v>601</v>
      </c>
      <c r="E137" s="21" t="s">
        <v>87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445</v>
      </c>
      <c r="C138" s="35" t="s">
        <v>602</v>
      </c>
      <c r="D138" s="35" t="s">
        <v>603</v>
      </c>
      <c r="E138" s="21" t="s">
        <v>87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445</v>
      </c>
      <c r="C139" s="35" t="s">
        <v>604</v>
      </c>
      <c r="D139" s="35" t="s">
        <v>605</v>
      </c>
      <c r="E139" s="21" t="s">
        <v>87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444</v>
      </c>
      <c r="C140" s="35" t="s">
        <v>86</v>
      </c>
      <c r="D140" s="35" t="s">
        <v>88</v>
      </c>
      <c r="E140" s="21" t="s">
        <v>87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446</v>
      </c>
      <c r="C141" s="35" t="s">
        <v>606</v>
      </c>
      <c r="D141" s="35" t="s">
        <v>607</v>
      </c>
      <c r="E141" s="21" t="s">
        <v>87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450</v>
      </c>
      <c r="C142" s="35" t="s">
        <v>608</v>
      </c>
      <c r="D142" s="35" t="s">
        <v>609</v>
      </c>
      <c r="E142" s="21" t="s">
        <v>46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445</v>
      </c>
      <c r="C143" s="35" t="s">
        <v>123</v>
      </c>
      <c r="D143" s="35" t="s">
        <v>610</v>
      </c>
      <c r="E143" s="21" t="s">
        <v>46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445</v>
      </c>
      <c r="C144" s="35" t="s">
        <v>125</v>
      </c>
      <c r="D144" s="35" t="s">
        <v>611</v>
      </c>
      <c r="E144" s="21" t="s">
        <v>46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471</v>
      </c>
      <c r="C145" s="35" t="s">
        <v>612</v>
      </c>
      <c r="D145" s="35" t="s">
        <v>613</v>
      </c>
      <c r="E145" s="21" t="s">
        <v>46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471</v>
      </c>
      <c r="C146" s="35" t="s">
        <v>614</v>
      </c>
      <c r="D146" s="35" t="s">
        <v>613</v>
      </c>
      <c r="E146" s="21" t="s">
        <v>46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445</v>
      </c>
      <c r="C147" s="35" t="s">
        <v>615</v>
      </c>
      <c r="D147" s="35" t="s">
        <v>132</v>
      </c>
      <c r="E147" s="21" t="s">
        <v>46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444</v>
      </c>
      <c r="C148" s="11" t="s">
        <v>45</v>
      </c>
      <c r="D148" s="35" t="s">
        <v>47</v>
      </c>
      <c r="E148" s="21" t="s">
        <v>46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445</v>
      </c>
      <c r="C149" s="35" t="s">
        <v>616</v>
      </c>
      <c r="D149" s="35" t="s">
        <v>47</v>
      </c>
      <c r="E149" s="21" t="s">
        <v>46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445</v>
      </c>
      <c r="C150" s="35" t="s">
        <v>617</v>
      </c>
      <c r="D150" s="35" t="s">
        <v>47</v>
      </c>
      <c r="E150" s="21" t="s">
        <v>46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450</v>
      </c>
      <c r="C151" s="35" t="s">
        <v>618</v>
      </c>
      <c r="D151" s="35" t="s">
        <v>47</v>
      </c>
      <c r="E151" s="21" t="s">
        <v>46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445</v>
      </c>
      <c r="C152" s="35" t="s">
        <v>619</v>
      </c>
      <c r="D152" s="35" t="s">
        <v>134</v>
      </c>
      <c r="E152" s="21" t="s">
        <v>46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445</v>
      </c>
      <c r="C153" s="35" t="s">
        <v>134</v>
      </c>
      <c r="D153" s="35" t="s">
        <v>134</v>
      </c>
      <c r="E153" s="21" t="s">
        <v>46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445</v>
      </c>
      <c r="C154" s="35" t="s">
        <v>620</v>
      </c>
      <c r="D154" s="35" t="s">
        <v>120</v>
      </c>
      <c r="E154" s="21" t="s">
        <v>46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445</v>
      </c>
      <c r="C155" s="35" t="s">
        <v>621</v>
      </c>
      <c r="D155" s="35" t="s">
        <v>622</v>
      </c>
      <c r="E155" s="21" t="s">
        <v>46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445</v>
      </c>
      <c r="C156" s="35" t="s">
        <v>623</v>
      </c>
      <c r="D156" s="35" t="s">
        <v>623</v>
      </c>
      <c r="E156" s="21" t="s">
        <v>46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471</v>
      </c>
      <c r="C157" s="35" t="s">
        <v>121</v>
      </c>
      <c r="D157" s="35" t="s">
        <v>122</v>
      </c>
      <c r="E157" s="21" t="s">
        <v>46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471</v>
      </c>
      <c r="C158" s="35" t="s">
        <v>388</v>
      </c>
      <c r="D158" s="35" t="s">
        <v>389</v>
      </c>
      <c r="E158" s="21" t="s">
        <v>73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445</v>
      </c>
      <c r="C159" s="35" t="s">
        <v>624</v>
      </c>
      <c r="D159" s="35" t="s">
        <v>625</v>
      </c>
      <c r="E159" s="21" t="s">
        <v>73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445</v>
      </c>
      <c r="C160" s="35" t="s">
        <v>626</v>
      </c>
      <c r="D160" s="35" t="s">
        <v>625</v>
      </c>
      <c r="E160" s="21" t="s">
        <v>73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444</v>
      </c>
      <c r="C161" s="35" t="s">
        <v>72</v>
      </c>
      <c r="D161" s="35" t="s">
        <v>74</v>
      </c>
      <c r="E161" s="21" t="s">
        <v>73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471</v>
      </c>
      <c r="C162" s="35" t="s">
        <v>627</v>
      </c>
      <c r="D162" s="35" t="s">
        <v>74</v>
      </c>
      <c r="E162" s="21" t="s">
        <v>73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445</v>
      </c>
      <c r="C163" s="35" t="s">
        <v>628</v>
      </c>
      <c r="D163" s="35" t="s">
        <v>74</v>
      </c>
      <c r="E163" s="21" t="s">
        <v>73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471</v>
      </c>
      <c r="C164" s="35" t="s">
        <v>629</v>
      </c>
      <c r="D164" s="35" t="s">
        <v>74</v>
      </c>
      <c r="E164" s="21" t="s">
        <v>73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445</v>
      </c>
      <c r="C165" s="35" t="s">
        <v>630</v>
      </c>
      <c r="D165" s="35" t="s">
        <v>74</v>
      </c>
      <c r="E165" s="21" t="s">
        <v>73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471</v>
      </c>
      <c r="C166" s="35" t="s">
        <v>631</v>
      </c>
      <c r="D166" s="35" t="s">
        <v>632</v>
      </c>
      <c r="E166" s="21" t="s">
        <v>73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562</v>
      </c>
      <c r="C167" s="35" t="s">
        <v>633</v>
      </c>
      <c r="D167" s="35" t="s">
        <v>632</v>
      </c>
      <c r="E167" s="21" t="s">
        <v>73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562</v>
      </c>
      <c r="C168" s="35" t="s">
        <v>634</v>
      </c>
      <c r="D168" s="35" t="s">
        <v>635</v>
      </c>
      <c r="E168" s="21" t="s">
        <v>73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445</v>
      </c>
      <c r="C169" s="35" t="s">
        <v>416</v>
      </c>
      <c r="D169" s="35" t="s">
        <v>417</v>
      </c>
      <c r="E169" s="21" t="s">
        <v>73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445</v>
      </c>
      <c r="C170" s="35" t="s">
        <v>393</v>
      </c>
      <c r="D170" s="35" t="s">
        <v>394</v>
      </c>
      <c r="E170" s="21" t="s">
        <v>73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471</v>
      </c>
      <c r="C171" s="35" t="s">
        <v>636</v>
      </c>
      <c r="D171" s="35" t="s">
        <v>398</v>
      </c>
      <c r="E171" s="21" t="s">
        <v>73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562</v>
      </c>
      <c r="C172" s="35" t="s">
        <v>637</v>
      </c>
      <c r="D172" s="35" t="s">
        <v>638</v>
      </c>
      <c r="E172" s="21" t="s">
        <v>73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471</v>
      </c>
      <c r="C173" s="35" t="s">
        <v>639</v>
      </c>
      <c r="D173" s="35" t="s">
        <v>415</v>
      </c>
      <c r="E173" s="21" t="s">
        <v>73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445</v>
      </c>
      <c r="C174" s="35" t="s">
        <v>640</v>
      </c>
      <c r="D174" s="35" t="s">
        <v>640</v>
      </c>
      <c r="E174" s="21" t="s">
        <v>73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445</v>
      </c>
      <c r="C175" s="35" t="s">
        <v>390</v>
      </c>
      <c r="D175" s="35" t="s">
        <v>390</v>
      </c>
      <c r="E175" s="21" t="s">
        <v>73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445</v>
      </c>
      <c r="C176" s="35" t="s">
        <v>641</v>
      </c>
      <c r="D176" s="35" t="s">
        <v>642</v>
      </c>
      <c r="E176" s="21" t="s">
        <v>73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445</v>
      </c>
      <c r="C177" s="35" t="s">
        <v>643</v>
      </c>
      <c r="D177" s="35" t="s">
        <v>644</v>
      </c>
      <c r="E177" s="21" t="s">
        <v>73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562</v>
      </c>
      <c r="C178" s="35" t="s">
        <v>405</v>
      </c>
      <c r="D178" s="35" t="s">
        <v>406</v>
      </c>
      <c r="E178" s="21" t="s">
        <v>73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562</v>
      </c>
      <c r="C179" s="35" t="s">
        <v>645</v>
      </c>
      <c r="D179" s="35" t="s">
        <v>406</v>
      </c>
      <c r="E179" s="21" t="s">
        <v>73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450</v>
      </c>
      <c r="C180" s="35" t="s">
        <v>386</v>
      </c>
      <c r="D180" s="35" t="s">
        <v>646</v>
      </c>
      <c r="E180" s="21" t="s">
        <v>73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471</v>
      </c>
      <c r="C181" s="35" t="s">
        <v>647</v>
      </c>
      <c r="D181" s="35" t="s">
        <v>648</v>
      </c>
      <c r="E181" s="21" t="s">
        <v>73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445</v>
      </c>
      <c r="C182" s="35" t="s">
        <v>649</v>
      </c>
      <c r="D182" s="35" t="s">
        <v>650</v>
      </c>
      <c r="E182" s="21" t="s">
        <v>73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445</v>
      </c>
      <c r="C183" s="35" t="s">
        <v>381</v>
      </c>
      <c r="D183" s="35" t="s">
        <v>381</v>
      </c>
      <c r="E183" s="21" t="s">
        <v>73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445</v>
      </c>
      <c r="C184" s="35" t="s">
        <v>651</v>
      </c>
      <c r="D184" s="35" t="s">
        <v>652</v>
      </c>
      <c r="E184" s="21" t="s">
        <v>73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450</v>
      </c>
      <c r="C185" s="35" t="s">
        <v>653</v>
      </c>
      <c r="D185" s="35" t="s">
        <v>385</v>
      </c>
      <c r="E185" s="21" t="s">
        <v>73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445</v>
      </c>
      <c r="C186" s="35" t="s">
        <v>654</v>
      </c>
      <c r="D186" s="35" t="s">
        <v>655</v>
      </c>
      <c r="E186" s="21" t="s">
        <v>73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562</v>
      </c>
      <c r="C187" s="35" t="s">
        <v>656</v>
      </c>
      <c r="D187" s="35" t="s">
        <v>657</v>
      </c>
      <c r="E187" s="21" t="s">
        <v>73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471</v>
      </c>
      <c r="C188" s="35" t="s">
        <v>658</v>
      </c>
      <c r="D188" s="35" t="s">
        <v>384</v>
      </c>
      <c r="E188" s="21" t="s">
        <v>73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445</v>
      </c>
      <c r="C189" s="35" t="s">
        <v>391</v>
      </c>
      <c r="D189" s="35" t="s">
        <v>392</v>
      </c>
      <c r="E189" s="21" t="s">
        <v>73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562</v>
      </c>
      <c r="C190" s="35" t="s">
        <v>659</v>
      </c>
      <c r="D190" s="35" t="s">
        <v>396</v>
      </c>
      <c r="E190" s="21" t="s">
        <v>73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562</v>
      </c>
      <c r="C191" s="35" t="s">
        <v>395</v>
      </c>
      <c r="D191" s="35" t="s">
        <v>396</v>
      </c>
      <c r="E191" s="21" t="s">
        <v>73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562</v>
      </c>
      <c r="C192" s="35" t="s">
        <v>654</v>
      </c>
      <c r="D192" s="35" t="s">
        <v>400</v>
      </c>
      <c r="E192" s="21" t="s">
        <v>73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562</v>
      </c>
      <c r="C193" s="35" t="s">
        <v>660</v>
      </c>
      <c r="D193" s="35" t="s">
        <v>400</v>
      </c>
      <c r="E193" s="21" t="s">
        <v>73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562</v>
      </c>
      <c r="C194" s="35" t="s">
        <v>661</v>
      </c>
      <c r="D194" s="35" t="s">
        <v>662</v>
      </c>
      <c r="E194" s="21" t="s">
        <v>73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562</v>
      </c>
      <c r="C195" s="35" t="s">
        <v>403</v>
      </c>
      <c r="D195" s="35" t="s">
        <v>404</v>
      </c>
      <c r="E195" s="21" t="s">
        <v>73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445</v>
      </c>
      <c r="C196" s="35" t="s">
        <v>401</v>
      </c>
      <c r="D196" s="35" t="s">
        <v>663</v>
      </c>
      <c r="E196" s="21" t="s">
        <v>73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445</v>
      </c>
      <c r="C197" s="35" t="s">
        <v>664</v>
      </c>
      <c r="D197" s="35" t="s">
        <v>665</v>
      </c>
      <c r="E197" s="21" t="s">
        <v>73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471</v>
      </c>
      <c r="C198" s="35" t="s">
        <v>666</v>
      </c>
      <c r="D198" s="35" t="s">
        <v>413</v>
      </c>
      <c r="E198" s="21" t="s">
        <v>73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471</v>
      </c>
      <c r="C199" s="35" t="s">
        <v>667</v>
      </c>
      <c r="D199" s="35" t="s">
        <v>668</v>
      </c>
      <c r="E199" s="21" t="s">
        <v>73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450</v>
      </c>
      <c r="C200" s="35" t="s">
        <v>669</v>
      </c>
      <c r="D200" s="35" t="s">
        <v>155</v>
      </c>
      <c r="E200" s="21" t="s">
        <v>154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445</v>
      </c>
      <c r="C201" s="35" t="s">
        <v>149</v>
      </c>
      <c r="D201" s="35" t="s">
        <v>152</v>
      </c>
      <c r="E201" s="21" t="s">
        <v>151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445</v>
      </c>
      <c r="C202" s="35" t="s">
        <v>158</v>
      </c>
      <c r="D202" s="35" t="s">
        <v>670</v>
      </c>
      <c r="E202" s="21" t="s">
        <v>151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450</v>
      </c>
      <c r="C203" s="35" t="s">
        <v>671</v>
      </c>
      <c r="D203" s="35" t="s">
        <v>670</v>
      </c>
      <c r="E203" s="21" t="s">
        <v>151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445</v>
      </c>
      <c r="C204" s="35" t="s">
        <v>672</v>
      </c>
      <c r="D204" s="35" t="s">
        <v>673</v>
      </c>
      <c r="E204" s="21" t="s">
        <v>79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445</v>
      </c>
      <c r="C205" s="35" t="s">
        <v>674</v>
      </c>
      <c r="D205" s="35" t="s">
        <v>674</v>
      </c>
      <c r="E205" s="21" t="s">
        <v>79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445</v>
      </c>
      <c r="C206" s="35" t="s">
        <v>675</v>
      </c>
      <c r="D206" s="35" t="s">
        <v>179</v>
      </c>
      <c r="E206" s="21" t="s">
        <v>79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450</v>
      </c>
      <c r="C207" s="35" t="s">
        <v>676</v>
      </c>
      <c r="D207" s="35" t="s">
        <v>677</v>
      </c>
      <c r="E207" s="21" t="s">
        <v>79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445</v>
      </c>
      <c r="C208" s="35" t="s">
        <v>493</v>
      </c>
      <c r="D208" s="35" t="s">
        <v>677</v>
      </c>
      <c r="E208" s="21" t="s">
        <v>79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445</v>
      </c>
      <c r="C209" s="35" t="s">
        <v>678</v>
      </c>
      <c r="D209" s="35" t="s">
        <v>679</v>
      </c>
      <c r="E209" s="21" t="s">
        <v>79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471</v>
      </c>
      <c r="C210" s="35" t="s">
        <v>680</v>
      </c>
      <c r="D210" s="35" t="s">
        <v>679</v>
      </c>
      <c r="E210" s="21" t="s">
        <v>79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445</v>
      </c>
      <c r="C211" s="35" t="s">
        <v>681</v>
      </c>
      <c r="D211" s="35" t="s">
        <v>191</v>
      </c>
      <c r="E211" s="21" t="s">
        <v>79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445</v>
      </c>
      <c r="C212" s="35" t="s">
        <v>682</v>
      </c>
      <c r="D212" s="35" t="s">
        <v>191</v>
      </c>
      <c r="E212" s="21" t="s">
        <v>79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445</v>
      </c>
      <c r="C213" s="35" t="s">
        <v>683</v>
      </c>
      <c r="D213" s="35" t="s">
        <v>184</v>
      </c>
      <c r="E213" s="21" t="s">
        <v>79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445</v>
      </c>
      <c r="C214" s="35" t="s">
        <v>684</v>
      </c>
      <c r="D214" s="35" t="s">
        <v>685</v>
      </c>
      <c r="E214" s="21" t="s">
        <v>79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445</v>
      </c>
      <c r="C215" s="35" t="s">
        <v>686</v>
      </c>
      <c r="D215" s="35" t="s">
        <v>686</v>
      </c>
      <c r="E215" s="21" t="s">
        <v>79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445</v>
      </c>
      <c r="C216" s="35" t="s">
        <v>687</v>
      </c>
      <c r="D216" s="35" t="s">
        <v>686</v>
      </c>
      <c r="E216" s="21" t="s">
        <v>79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471</v>
      </c>
      <c r="C217" s="35" t="s">
        <v>688</v>
      </c>
      <c r="D217" s="35" t="s">
        <v>689</v>
      </c>
      <c r="E217" s="21" t="s">
        <v>79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690</v>
      </c>
      <c r="C218" s="35" t="s">
        <v>78</v>
      </c>
      <c r="D218" s="35" t="s">
        <v>80</v>
      </c>
      <c r="E218" s="21" t="s">
        <v>79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445</v>
      </c>
      <c r="C219" s="35" t="s">
        <v>691</v>
      </c>
      <c r="D219" s="35" t="s">
        <v>80</v>
      </c>
      <c r="E219" s="21" t="s">
        <v>79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445</v>
      </c>
      <c r="C220" s="35" t="s">
        <v>185</v>
      </c>
      <c r="D220" s="35" t="s">
        <v>80</v>
      </c>
      <c r="E220" s="21" t="s">
        <v>79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445</v>
      </c>
      <c r="C221" s="35" t="s">
        <v>692</v>
      </c>
      <c r="D221" s="35" t="s">
        <v>692</v>
      </c>
      <c r="E221" s="21" t="s">
        <v>79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445</v>
      </c>
      <c r="C222" s="35" t="s">
        <v>348</v>
      </c>
      <c r="D222" s="35" t="s">
        <v>693</v>
      </c>
      <c r="E222" s="21" t="s">
        <v>79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446</v>
      </c>
      <c r="C223" s="35" t="s">
        <v>694</v>
      </c>
      <c r="D223" s="35" t="s">
        <v>695</v>
      </c>
      <c r="E223" s="21" t="s">
        <v>79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445</v>
      </c>
      <c r="C224" s="35" t="s">
        <v>696</v>
      </c>
      <c r="D224" s="35" t="s">
        <v>696</v>
      </c>
      <c r="E224" s="21" t="s">
        <v>79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445</v>
      </c>
      <c r="C225" s="35" t="s">
        <v>697</v>
      </c>
      <c r="D225" s="35" t="s">
        <v>698</v>
      </c>
      <c r="E225" s="21" t="s">
        <v>79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445</v>
      </c>
      <c r="C226" s="35" t="s">
        <v>699</v>
      </c>
      <c r="D226" s="35" t="s">
        <v>700</v>
      </c>
      <c r="E226" s="21" t="s">
        <v>79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450</v>
      </c>
      <c r="C227" s="35" t="s">
        <v>188</v>
      </c>
      <c r="D227" s="35" t="s">
        <v>189</v>
      </c>
      <c r="E227" s="21" t="s">
        <v>79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445</v>
      </c>
      <c r="C228" s="35" t="s">
        <v>701</v>
      </c>
      <c r="D228" s="35" t="s">
        <v>189</v>
      </c>
      <c r="E228" s="21" t="s">
        <v>79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445</v>
      </c>
      <c r="C229" s="21" t="s">
        <v>702</v>
      </c>
      <c r="D229" s="35" t="s">
        <v>189</v>
      </c>
      <c r="E229" s="21" t="s">
        <v>79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471</v>
      </c>
      <c r="C230" s="35" t="s">
        <v>703</v>
      </c>
      <c r="D230" s="35" t="s">
        <v>704</v>
      </c>
      <c r="E230" s="21" t="s">
        <v>40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445</v>
      </c>
      <c r="C231" s="35" t="s">
        <v>705</v>
      </c>
      <c r="D231" s="35" t="s">
        <v>201</v>
      </c>
      <c r="E231" s="21" t="s">
        <v>40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444</v>
      </c>
      <c r="C232" s="35" t="s">
        <v>39</v>
      </c>
      <c r="D232" s="35" t="s">
        <v>41</v>
      </c>
      <c r="E232" s="21" t="s">
        <v>40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471</v>
      </c>
      <c r="C233" s="11" t="s">
        <v>706</v>
      </c>
      <c r="D233" s="35" t="s">
        <v>707</v>
      </c>
      <c r="E233" s="21" t="s">
        <v>40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471</v>
      </c>
      <c r="C234" s="35" t="s">
        <v>708</v>
      </c>
      <c r="D234" s="35" t="s">
        <v>707</v>
      </c>
      <c r="E234" s="21" t="s">
        <v>40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445</v>
      </c>
      <c r="C235" s="35" t="s">
        <v>709</v>
      </c>
      <c r="D235" s="35" t="s">
        <v>707</v>
      </c>
      <c r="E235" s="21" t="s">
        <v>40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445</v>
      </c>
      <c r="C236" s="35" t="s">
        <v>205</v>
      </c>
      <c r="D236" s="35" t="s">
        <v>205</v>
      </c>
      <c r="E236" s="21" t="s">
        <v>40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445</v>
      </c>
      <c r="C237" s="35" t="s">
        <v>710</v>
      </c>
      <c r="D237" s="35" t="s">
        <v>711</v>
      </c>
      <c r="E237" s="21" t="s">
        <v>31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471</v>
      </c>
      <c r="C238" s="35" t="s">
        <v>712</v>
      </c>
      <c r="D238" s="35" t="s">
        <v>713</v>
      </c>
      <c r="E238" s="21" t="s">
        <v>31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471</v>
      </c>
      <c r="C239" s="35" t="s">
        <v>714</v>
      </c>
      <c r="D239" s="35" t="s">
        <v>715</v>
      </c>
      <c r="E239" s="21" t="s">
        <v>31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445</v>
      </c>
      <c r="C240" s="35" t="s">
        <v>716</v>
      </c>
      <c r="D240" s="35" t="s">
        <v>717</v>
      </c>
      <c r="E240" s="21" t="s">
        <v>31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471</v>
      </c>
      <c r="C241" s="35" t="s">
        <v>718</v>
      </c>
      <c r="D241" s="35" t="s">
        <v>717</v>
      </c>
      <c r="E241" s="21" t="s">
        <v>31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444</v>
      </c>
      <c r="C242" s="11" t="s">
        <v>30</v>
      </c>
      <c r="D242" s="35" t="s">
        <v>32</v>
      </c>
      <c r="E242" s="21" t="s">
        <v>31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471</v>
      </c>
      <c r="C243" s="35" t="s">
        <v>719</v>
      </c>
      <c r="D243" s="35" t="s">
        <v>32</v>
      </c>
      <c r="E243" s="21" t="s">
        <v>31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445</v>
      </c>
      <c r="C244" s="35" t="s">
        <v>720</v>
      </c>
      <c r="D244" s="35" t="s">
        <v>721</v>
      </c>
      <c r="E244" s="21" t="s">
        <v>31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445</v>
      </c>
      <c r="C245" s="35" t="s">
        <v>722</v>
      </c>
      <c r="D245" s="35" t="s">
        <v>721</v>
      </c>
      <c r="E245" s="21" t="s">
        <v>31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445</v>
      </c>
      <c r="C246" s="35" t="s">
        <v>168</v>
      </c>
      <c r="D246" s="35" t="s">
        <v>723</v>
      </c>
      <c r="E246" s="21" t="s">
        <v>95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445</v>
      </c>
      <c r="C247" s="35" t="s">
        <v>163</v>
      </c>
      <c r="D247" s="35" t="s">
        <v>164</v>
      </c>
      <c r="E247" s="21" t="s">
        <v>95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445</v>
      </c>
      <c r="C248" s="35" t="s">
        <v>724</v>
      </c>
      <c r="D248" s="35" t="s">
        <v>725</v>
      </c>
      <c r="E248" s="21" t="s">
        <v>95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445</v>
      </c>
      <c r="C249" s="35" t="s">
        <v>726</v>
      </c>
      <c r="D249" s="35" t="s">
        <v>727</v>
      </c>
      <c r="E249" s="21" t="s">
        <v>95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445</v>
      </c>
      <c r="C250" s="35" t="s">
        <v>728</v>
      </c>
      <c r="D250" s="35" t="s">
        <v>156</v>
      </c>
      <c r="E250" s="21" t="s">
        <v>95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471</v>
      </c>
      <c r="C251" s="35" t="s">
        <v>156</v>
      </c>
      <c r="D251" s="35" t="s">
        <v>156</v>
      </c>
      <c r="E251" s="21" t="s">
        <v>95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445</v>
      </c>
      <c r="C252" s="35" t="s">
        <v>729</v>
      </c>
      <c r="D252" s="35" t="s">
        <v>730</v>
      </c>
      <c r="E252" s="21" t="s">
        <v>95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445</v>
      </c>
      <c r="C253" s="35" t="s">
        <v>157</v>
      </c>
      <c r="D253" s="35" t="s">
        <v>157</v>
      </c>
      <c r="E253" s="21" t="s">
        <v>95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562</v>
      </c>
      <c r="C254" s="35" t="s">
        <v>731</v>
      </c>
      <c r="D254" s="35" t="s">
        <v>732</v>
      </c>
      <c r="E254" s="21" t="s">
        <v>95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445</v>
      </c>
      <c r="C255" s="35" t="s">
        <v>733</v>
      </c>
      <c r="D255" s="35" t="s">
        <v>733</v>
      </c>
      <c r="E255" s="21" t="s">
        <v>95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445</v>
      </c>
      <c r="C256" s="35" t="s">
        <v>734</v>
      </c>
      <c r="D256" s="35" t="s">
        <v>735</v>
      </c>
      <c r="E256" s="21" t="s">
        <v>95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444</v>
      </c>
      <c r="C257" s="35" t="s">
        <v>94</v>
      </c>
      <c r="D257" s="35" t="s">
        <v>96</v>
      </c>
      <c r="E257" s="21" t="s">
        <v>95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450</v>
      </c>
      <c r="C258" s="35" t="s">
        <v>736</v>
      </c>
      <c r="D258" s="35" t="s">
        <v>96</v>
      </c>
      <c r="E258" s="21" t="s">
        <v>95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471</v>
      </c>
      <c r="C259" s="35" t="s">
        <v>737</v>
      </c>
      <c r="D259" s="35" t="s">
        <v>96</v>
      </c>
      <c r="E259" s="21" t="s">
        <v>95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445</v>
      </c>
      <c r="C260" s="35" t="s">
        <v>738</v>
      </c>
      <c r="D260" s="35" t="s">
        <v>739</v>
      </c>
      <c r="E260" s="21" t="s">
        <v>95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444</v>
      </c>
      <c r="C261" s="35" t="s">
        <v>84</v>
      </c>
      <c r="D261" s="35" t="s">
        <v>85</v>
      </c>
      <c r="E261" s="21" t="s">
        <v>82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471</v>
      </c>
      <c r="C262" s="35" t="s">
        <v>740</v>
      </c>
      <c r="D262" s="35" t="s">
        <v>741</v>
      </c>
      <c r="E262" s="21" t="s">
        <v>82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446</v>
      </c>
      <c r="C263" s="35" t="s">
        <v>741</v>
      </c>
      <c r="D263" s="35" t="s">
        <v>741</v>
      </c>
      <c r="E263" s="21" t="s">
        <v>82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444</v>
      </c>
      <c r="C264" s="35" t="s">
        <v>81</v>
      </c>
      <c r="D264" s="35" t="s">
        <v>83</v>
      </c>
      <c r="E264" s="21" t="s">
        <v>82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445</v>
      </c>
      <c r="C265" s="35" t="s">
        <v>286</v>
      </c>
      <c r="D265" s="35" t="s">
        <v>287</v>
      </c>
      <c r="E265" s="21" t="s">
        <v>82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445</v>
      </c>
      <c r="C266" s="35" t="s">
        <v>292</v>
      </c>
      <c r="D266" s="35" t="s">
        <v>292</v>
      </c>
      <c r="E266" s="21" t="s">
        <v>82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471</v>
      </c>
      <c r="C267" s="35" t="s">
        <v>742</v>
      </c>
      <c r="D267" s="35" t="s">
        <v>271</v>
      </c>
      <c r="E267" s="21" t="s">
        <v>82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471</v>
      </c>
      <c r="C268" s="35" t="s">
        <v>743</v>
      </c>
      <c r="D268" s="35" t="s">
        <v>271</v>
      </c>
      <c r="E268" s="21" t="s">
        <v>82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450</v>
      </c>
      <c r="C269" s="35" t="s">
        <v>281</v>
      </c>
      <c r="D269" s="35" t="s">
        <v>271</v>
      </c>
      <c r="E269" s="21" t="s">
        <v>82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445</v>
      </c>
      <c r="C270" s="35" t="s">
        <v>268</v>
      </c>
      <c r="D270" s="35" t="s">
        <v>269</v>
      </c>
      <c r="E270" s="21" t="s">
        <v>82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445</v>
      </c>
      <c r="C271" s="35" t="s">
        <v>744</v>
      </c>
      <c r="D271" s="35" t="s">
        <v>285</v>
      </c>
      <c r="E271" s="21" t="s">
        <v>82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445</v>
      </c>
      <c r="C272" s="35" t="s">
        <v>288</v>
      </c>
      <c r="D272" s="35" t="s">
        <v>289</v>
      </c>
      <c r="E272" s="21" t="s">
        <v>82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445</v>
      </c>
      <c r="C273" s="35" t="s">
        <v>282</v>
      </c>
      <c r="D273" s="35" t="s">
        <v>282</v>
      </c>
      <c r="E273" s="21" t="s">
        <v>82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445</v>
      </c>
      <c r="C274" s="35" t="s">
        <v>283</v>
      </c>
      <c r="D274" s="35" t="s">
        <v>283</v>
      </c>
      <c r="E274" s="21" t="s">
        <v>82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471</v>
      </c>
      <c r="C275" s="35" t="s">
        <v>290</v>
      </c>
      <c r="D275" s="35" t="s">
        <v>291</v>
      </c>
      <c r="E275" s="21" t="s">
        <v>82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471</v>
      </c>
      <c r="C276" s="11" t="s">
        <v>745</v>
      </c>
      <c r="D276" s="35" t="s">
        <v>746</v>
      </c>
      <c r="E276" s="21" t="s">
        <v>82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471</v>
      </c>
      <c r="C277" s="35" t="s">
        <v>747</v>
      </c>
      <c r="D277" s="35" t="s">
        <v>746</v>
      </c>
      <c r="E277" s="21" t="s">
        <v>82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471</v>
      </c>
      <c r="C278" s="35" t="s">
        <v>748</v>
      </c>
      <c r="D278" s="35" t="s">
        <v>295</v>
      </c>
      <c r="E278" s="21" t="s">
        <v>82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471</v>
      </c>
      <c r="C279" s="35" t="s">
        <v>749</v>
      </c>
      <c r="D279" s="35" t="s">
        <v>310</v>
      </c>
      <c r="E279" s="21" t="s">
        <v>54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445</v>
      </c>
      <c r="C280" s="35" t="s">
        <v>750</v>
      </c>
      <c r="D280" s="35" t="s">
        <v>751</v>
      </c>
      <c r="E280" s="21" t="s">
        <v>54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471</v>
      </c>
      <c r="C281" s="35" t="s">
        <v>752</v>
      </c>
      <c r="D281" s="35" t="s">
        <v>753</v>
      </c>
      <c r="E281" s="21" t="s">
        <v>54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444</v>
      </c>
      <c r="C282" s="35" t="s">
        <v>53</v>
      </c>
      <c r="D282" s="35" t="s">
        <v>55</v>
      </c>
      <c r="E282" s="21" t="s">
        <v>54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471</v>
      </c>
      <c r="C283" s="35" t="s">
        <v>754</v>
      </c>
      <c r="D283" s="35" t="s">
        <v>55</v>
      </c>
      <c r="E283" s="21" t="s">
        <v>54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471</v>
      </c>
      <c r="C284" s="35" t="s">
        <v>755</v>
      </c>
      <c r="D284" s="35" t="s">
        <v>55</v>
      </c>
      <c r="E284" s="21" t="s">
        <v>54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471</v>
      </c>
      <c r="C285" s="35" t="s">
        <v>756</v>
      </c>
      <c r="D285" s="35" t="s">
        <v>757</v>
      </c>
      <c r="E285" s="21" t="s">
        <v>54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445</v>
      </c>
      <c r="C286" s="35" t="s">
        <v>758</v>
      </c>
      <c r="D286" s="35" t="s">
        <v>758</v>
      </c>
      <c r="E286" s="21" t="s">
        <v>54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471</v>
      </c>
      <c r="C287" s="35" t="s">
        <v>307</v>
      </c>
      <c r="D287" s="35" t="s">
        <v>308</v>
      </c>
      <c r="E287" s="21" t="s">
        <v>54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445</v>
      </c>
      <c r="C288" s="35" t="s">
        <v>759</v>
      </c>
      <c r="D288" s="35" t="s">
        <v>308</v>
      </c>
      <c r="E288" s="21" t="s">
        <v>54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450</v>
      </c>
      <c r="C289" s="35" t="s">
        <v>298</v>
      </c>
      <c r="D289" s="35" t="s">
        <v>301</v>
      </c>
      <c r="E289" s="21" t="s">
        <v>54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445</v>
      </c>
      <c r="C290" s="35" t="s">
        <v>760</v>
      </c>
      <c r="D290" s="35" t="s">
        <v>302</v>
      </c>
      <c r="E290" s="21" t="s">
        <v>54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471</v>
      </c>
      <c r="C291" s="35" t="s">
        <v>302</v>
      </c>
      <c r="D291" s="35" t="s">
        <v>302</v>
      </c>
      <c r="E291" s="21" t="s">
        <v>54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471</v>
      </c>
      <c r="C292" s="35" t="s">
        <v>305</v>
      </c>
      <c r="D292" s="35" t="s">
        <v>305</v>
      </c>
      <c r="E292" s="21" t="s">
        <v>54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446</v>
      </c>
      <c r="C293" s="35" t="s">
        <v>761</v>
      </c>
      <c r="D293" s="35" t="s">
        <v>761</v>
      </c>
      <c r="E293" s="21" t="s">
        <v>54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445</v>
      </c>
      <c r="C294" s="35" t="s">
        <v>393</v>
      </c>
      <c r="D294" s="35" t="s">
        <v>393</v>
      </c>
      <c r="E294" s="21" t="s">
        <v>54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445</v>
      </c>
      <c r="C295" s="35" t="s">
        <v>762</v>
      </c>
      <c r="D295" s="35" t="s">
        <v>762</v>
      </c>
      <c r="E295" s="21" t="s">
        <v>54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445</v>
      </c>
      <c r="C296" s="35" t="s">
        <v>763</v>
      </c>
      <c r="D296" s="35" t="s">
        <v>764</v>
      </c>
      <c r="E296" s="21" t="s">
        <v>54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445</v>
      </c>
      <c r="C297" s="35" t="s">
        <v>333</v>
      </c>
      <c r="D297" s="35" t="s">
        <v>500</v>
      </c>
      <c r="E297" s="21" t="s">
        <v>54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445</v>
      </c>
      <c r="C298" s="35" t="s">
        <v>765</v>
      </c>
      <c r="D298" s="35" t="s">
        <v>267</v>
      </c>
      <c r="E298" s="21" t="s">
        <v>264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471</v>
      </c>
      <c r="C299" s="35" t="s">
        <v>766</v>
      </c>
      <c r="D299" s="35" t="s">
        <v>265</v>
      </c>
      <c r="E299" s="21" t="s">
        <v>264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450</v>
      </c>
      <c r="C300" s="35" t="s">
        <v>767</v>
      </c>
      <c r="D300" s="35" t="s">
        <v>273</v>
      </c>
      <c r="E300" s="21" t="s">
        <v>264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445</v>
      </c>
      <c r="C301" s="35" t="s">
        <v>273</v>
      </c>
      <c r="D301" s="35" t="s">
        <v>273</v>
      </c>
      <c r="E301" s="21" t="s">
        <v>264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445</v>
      </c>
      <c r="C302" s="35" t="s">
        <v>272</v>
      </c>
      <c r="D302" s="35" t="s">
        <v>273</v>
      </c>
      <c r="E302" s="21" t="s">
        <v>264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445</v>
      </c>
      <c r="C303" s="35" t="s">
        <v>768</v>
      </c>
      <c r="D303" s="35" t="s">
        <v>769</v>
      </c>
      <c r="E303" s="21" t="s">
        <v>264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450</v>
      </c>
      <c r="C304" s="35" t="s">
        <v>770</v>
      </c>
      <c r="D304" s="35" t="s">
        <v>770</v>
      </c>
      <c r="E304" s="21" t="s">
        <v>264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444</v>
      </c>
      <c r="C305" s="35" t="s">
        <v>66</v>
      </c>
      <c r="D305" s="35" t="s">
        <v>771</v>
      </c>
      <c r="E305" s="21" t="s">
        <v>67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444</v>
      </c>
      <c r="C306" s="35" t="s">
        <v>63</v>
      </c>
      <c r="D306" s="35" t="s">
        <v>65</v>
      </c>
      <c r="E306" s="21" t="s">
        <v>772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445</v>
      </c>
      <c r="C307" s="35" t="s">
        <v>349</v>
      </c>
      <c r="D307" s="35" t="s">
        <v>65</v>
      </c>
      <c r="E307" s="21" t="s">
        <v>772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445</v>
      </c>
      <c r="C308" s="35" t="s">
        <v>773</v>
      </c>
      <c r="D308" s="35" t="s">
        <v>773</v>
      </c>
      <c r="E308" s="21" t="s">
        <v>772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446</v>
      </c>
      <c r="C309" s="35" t="s">
        <v>774</v>
      </c>
      <c r="D309" s="35" t="s">
        <v>775</v>
      </c>
      <c r="E309" s="21" t="s">
        <v>772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445</v>
      </c>
      <c r="C310" s="35" t="s">
        <v>776</v>
      </c>
      <c r="D310" s="35" t="s">
        <v>775</v>
      </c>
      <c r="E310" s="21" t="s">
        <v>772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445</v>
      </c>
      <c r="C311" s="35" t="s">
        <v>777</v>
      </c>
      <c r="D311" s="35" t="s">
        <v>778</v>
      </c>
      <c r="E311" s="21" t="s">
        <v>772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445</v>
      </c>
      <c r="C312" s="35" t="s">
        <v>311</v>
      </c>
      <c r="D312" s="35" t="s">
        <v>311</v>
      </c>
      <c r="E312" s="21" t="s">
        <v>49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444</v>
      </c>
      <c r="C313" s="35" t="s">
        <v>48</v>
      </c>
      <c r="D313" s="35" t="s">
        <v>50</v>
      </c>
      <c r="E313" s="21" t="s">
        <v>49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445</v>
      </c>
      <c r="C314" s="35" t="s">
        <v>779</v>
      </c>
      <c r="D314" s="35" t="s">
        <v>50</v>
      </c>
      <c r="E314" s="21" t="s">
        <v>49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445</v>
      </c>
      <c r="C315" s="35" t="s">
        <v>233</v>
      </c>
      <c r="D315" s="35" t="s">
        <v>233</v>
      </c>
      <c r="E315" s="21" t="s">
        <v>49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445</v>
      </c>
      <c r="C316" s="35" t="s">
        <v>780</v>
      </c>
      <c r="D316" s="35" t="s">
        <v>327</v>
      </c>
      <c r="E316" s="21" t="s">
        <v>49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445</v>
      </c>
      <c r="C317" s="35" t="s">
        <v>781</v>
      </c>
      <c r="D317" s="35" t="s">
        <v>327</v>
      </c>
      <c r="E317" s="21" t="s">
        <v>49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445</v>
      </c>
      <c r="C318" s="35" t="s">
        <v>782</v>
      </c>
      <c r="D318" s="35" t="s">
        <v>782</v>
      </c>
      <c r="E318" s="21" t="s">
        <v>49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445</v>
      </c>
      <c r="C319" s="35" t="s">
        <v>123</v>
      </c>
      <c r="D319" s="35" t="s">
        <v>123</v>
      </c>
      <c r="E319" s="21" t="s">
        <v>49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445</v>
      </c>
      <c r="C320" s="35" t="s">
        <v>312</v>
      </c>
      <c r="D320" s="35" t="s">
        <v>312</v>
      </c>
      <c r="E320" s="21" t="s">
        <v>49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445</v>
      </c>
      <c r="C321" s="35" t="s">
        <v>783</v>
      </c>
      <c r="D321" s="35" t="s">
        <v>783</v>
      </c>
      <c r="E321" s="21" t="s">
        <v>49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445</v>
      </c>
      <c r="C322" s="35" t="s">
        <v>784</v>
      </c>
      <c r="D322" s="35" t="s">
        <v>784</v>
      </c>
      <c r="E322" s="21" t="s">
        <v>49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445</v>
      </c>
      <c r="C323" s="35" t="s">
        <v>785</v>
      </c>
      <c r="D323" s="35" t="s">
        <v>321</v>
      </c>
      <c r="E323" s="21" t="s">
        <v>49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445</v>
      </c>
      <c r="C324" s="35" t="s">
        <v>786</v>
      </c>
      <c r="D324" s="35" t="s">
        <v>685</v>
      </c>
      <c r="E324" s="21" t="s">
        <v>49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444</v>
      </c>
      <c r="C325" s="35" t="s">
        <v>51</v>
      </c>
      <c r="D325" s="35" t="s">
        <v>52</v>
      </c>
      <c r="E325" s="21" t="s">
        <v>49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471</v>
      </c>
      <c r="C326" s="35" t="s">
        <v>787</v>
      </c>
      <c r="D326" s="35" t="s">
        <v>325</v>
      </c>
      <c r="E326" s="21" t="s">
        <v>49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445</v>
      </c>
      <c r="C327" s="35" t="s">
        <v>329</v>
      </c>
      <c r="D327" s="35" t="s">
        <v>330</v>
      </c>
      <c r="E327" s="21" t="s">
        <v>49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446</v>
      </c>
      <c r="C328" s="35" t="s">
        <v>788</v>
      </c>
      <c r="D328" s="35" t="s">
        <v>789</v>
      </c>
      <c r="E328" s="21" t="s">
        <v>49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445</v>
      </c>
      <c r="C329" s="35" t="s">
        <v>790</v>
      </c>
      <c r="D329" s="35" t="s">
        <v>791</v>
      </c>
      <c r="E329" s="21" t="s">
        <v>49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446</v>
      </c>
      <c r="C330" s="35" t="s">
        <v>792</v>
      </c>
      <c r="D330" s="35" t="s">
        <v>793</v>
      </c>
      <c r="E330" s="21" t="s">
        <v>49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471</v>
      </c>
      <c r="C331" s="35" t="s">
        <v>316</v>
      </c>
      <c r="D331" s="35" t="s">
        <v>794</v>
      </c>
      <c r="E331" s="21" t="s">
        <v>49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445</v>
      </c>
      <c r="C332" s="35" t="s">
        <v>795</v>
      </c>
      <c r="D332" s="35" t="s">
        <v>319</v>
      </c>
      <c r="E332" s="21" t="s">
        <v>49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445</v>
      </c>
      <c r="C333" s="35" t="s">
        <v>796</v>
      </c>
      <c r="D333" s="35" t="s">
        <v>319</v>
      </c>
      <c r="E333" s="21" t="s">
        <v>49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471</v>
      </c>
      <c r="C334" s="35" t="s">
        <v>797</v>
      </c>
      <c r="D334" s="35" t="s">
        <v>332</v>
      </c>
      <c r="E334" s="21" t="s">
        <v>49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446</v>
      </c>
      <c r="C335" s="35" t="s">
        <v>798</v>
      </c>
      <c r="D335" s="35" t="s">
        <v>799</v>
      </c>
      <c r="E335" s="21" t="s">
        <v>49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445</v>
      </c>
      <c r="C336" s="35" t="s">
        <v>328</v>
      </c>
      <c r="D336" s="35" t="s">
        <v>328</v>
      </c>
      <c r="E336" s="21" t="s">
        <v>49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471</v>
      </c>
      <c r="C337" s="35" t="s">
        <v>800</v>
      </c>
      <c r="D337" s="35" t="s">
        <v>801</v>
      </c>
      <c r="E337" s="21" t="s">
        <v>129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471</v>
      </c>
      <c r="C338" s="35" t="s">
        <v>128</v>
      </c>
      <c r="D338" s="35" t="s">
        <v>130</v>
      </c>
      <c r="E338" s="21" t="s">
        <v>129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450</v>
      </c>
      <c r="C339" s="35" t="s">
        <v>802</v>
      </c>
      <c r="D339" s="35" t="s">
        <v>137</v>
      </c>
      <c r="E339" s="21" t="s">
        <v>129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562</v>
      </c>
      <c r="C340" s="35" t="s">
        <v>803</v>
      </c>
      <c r="D340" s="35" t="s">
        <v>139</v>
      </c>
      <c r="E340" s="21" t="s">
        <v>129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471</v>
      </c>
      <c r="C341" s="35" t="s">
        <v>804</v>
      </c>
      <c r="D341" s="35" t="s">
        <v>368</v>
      </c>
      <c r="E341" s="21" t="s">
        <v>70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471</v>
      </c>
      <c r="C342" s="35" t="s">
        <v>805</v>
      </c>
      <c r="D342" s="35" t="s">
        <v>806</v>
      </c>
      <c r="E342" s="21" t="s">
        <v>70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445</v>
      </c>
      <c r="C343" s="35" t="s">
        <v>807</v>
      </c>
      <c r="D343" s="35" t="s">
        <v>375</v>
      </c>
      <c r="E343" s="21" t="s">
        <v>70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445</v>
      </c>
      <c r="C344" s="35" t="s">
        <v>808</v>
      </c>
      <c r="D344" s="35" t="s">
        <v>808</v>
      </c>
      <c r="E344" s="21" t="s">
        <v>70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445</v>
      </c>
      <c r="C345" s="35" t="s">
        <v>809</v>
      </c>
      <c r="D345" s="35" t="s">
        <v>373</v>
      </c>
      <c r="E345" s="21" t="s">
        <v>70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445</v>
      </c>
      <c r="C346" s="35" t="s">
        <v>810</v>
      </c>
      <c r="D346" s="35" t="s">
        <v>373</v>
      </c>
      <c r="E346" s="21" t="s">
        <v>70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445</v>
      </c>
      <c r="C347" s="35" t="s">
        <v>811</v>
      </c>
      <c r="D347" s="35" t="s">
        <v>812</v>
      </c>
      <c r="E347" s="21" t="s">
        <v>70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445</v>
      </c>
      <c r="C348" s="35" t="s">
        <v>813</v>
      </c>
      <c r="D348" s="35" t="s">
        <v>814</v>
      </c>
      <c r="E348" s="21" t="s">
        <v>70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445</v>
      </c>
      <c r="C349" s="35" t="s">
        <v>361</v>
      </c>
      <c r="D349" s="35" t="s">
        <v>362</v>
      </c>
      <c r="E349" s="21" t="s">
        <v>70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450</v>
      </c>
      <c r="C350" s="35" t="s">
        <v>815</v>
      </c>
      <c r="D350" s="35" t="s">
        <v>362</v>
      </c>
      <c r="E350" s="21" t="s">
        <v>70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471</v>
      </c>
      <c r="C351" s="35" t="s">
        <v>816</v>
      </c>
      <c r="D351" s="35" t="s">
        <v>817</v>
      </c>
      <c r="E351" s="21" t="s">
        <v>70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471</v>
      </c>
      <c r="C352" s="35" t="s">
        <v>359</v>
      </c>
      <c r="D352" s="35" t="s">
        <v>359</v>
      </c>
      <c r="E352" s="21" t="s">
        <v>70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445</v>
      </c>
      <c r="C353" s="35" t="s">
        <v>760</v>
      </c>
      <c r="D353" s="35" t="s">
        <v>818</v>
      </c>
      <c r="E353" s="21" t="s">
        <v>70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690</v>
      </c>
      <c r="C354" s="35" t="s">
        <v>69</v>
      </c>
      <c r="D354" s="35" t="s">
        <v>71</v>
      </c>
      <c r="E354" s="21" t="s">
        <v>70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471</v>
      </c>
      <c r="C355" s="35" t="s">
        <v>819</v>
      </c>
      <c r="D355" s="35" t="s">
        <v>820</v>
      </c>
      <c r="E355" s="21" t="s">
        <v>70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445</v>
      </c>
      <c r="C356" s="35" t="s">
        <v>311</v>
      </c>
      <c r="D356" s="35" t="s">
        <v>821</v>
      </c>
      <c r="E356" s="21" t="s">
        <v>70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471</v>
      </c>
      <c r="C357" s="35" t="s">
        <v>186</v>
      </c>
      <c r="D357" s="35" t="s">
        <v>187</v>
      </c>
      <c r="E357" s="21" t="s">
        <v>70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445</v>
      </c>
      <c r="C358" s="11" t="s">
        <v>822</v>
      </c>
      <c r="D358" s="35" t="s">
        <v>358</v>
      </c>
      <c r="E358" s="21" t="s">
        <v>70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445</v>
      </c>
      <c r="C359" s="35" t="s">
        <v>823</v>
      </c>
      <c r="D359" s="35" t="s">
        <v>824</v>
      </c>
      <c r="E359" s="21" t="s">
        <v>70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445</v>
      </c>
      <c r="C360" s="35" t="s">
        <v>825</v>
      </c>
      <c r="D360" s="35" t="s">
        <v>826</v>
      </c>
      <c r="E360" s="21" t="s">
        <v>70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471</v>
      </c>
      <c r="C361" s="35" t="s">
        <v>376</v>
      </c>
      <c r="D361" s="35" t="s">
        <v>377</v>
      </c>
      <c r="E361" s="21" t="s">
        <v>70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446</v>
      </c>
      <c r="C362" s="35" t="s">
        <v>827</v>
      </c>
      <c r="D362" s="35" t="s">
        <v>366</v>
      </c>
      <c r="E362" s="21" t="s">
        <v>70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445</v>
      </c>
      <c r="C363" s="35" t="s">
        <v>828</v>
      </c>
      <c r="D363" s="35" t="s">
        <v>828</v>
      </c>
      <c r="E363" s="21" t="s">
        <v>70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445</v>
      </c>
      <c r="C364" s="35" t="s">
        <v>371</v>
      </c>
      <c r="D364" s="35" t="s">
        <v>371</v>
      </c>
      <c r="E364" s="21" t="s">
        <v>70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446</v>
      </c>
      <c r="C365" s="35" t="s">
        <v>829</v>
      </c>
      <c r="D365" s="35" t="s">
        <v>830</v>
      </c>
      <c r="E365" s="21" t="s">
        <v>76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445</v>
      </c>
      <c r="C366" s="35" t="s">
        <v>831</v>
      </c>
      <c r="D366" s="35" t="s">
        <v>830</v>
      </c>
      <c r="E366" s="21" t="s">
        <v>76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471</v>
      </c>
      <c r="C367" s="35" t="s">
        <v>832</v>
      </c>
      <c r="D367" s="35" t="s">
        <v>830</v>
      </c>
      <c r="E367" s="21" t="s">
        <v>76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445</v>
      </c>
      <c r="C368" s="35" t="s">
        <v>344</v>
      </c>
      <c r="D368" s="35" t="s">
        <v>345</v>
      </c>
      <c r="E368" s="21" t="s">
        <v>76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471</v>
      </c>
      <c r="C369" s="35" t="s">
        <v>833</v>
      </c>
      <c r="D369" s="35" t="s">
        <v>834</v>
      </c>
      <c r="E369" s="21" t="s">
        <v>76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445</v>
      </c>
      <c r="C370" s="35" t="s">
        <v>402</v>
      </c>
      <c r="D370" s="35" t="s">
        <v>835</v>
      </c>
      <c r="E370" s="21" t="s">
        <v>76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450</v>
      </c>
      <c r="C371" s="35" t="s">
        <v>836</v>
      </c>
      <c r="D371" s="35" t="s">
        <v>837</v>
      </c>
      <c r="E371" s="21" t="s">
        <v>76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471</v>
      </c>
      <c r="C372" s="35" t="s">
        <v>838</v>
      </c>
      <c r="D372" s="35" t="s">
        <v>465</v>
      </c>
      <c r="E372" s="21" t="s">
        <v>76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444</v>
      </c>
      <c r="C373" s="35" t="s">
        <v>75</v>
      </c>
      <c r="D373" s="35" t="s">
        <v>77</v>
      </c>
      <c r="E373" s="21" t="s">
        <v>76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445</v>
      </c>
      <c r="C374" s="35" t="s">
        <v>839</v>
      </c>
      <c r="D374" s="35" t="s">
        <v>77</v>
      </c>
      <c r="E374" s="21" t="s">
        <v>76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450</v>
      </c>
      <c r="C375" s="11" t="s">
        <v>840</v>
      </c>
      <c r="D375" s="35" t="s">
        <v>77</v>
      </c>
      <c r="E375" s="21" t="s">
        <v>76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445</v>
      </c>
      <c r="C376" s="35" t="s">
        <v>347</v>
      </c>
      <c r="D376" s="35" t="s">
        <v>348</v>
      </c>
      <c r="E376" s="21" t="s">
        <v>76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444</v>
      </c>
      <c r="C377" s="35" t="s">
        <v>841</v>
      </c>
      <c r="D377" s="35" t="s">
        <v>343</v>
      </c>
      <c r="E377" s="21" t="s">
        <v>76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445</v>
      </c>
      <c r="C378" s="35" t="s">
        <v>842</v>
      </c>
      <c r="D378" s="35" t="s">
        <v>343</v>
      </c>
      <c r="E378" s="21" t="s">
        <v>76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445</v>
      </c>
      <c r="C379" s="35" t="s">
        <v>346</v>
      </c>
      <c r="D379" s="35" t="s">
        <v>343</v>
      </c>
      <c r="E379" s="21" t="s">
        <v>76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445</v>
      </c>
      <c r="C380" s="35" t="s">
        <v>843</v>
      </c>
      <c r="D380" s="35" t="s">
        <v>844</v>
      </c>
      <c r="E380" s="21" t="s">
        <v>76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471</v>
      </c>
      <c r="C381" s="35" t="s">
        <v>174</v>
      </c>
      <c r="D381" s="35" t="s">
        <v>174</v>
      </c>
      <c r="E381" s="21" t="s">
        <v>173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445</v>
      </c>
      <c r="C382" s="35" t="s">
        <v>845</v>
      </c>
      <c r="D382" s="35" t="s">
        <v>160</v>
      </c>
      <c r="E382" s="21" t="s">
        <v>92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471</v>
      </c>
      <c r="C383" s="35" t="s">
        <v>846</v>
      </c>
      <c r="D383" s="35" t="s">
        <v>160</v>
      </c>
      <c r="E383" s="21" t="s">
        <v>92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444</v>
      </c>
      <c r="C384" s="26" t="s">
        <v>91</v>
      </c>
      <c r="D384" s="26" t="s">
        <v>93</v>
      </c>
      <c r="E384" s="26" t="s">
        <v>92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6" t="s">
        <v>847</v>
      </c>
      <c r="B1" s="126" t="s">
        <v>7</v>
      </c>
      <c r="C1" s="126" t="s">
        <v>10</v>
      </c>
      <c r="D1" s="126" t="s">
        <v>9</v>
      </c>
      <c r="E1" s="126" t="s">
        <v>11</v>
      </c>
      <c r="F1" s="126" t="s">
        <v>15</v>
      </c>
      <c r="G1" s="126" t="s">
        <v>848</v>
      </c>
      <c r="H1" s="123" t="s">
        <v>849</v>
      </c>
      <c r="I1" s="124"/>
      <c r="J1" s="125"/>
      <c r="K1" s="123" t="s">
        <v>850</v>
      </c>
      <c r="L1" s="124"/>
      <c r="M1" s="125"/>
      <c r="N1" s="123" t="s">
        <v>851</v>
      </c>
      <c r="O1" s="124"/>
      <c r="P1" s="125"/>
      <c r="Q1" s="123" t="s">
        <v>852</v>
      </c>
      <c r="R1" s="124"/>
      <c r="S1" s="125"/>
      <c r="T1" s="123" t="s">
        <v>853</v>
      </c>
      <c r="U1" s="124"/>
      <c r="V1" s="125"/>
      <c r="W1" s="123" t="s">
        <v>854</v>
      </c>
      <c r="X1" s="124"/>
      <c r="Y1" s="125"/>
      <c r="Z1" s="123" t="s">
        <v>855</v>
      </c>
      <c r="AA1" s="124"/>
      <c r="AB1" s="125"/>
      <c r="AC1" s="123" t="s">
        <v>856</v>
      </c>
      <c r="AD1" s="124"/>
      <c r="AE1" s="125"/>
      <c r="AF1" s="123" t="s">
        <v>857</v>
      </c>
      <c r="AG1" s="124"/>
      <c r="AH1" s="125"/>
      <c r="AI1" s="123" t="s">
        <v>858</v>
      </c>
      <c r="AJ1" s="124"/>
      <c r="AK1" s="125"/>
      <c r="AL1" s="123" t="s">
        <v>859</v>
      </c>
      <c r="AM1" s="124"/>
      <c r="AN1" s="125"/>
      <c r="AO1" s="123" t="s">
        <v>860</v>
      </c>
      <c r="AP1" s="124"/>
      <c r="AQ1" s="125"/>
      <c r="AS1" s="56" t="s">
        <v>861</v>
      </c>
      <c r="AT1" s="56" t="s">
        <v>862</v>
      </c>
      <c r="AU1" s="56" t="s">
        <v>863</v>
      </c>
    </row>
    <row r="2" spans="1:47" ht="14.45" customHeight="1" x14ac:dyDescent="0.25">
      <c r="A2" s="127"/>
      <c r="B2" s="127"/>
      <c r="C2" s="127"/>
      <c r="D2" s="127"/>
      <c r="E2" s="127"/>
      <c r="F2" s="127"/>
      <c r="G2" s="127"/>
      <c r="H2" s="43" t="s">
        <v>864</v>
      </c>
      <c r="I2" s="43" t="s">
        <v>3</v>
      </c>
      <c r="J2" s="43" t="s">
        <v>865</v>
      </c>
      <c r="K2" s="43" t="s">
        <v>864</v>
      </c>
      <c r="L2" s="43" t="s">
        <v>3</v>
      </c>
      <c r="M2" s="43" t="s">
        <v>865</v>
      </c>
      <c r="N2" s="43" t="s">
        <v>864</v>
      </c>
      <c r="O2" s="43" t="s">
        <v>3</v>
      </c>
      <c r="P2" s="43" t="s">
        <v>865</v>
      </c>
      <c r="Q2" s="43" t="s">
        <v>864</v>
      </c>
      <c r="R2" s="43" t="s">
        <v>3</v>
      </c>
      <c r="S2" s="43" t="s">
        <v>865</v>
      </c>
      <c r="T2" s="43" t="s">
        <v>864</v>
      </c>
      <c r="U2" s="43" t="s">
        <v>3</v>
      </c>
      <c r="V2" s="43" t="s">
        <v>865</v>
      </c>
      <c r="W2" s="43" t="s">
        <v>864</v>
      </c>
      <c r="X2" s="43" t="s">
        <v>3</v>
      </c>
      <c r="Y2" s="43" t="s">
        <v>865</v>
      </c>
      <c r="Z2" s="43" t="s">
        <v>864</v>
      </c>
      <c r="AA2" s="43" t="s">
        <v>3</v>
      </c>
      <c r="AB2" s="43" t="s">
        <v>865</v>
      </c>
      <c r="AC2" s="43" t="s">
        <v>864</v>
      </c>
      <c r="AD2" s="43" t="s">
        <v>3</v>
      </c>
      <c r="AE2" s="43" t="s">
        <v>865</v>
      </c>
      <c r="AF2" s="43" t="s">
        <v>864</v>
      </c>
      <c r="AG2" s="43" t="s">
        <v>3</v>
      </c>
      <c r="AH2" s="43" t="s">
        <v>865</v>
      </c>
      <c r="AI2" s="43" t="s">
        <v>864</v>
      </c>
      <c r="AJ2" s="43" t="s">
        <v>3</v>
      </c>
      <c r="AK2" s="43" t="s">
        <v>865</v>
      </c>
      <c r="AL2" s="43" t="s">
        <v>864</v>
      </c>
      <c r="AM2" s="43" t="s">
        <v>3</v>
      </c>
      <c r="AN2" s="43" t="s">
        <v>865</v>
      </c>
      <c r="AO2" s="43" t="s">
        <v>864</v>
      </c>
      <c r="AP2" s="43" t="s">
        <v>3</v>
      </c>
      <c r="AQ2" s="43" t="s">
        <v>865</v>
      </c>
      <c r="AS2" s="57">
        <v>1</v>
      </c>
      <c r="AT2" s="58" t="s">
        <v>849</v>
      </c>
      <c r="AU2" s="59">
        <v>31</v>
      </c>
    </row>
    <row r="3" spans="1:47" ht="14.45" customHeight="1" x14ac:dyDescent="0.25">
      <c r="A3" s="42">
        <v>15075030</v>
      </c>
      <c r="B3" s="42" t="s">
        <v>866</v>
      </c>
      <c r="C3" s="42">
        <v>11.78105556</v>
      </c>
      <c r="D3" s="42">
        <v>-72.463499999999996</v>
      </c>
      <c r="E3" s="42">
        <v>1</v>
      </c>
      <c r="F3" s="42" t="s">
        <v>199</v>
      </c>
      <c r="G3" s="42" t="s">
        <v>40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850</v>
      </c>
      <c r="AU3" s="59">
        <v>28</v>
      </c>
    </row>
    <row r="4" spans="1:47" ht="14.45" customHeight="1" x14ac:dyDescent="0.25">
      <c r="A4" s="42">
        <v>51035020</v>
      </c>
      <c r="B4" s="42" t="s">
        <v>867</v>
      </c>
      <c r="C4" s="42">
        <v>1.819166667</v>
      </c>
      <c r="D4" s="42">
        <v>-78.73</v>
      </c>
      <c r="E4" s="42">
        <v>1</v>
      </c>
      <c r="F4" s="42" t="s">
        <v>746</v>
      </c>
      <c r="G4" s="42" t="s">
        <v>82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851</v>
      </c>
      <c r="AU4" s="59">
        <v>31</v>
      </c>
    </row>
    <row r="5" spans="1:47" ht="14.45" customHeight="1" x14ac:dyDescent="0.25">
      <c r="A5" s="42">
        <v>14015080</v>
      </c>
      <c r="B5" s="42" t="s">
        <v>868</v>
      </c>
      <c r="C5" s="42">
        <v>10.44725</v>
      </c>
      <c r="D5" s="42">
        <v>-75.516027780000002</v>
      </c>
      <c r="E5" s="42">
        <v>2</v>
      </c>
      <c r="F5" s="42" t="s">
        <v>869</v>
      </c>
      <c r="G5" s="42" t="s">
        <v>870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852</v>
      </c>
      <c r="AU5" s="59">
        <v>30</v>
      </c>
    </row>
    <row r="6" spans="1:47" ht="14.45" customHeight="1" x14ac:dyDescent="0.25">
      <c r="A6" s="42">
        <v>17015010</v>
      </c>
      <c r="B6" s="42" t="s">
        <v>871</v>
      </c>
      <c r="C6" s="42">
        <v>12.587849</v>
      </c>
      <c r="D6" s="42">
        <v>-81.701116999999996</v>
      </c>
      <c r="E6" s="42">
        <v>3</v>
      </c>
      <c r="F6" s="42" t="s">
        <v>872</v>
      </c>
      <c r="G6" s="42" t="s">
        <v>873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853</v>
      </c>
      <c r="AU6" s="59">
        <v>31</v>
      </c>
    </row>
    <row r="7" spans="1:47" ht="14.45" customHeight="1" x14ac:dyDescent="0.25">
      <c r="A7" s="42">
        <v>12045010</v>
      </c>
      <c r="B7" s="42" t="s">
        <v>874</v>
      </c>
      <c r="C7" s="42">
        <v>8.846944444</v>
      </c>
      <c r="D7" s="42">
        <v>-76.431944439999995</v>
      </c>
      <c r="E7" s="42">
        <v>4</v>
      </c>
      <c r="F7" s="42" t="s">
        <v>117</v>
      </c>
      <c r="G7" s="42" t="s">
        <v>57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854</v>
      </c>
      <c r="AU7" s="59">
        <v>30</v>
      </c>
    </row>
    <row r="8" spans="1:47" ht="14.45" customHeight="1" x14ac:dyDescent="0.25">
      <c r="A8" s="42">
        <v>15015050</v>
      </c>
      <c r="B8" s="42" t="s">
        <v>875</v>
      </c>
      <c r="C8" s="42">
        <v>11.114694399999999</v>
      </c>
      <c r="D8" s="42">
        <v>-74.231027777999998</v>
      </c>
      <c r="E8" s="42">
        <v>4</v>
      </c>
      <c r="F8" s="42" t="s">
        <v>32</v>
      </c>
      <c r="G8" s="42" t="s">
        <v>31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855</v>
      </c>
      <c r="AU8" s="59">
        <v>31</v>
      </c>
    </row>
    <row r="9" spans="1:47" ht="14.45" customHeight="1" x14ac:dyDescent="0.25">
      <c r="A9" s="42">
        <v>15035020</v>
      </c>
      <c r="B9" s="42" t="s">
        <v>876</v>
      </c>
      <c r="C9" s="42">
        <v>11.2525</v>
      </c>
      <c r="D9" s="42">
        <v>-73.411388889999998</v>
      </c>
      <c r="E9" s="42">
        <v>5</v>
      </c>
      <c r="F9" s="42" t="s">
        <v>877</v>
      </c>
      <c r="G9" s="42" t="s">
        <v>40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856</v>
      </c>
      <c r="AU9" s="59">
        <v>31</v>
      </c>
    </row>
    <row r="10" spans="1:47" ht="14.45" customHeight="1" x14ac:dyDescent="0.25">
      <c r="A10" s="42">
        <v>15015120</v>
      </c>
      <c r="B10" s="42" t="s">
        <v>878</v>
      </c>
      <c r="C10" s="42">
        <v>11.223055560000001</v>
      </c>
      <c r="D10" s="42">
        <v>-74.185916669999997</v>
      </c>
      <c r="E10" s="42">
        <v>7</v>
      </c>
      <c r="F10" s="42" t="s">
        <v>32</v>
      </c>
      <c r="G10" s="42" t="s">
        <v>31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857</v>
      </c>
      <c r="AU10" s="59">
        <v>30</v>
      </c>
    </row>
    <row r="11" spans="1:47" ht="14.45" customHeight="1" x14ac:dyDescent="0.25">
      <c r="A11" s="42">
        <v>17025020</v>
      </c>
      <c r="B11" s="42" t="s">
        <v>879</v>
      </c>
      <c r="C11" s="42">
        <v>13.359500000000001</v>
      </c>
      <c r="D11" s="42">
        <v>-81.357721944000005</v>
      </c>
      <c r="E11" s="42">
        <v>7</v>
      </c>
      <c r="F11" s="42" t="s">
        <v>880</v>
      </c>
      <c r="G11" s="42" t="s">
        <v>873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858</v>
      </c>
      <c r="AU11" s="59">
        <v>31</v>
      </c>
    </row>
    <row r="12" spans="1:47" ht="14.45" customHeight="1" x14ac:dyDescent="0.25">
      <c r="A12" s="42">
        <v>15075501</v>
      </c>
      <c r="B12" s="42" t="s">
        <v>881</v>
      </c>
      <c r="C12" s="42">
        <v>12.224305559999999</v>
      </c>
      <c r="D12" s="42">
        <v>-71.982888889999998</v>
      </c>
      <c r="E12" s="42">
        <v>10</v>
      </c>
      <c r="F12" s="42" t="s">
        <v>707</v>
      </c>
      <c r="G12" s="42" t="s">
        <v>40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859</v>
      </c>
      <c r="AU12" s="59">
        <v>30</v>
      </c>
    </row>
    <row r="13" spans="1:47" ht="14.45" customHeight="1" x14ac:dyDescent="0.25">
      <c r="A13" s="42">
        <v>25025210</v>
      </c>
      <c r="B13" s="42" t="s">
        <v>882</v>
      </c>
      <c r="C13" s="42">
        <v>8.9113888889999995</v>
      </c>
      <c r="D13" s="42">
        <v>-74.457777780000001</v>
      </c>
      <c r="E13" s="42">
        <v>10</v>
      </c>
      <c r="F13" s="42" t="s">
        <v>135</v>
      </c>
      <c r="G13" s="42" t="s">
        <v>870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860</v>
      </c>
      <c r="AU13" s="59">
        <v>31</v>
      </c>
    </row>
    <row r="14" spans="1:47" ht="14.45" customHeight="1" x14ac:dyDescent="0.2">
      <c r="A14" s="42">
        <v>29035000</v>
      </c>
      <c r="B14" s="42" t="s">
        <v>883</v>
      </c>
      <c r="C14" s="42">
        <v>10.142583330000001</v>
      </c>
      <c r="D14" s="42">
        <v>-75.278277779999996</v>
      </c>
      <c r="E14" s="42">
        <v>10</v>
      </c>
      <c r="F14" s="42" t="s">
        <v>143</v>
      </c>
      <c r="G14" s="42" t="s">
        <v>870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884</v>
      </c>
      <c r="C15" s="42">
        <v>10.453965999999999</v>
      </c>
      <c r="D15" s="42">
        <v>-74.954725999999994</v>
      </c>
      <c r="E15" s="42">
        <v>10</v>
      </c>
      <c r="F15" s="42" t="s">
        <v>147</v>
      </c>
      <c r="G15" s="42" t="s">
        <v>885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886</v>
      </c>
      <c r="C16" s="42">
        <v>10.49</v>
      </c>
      <c r="D16" s="42">
        <v>-75.126944440000003</v>
      </c>
      <c r="E16" s="42">
        <v>10</v>
      </c>
      <c r="F16" s="42" t="s">
        <v>506</v>
      </c>
      <c r="G16" s="42" t="s">
        <v>885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887</v>
      </c>
      <c r="C17" s="42">
        <v>9.9448059999999998</v>
      </c>
      <c r="D17" s="42">
        <v>-75.351561000000004</v>
      </c>
      <c r="E17" s="42">
        <v>13</v>
      </c>
      <c r="F17" s="42" t="s">
        <v>145</v>
      </c>
      <c r="G17" s="42" t="s">
        <v>870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888</v>
      </c>
      <c r="C18" s="42">
        <v>10.91777778</v>
      </c>
      <c r="D18" s="42">
        <v>-74.779722219999996</v>
      </c>
      <c r="E18" s="42">
        <v>14</v>
      </c>
      <c r="F18" s="42" t="s">
        <v>38</v>
      </c>
      <c r="G18" s="42" t="s">
        <v>885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889</v>
      </c>
      <c r="C19" s="42">
        <v>4.2225000000000001</v>
      </c>
      <c r="D19" s="42">
        <v>-77.27633333</v>
      </c>
      <c r="E19" s="42">
        <v>14</v>
      </c>
      <c r="F19" s="42" t="s">
        <v>830</v>
      </c>
      <c r="G19" s="42" t="s">
        <v>341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890</v>
      </c>
      <c r="C20" s="42">
        <v>11.5284444</v>
      </c>
      <c r="D20" s="42">
        <v>-72.917722221999995</v>
      </c>
      <c r="E20" s="42">
        <v>15</v>
      </c>
      <c r="F20" s="42" t="s">
        <v>41</v>
      </c>
      <c r="G20" s="42" t="s">
        <v>40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891</v>
      </c>
      <c r="C21" s="42">
        <v>9.2819444440000005</v>
      </c>
      <c r="D21" s="42">
        <v>-74.845277780000004</v>
      </c>
      <c r="E21" s="42">
        <v>18</v>
      </c>
      <c r="F21" s="42" t="s">
        <v>510</v>
      </c>
      <c r="G21" s="42" t="s">
        <v>870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892</v>
      </c>
      <c r="C22" s="42">
        <v>8.8258333330000003</v>
      </c>
      <c r="D22" s="42">
        <v>-75.825138890000005</v>
      </c>
      <c r="E22" s="42">
        <v>20</v>
      </c>
      <c r="F22" s="42" t="s">
        <v>47</v>
      </c>
      <c r="G22" s="42" t="s">
        <v>893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894</v>
      </c>
      <c r="C23" s="42">
        <v>9.1507500000000004</v>
      </c>
      <c r="D23" s="42">
        <v>-75.622083329999995</v>
      </c>
      <c r="E23" s="42">
        <v>20</v>
      </c>
      <c r="F23" s="42" t="s">
        <v>123</v>
      </c>
      <c r="G23" s="42" t="s">
        <v>893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895</v>
      </c>
      <c r="C24" s="42">
        <v>8.8395277780000008</v>
      </c>
      <c r="D24" s="42">
        <v>-75.801888890000001</v>
      </c>
      <c r="E24" s="42">
        <v>20</v>
      </c>
      <c r="F24" s="42" t="s">
        <v>609</v>
      </c>
      <c r="G24" s="42" t="s">
        <v>893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896</v>
      </c>
      <c r="C25" s="42">
        <v>9.2972222220000003</v>
      </c>
      <c r="D25" s="42">
        <v>-75.892777780000003</v>
      </c>
      <c r="E25" s="42">
        <v>20</v>
      </c>
      <c r="F25" s="42" t="s">
        <v>613</v>
      </c>
      <c r="G25" s="42" t="s">
        <v>893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897</v>
      </c>
      <c r="C26" s="42">
        <v>10.794988</v>
      </c>
      <c r="D26" s="42">
        <v>-75.261671000000007</v>
      </c>
      <c r="E26" s="42">
        <v>20</v>
      </c>
      <c r="F26" s="42" t="s">
        <v>898</v>
      </c>
      <c r="G26" s="42" t="s">
        <v>870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899</v>
      </c>
      <c r="C27" s="42">
        <v>11.26388889</v>
      </c>
      <c r="D27" s="42">
        <v>-73.030277780000006</v>
      </c>
      <c r="E27" s="42">
        <v>20</v>
      </c>
      <c r="F27" s="42" t="s">
        <v>41</v>
      </c>
      <c r="G27" s="42" t="s">
        <v>40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900</v>
      </c>
      <c r="C28" s="42">
        <v>8.2950638889999997</v>
      </c>
      <c r="D28" s="42">
        <v>-75.164555559999997</v>
      </c>
      <c r="E28" s="42">
        <v>20</v>
      </c>
      <c r="F28" s="42" t="s">
        <v>901</v>
      </c>
      <c r="G28" s="42" t="s">
        <v>893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902</v>
      </c>
      <c r="C29" s="42">
        <v>9.1638888890000008</v>
      </c>
      <c r="D29" s="42">
        <v>-75.044722219999997</v>
      </c>
      <c r="E29" s="42">
        <v>20</v>
      </c>
      <c r="F29" s="42" t="s">
        <v>139</v>
      </c>
      <c r="G29" s="42" t="s">
        <v>129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903</v>
      </c>
      <c r="C30" s="42">
        <v>10.04316667</v>
      </c>
      <c r="D30" s="42">
        <v>-75.258611110000004</v>
      </c>
      <c r="E30" s="42">
        <v>20</v>
      </c>
      <c r="F30" s="42" t="s">
        <v>145</v>
      </c>
      <c r="G30" s="42" t="s">
        <v>870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904</v>
      </c>
      <c r="C31" s="42">
        <v>10.721111110000001</v>
      </c>
      <c r="D31" s="42">
        <v>-74.199722219999998</v>
      </c>
      <c r="E31" s="42">
        <v>20</v>
      </c>
      <c r="F31" s="42" t="s">
        <v>721</v>
      </c>
      <c r="G31" s="42" t="s">
        <v>31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905</v>
      </c>
      <c r="C32" s="42">
        <v>9.3699999999999992</v>
      </c>
      <c r="D32" s="42">
        <v>-75.95</v>
      </c>
      <c r="E32" s="42">
        <v>22</v>
      </c>
      <c r="F32" s="42" t="s">
        <v>127</v>
      </c>
      <c r="G32" s="42" t="s">
        <v>893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906</v>
      </c>
      <c r="C33" s="42">
        <v>8.41</v>
      </c>
      <c r="D33" s="42">
        <v>-75.88</v>
      </c>
      <c r="E33" s="42">
        <v>25</v>
      </c>
      <c r="F33" s="42" t="s">
        <v>47</v>
      </c>
      <c r="G33" s="42" t="s">
        <v>893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907</v>
      </c>
      <c r="C34" s="42">
        <v>9.3040555559999998</v>
      </c>
      <c r="D34" s="42">
        <v>-74.273638890000001</v>
      </c>
      <c r="E34" s="42">
        <v>25</v>
      </c>
      <c r="F34" s="42" t="s">
        <v>203</v>
      </c>
      <c r="G34" s="42" t="s">
        <v>31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908</v>
      </c>
      <c r="C35" s="42">
        <v>3.8201111110000001</v>
      </c>
      <c r="D35" s="42">
        <v>-76.992388888999997</v>
      </c>
      <c r="E35" s="42">
        <v>28</v>
      </c>
      <c r="F35" s="42" t="s">
        <v>830</v>
      </c>
      <c r="G35" s="42" t="s">
        <v>341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909</v>
      </c>
      <c r="C36" s="42">
        <v>4.6881944439999996</v>
      </c>
      <c r="D36" s="42">
        <v>-76.934250000000006</v>
      </c>
      <c r="E36" s="42">
        <v>28</v>
      </c>
      <c r="F36" s="42" t="s">
        <v>601</v>
      </c>
      <c r="G36" s="42" t="s">
        <v>910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911</v>
      </c>
      <c r="C37" s="42">
        <v>1.67</v>
      </c>
      <c r="D37" s="42">
        <v>-78.14</v>
      </c>
      <c r="E37" s="42">
        <v>32</v>
      </c>
      <c r="F37" s="42" t="s">
        <v>741</v>
      </c>
      <c r="G37" s="42" t="s">
        <v>82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912</v>
      </c>
      <c r="C38" s="42">
        <v>9.0463333329999998</v>
      </c>
      <c r="D38" s="42">
        <v>-73.970833330000005</v>
      </c>
      <c r="E38" s="42">
        <v>34</v>
      </c>
      <c r="F38" s="42" t="s">
        <v>713</v>
      </c>
      <c r="G38" s="42" t="s">
        <v>31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913</v>
      </c>
      <c r="C39" s="42">
        <v>8.0918055560000006</v>
      </c>
      <c r="D39" s="42">
        <v>-76.716333329999998</v>
      </c>
      <c r="E39" s="42">
        <v>37</v>
      </c>
      <c r="F39" s="42" t="s">
        <v>914</v>
      </c>
      <c r="G39" s="42" t="s">
        <v>57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915</v>
      </c>
      <c r="C40" s="42">
        <v>7.77</v>
      </c>
      <c r="D40" s="42">
        <v>-76.67</v>
      </c>
      <c r="E40" s="42">
        <v>39</v>
      </c>
      <c r="F40" s="42" t="s">
        <v>58</v>
      </c>
      <c r="G40" s="42" t="s">
        <v>57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916</v>
      </c>
      <c r="C41" s="42">
        <v>8.9138888890000008</v>
      </c>
      <c r="D41" s="42">
        <v>-75.582222220000006</v>
      </c>
      <c r="E41" s="42">
        <v>40</v>
      </c>
      <c r="F41" s="42" t="s">
        <v>126</v>
      </c>
      <c r="G41" s="42" t="s">
        <v>893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917</v>
      </c>
      <c r="C42" s="42">
        <v>9.3610277780000004</v>
      </c>
      <c r="D42" s="42">
        <v>-73.59338889</v>
      </c>
      <c r="E42" s="42">
        <v>40</v>
      </c>
      <c r="F42" s="42" t="s">
        <v>592</v>
      </c>
      <c r="G42" s="42" t="s">
        <v>43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918</v>
      </c>
      <c r="C43" s="42">
        <v>7.8163888889999997</v>
      </c>
      <c r="D43" s="42">
        <v>-76.717888889999998</v>
      </c>
      <c r="E43" s="42">
        <v>41</v>
      </c>
      <c r="F43" s="42" t="s">
        <v>58</v>
      </c>
      <c r="G43" s="42" t="s">
        <v>57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919</v>
      </c>
      <c r="C44" s="42">
        <v>7.8259166670000004</v>
      </c>
      <c r="D44" s="42">
        <v>-76.65133333</v>
      </c>
      <c r="E44" s="42">
        <v>43</v>
      </c>
      <c r="F44" s="42" t="s">
        <v>103</v>
      </c>
      <c r="G44" s="42" t="s">
        <v>57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920</v>
      </c>
      <c r="C45" s="42">
        <v>11.68605556</v>
      </c>
      <c r="D45" s="42">
        <v>-71.833055560000005</v>
      </c>
      <c r="E45" s="42">
        <v>50</v>
      </c>
      <c r="F45" s="42" t="s">
        <v>707</v>
      </c>
      <c r="G45" s="42" t="s">
        <v>40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921</v>
      </c>
      <c r="C46" s="42">
        <v>8.0038888890000006</v>
      </c>
      <c r="D46" s="42">
        <v>-75.402777779999994</v>
      </c>
      <c r="E46" s="42">
        <v>50</v>
      </c>
      <c r="F46" s="42" t="s">
        <v>132</v>
      </c>
      <c r="G46" s="42" t="s">
        <v>893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922</v>
      </c>
      <c r="C47" s="42">
        <v>8.9542222220000003</v>
      </c>
      <c r="D47" s="42">
        <v>-73.630083330000005</v>
      </c>
      <c r="E47" s="42">
        <v>50</v>
      </c>
      <c r="F47" s="42" t="s">
        <v>209</v>
      </c>
      <c r="G47" s="42" t="s">
        <v>43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923</v>
      </c>
      <c r="C48" s="42">
        <v>9.9049166670000002</v>
      </c>
      <c r="D48" s="42">
        <v>-73.647527780000004</v>
      </c>
      <c r="E48" s="42">
        <v>50</v>
      </c>
      <c r="F48" s="42" t="s">
        <v>44</v>
      </c>
      <c r="G48" s="42" t="s">
        <v>43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924</v>
      </c>
      <c r="C49" s="42">
        <v>5.6261666669999997</v>
      </c>
      <c r="D49" s="42">
        <v>-76.749722219999995</v>
      </c>
      <c r="E49" s="42">
        <v>53</v>
      </c>
      <c r="F49" s="42" t="s">
        <v>925</v>
      </c>
      <c r="G49" s="42" t="s">
        <v>910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926</v>
      </c>
      <c r="C50" s="42">
        <v>8.5426666670000007</v>
      </c>
      <c r="D50" s="42">
        <v>-76.673361110000002</v>
      </c>
      <c r="E50" s="42">
        <v>54</v>
      </c>
      <c r="F50" s="42" t="s">
        <v>469</v>
      </c>
      <c r="G50" s="42" t="s">
        <v>57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927</v>
      </c>
      <c r="C51" s="42">
        <v>6.1822220000000003</v>
      </c>
      <c r="D51" s="42">
        <v>-67.492138999999995</v>
      </c>
      <c r="E51" s="42">
        <v>55</v>
      </c>
      <c r="F51" s="42" t="s">
        <v>93</v>
      </c>
      <c r="G51" s="42" t="s">
        <v>92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928</v>
      </c>
      <c r="C52" s="42">
        <v>5.4989999999999997</v>
      </c>
      <c r="D52" s="42">
        <v>-76.539000000000001</v>
      </c>
      <c r="E52" s="42">
        <v>60</v>
      </c>
      <c r="F52" s="42" t="s">
        <v>929</v>
      </c>
      <c r="G52" s="42" t="s">
        <v>910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930</v>
      </c>
      <c r="C53" s="42">
        <v>9.8796339999999994</v>
      </c>
      <c r="D53" s="42">
        <v>-75.326301000000001</v>
      </c>
      <c r="E53" s="42">
        <v>60</v>
      </c>
      <c r="F53" s="42" t="s">
        <v>145</v>
      </c>
      <c r="G53" s="42" t="s">
        <v>870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931</v>
      </c>
      <c r="C54" s="42">
        <v>3.953555556</v>
      </c>
      <c r="D54" s="42">
        <v>-76.990444440000005</v>
      </c>
      <c r="E54" s="42">
        <v>66</v>
      </c>
      <c r="F54" s="42" t="s">
        <v>830</v>
      </c>
      <c r="G54" s="42" t="s">
        <v>341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932</v>
      </c>
      <c r="C55" s="42">
        <v>10.190666670000001</v>
      </c>
      <c r="D55" s="42">
        <v>-73.547388889999993</v>
      </c>
      <c r="E55" s="42">
        <v>70</v>
      </c>
      <c r="F55" s="42" t="s">
        <v>44</v>
      </c>
      <c r="G55" s="42" t="s">
        <v>43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933</v>
      </c>
      <c r="C56" s="42">
        <v>8.1159111110000008</v>
      </c>
      <c r="D56" s="42">
        <v>-75.413399999999996</v>
      </c>
      <c r="E56" s="42">
        <v>72</v>
      </c>
      <c r="F56" s="42" t="s">
        <v>210</v>
      </c>
      <c r="G56" s="42" t="s">
        <v>893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934</v>
      </c>
      <c r="C57" s="42">
        <v>5.3526388999999996</v>
      </c>
      <c r="D57" s="42">
        <v>-67.856776999999994</v>
      </c>
      <c r="E57" s="42">
        <v>74</v>
      </c>
      <c r="F57" s="42" t="s">
        <v>160</v>
      </c>
      <c r="G57" s="42" t="s">
        <v>92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935</v>
      </c>
      <c r="C58" s="42">
        <v>5.6905555559999996</v>
      </c>
      <c r="D58" s="42">
        <v>-76.643777779999994</v>
      </c>
      <c r="E58" s="42">
        <v>75</v>
      </c>
      <c r="F58" s="42" t="s">
        <v>88</v>
      </c>
      <c r="G58" s="42" t="s">
        <v>910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936</v>
      </c>
      <c r="C59" s="42">
        <v>10.034606999999999</v>
      </c>
      <c r="D59" s="42">
        <v>-74.976637999999994</v>
      </c>
      <c r="E59" s="42">
        <v>75</v>
      </c>
      <c r="F59" s="42" t="s">
        <v>141</v>
      </c>
      <c r="G59" s="42" t="s">
        <v>870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937</v>
      </c>
      <c r="C60" s="42">
        <v>11.13758333</v>
      </c>
      <c r="D60" s="42">
        <v>-72.615944440000007</v>
      </c>
      <c r="E60" s="42">
        <v>80</v>
      </c>
      <c r="F60" s="42" t="s">
        <v>311</v>
      </c>
      <c r="G60" s="42" t="s">
        <v>40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938</v>
      </c>
      <c r="C61" s="42">
        <v>-4.1995089999999999</v>
      </c>
      <c r="D61" s="42">
        <v>-69.943095</v>
      </c>
      <c r="E61" s="42">
        <v>84</v>
      </c>
      <c r="F61" s="42" t="s">
        <v>99</v>
      </c>
      <c r="G61" s="42" t="s">
        <v>98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939</v>
      </c>
      <c r="C62" s="42">
        <v>12.17888889</v>
      </c>
      <c r="D62" s="42">
        <v>-71.28388889</v>
      </c>
      <c r="E62" s="42">
        <v>85</v>
      </c>
      <c r="F62" s="42" t="s">
        <v>707</v>
      </c>
      <c r="G62" s="42" t="s">
        <v>40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940</v>
      </c>
      <c r="C63" s="42">
        <v>8.3993333329999995</v>
      </c>
      <c r="D63" s="42">
        <v>-75.583722219999999</v>
      </c>
      <c r="E63" s="42">
        <v>90</v>
      </c>
      <c r="F63" s="42" t="s">
        <v>134</v>
      </c>
      <c r="G63" s="42" t="s">
        <v>893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941</v>
      </c>
      <c r="C64" s="42">
        <v>8.1672799999999999</v>
      </c>
      <c r="D64" s="42">
        <v>-72.47878</v>
      </c>
      <c r="E64" s="42">
        <v>96</v>
      </c>
      <c r="F64" s="42" t="s">
        <v>55</v>
      </c>
      <c r="G64" s="42" t="s">
        <v>300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942</v>
      </c>
      <c r="C65" s="42">
        <v>3.874444</v>
      </c>
      <c r="D65" s="42">
        <v>-67.919111110000003</v>
      </c>
      <c r="E65" s="42">
        <v>98</v>
      </c>
      <c r="F65" s="42" t="s">
        <v>155</v>
      </c>
      <c r="G65" s="42" t="s">
        <v>154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943</v>
      </c>
      <c r="C66" s="42">
        <v>9.8502500000000008</v>
      </c>
      <c r="D66" s="42">
        <v>-73.265472220000007</v>
      </c>
      <c r="E66" s="42">
        <v>100</v>
      </c>
      <c r="F66" s="42" t="s">
        <v>588</v>
      </c>
      <c r="G66" s="42" t="s">
        <v>43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944</v>
      </c>
      <c r="C67" s="42">
        <v>10.363055559999999</v>
      </c>
      <c r="D67" s="42">
        <v>-73.319444439999998</v>
      </c>
      <c r="E67" s="42">
        <v>110</v>
      </c>
      <c r="F67" s="42" t="s">
        <v>44</v>
      </c>
      <c r="G67" s="42" t="s">
        <v>43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945</v>
      </c>
      <c r="C68" s="42">
        <v>1.2483333329999999</v>
      </c>
      <c r="D68" s="42">
        <v>-78.092500000000001</v>
      </c>
      <c r="E68" s="42">
        <v>110</v>
      </c>
      <c r="F68" s="42" t="s">
        <v>741</v>
      </c>
      <c r="G68" s="42" t="s">
        <v>82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946</v>
      </c>
      <c r="C69" s="42">
        <v>6.8595555560000001</v>
      </c>
      <c r="D69" s="42">
        <v>-73.765083329999996</v>
      </c>
      <c r="E69" s="42">
        <v>114</v>
      </c>
      <c r="F69" s="42" t="s">
        <v>50</v>
      </c>
      <c r="G69" s="42" t="s">
        <v>49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947</v>
      </c>
      <c r="C70" s="42">
        <v>5.8185833330000003</v>
      </c>
      <c r="D70" s="42">
        <v>-72.166777780000004</v>
      </c>
      <c r="E70" s="42">
        <v>117</v>
      </c>
      <c r="F70" s="42" t="s">
        <v>257</v>
      </c>
      <c r="G70" s="42" t="s">
        <v>166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948</v>
      </c>
      <c r="C71" s="42">
        <v>11.216749999999999</v>
      </c>
      <c r="D71" s="42">
        <v>-72.359944440000007</v>
      </c>
      <c r="E71" s="42">
        <v>118</v>
      </c>
      <c r="F71" s="42" t="s">
        <v>201</v>
      </c>
      <c r="G71" s="42" t="s">
        <v>40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949</v>
      </c>
      <c r="C72" s="42">
        <v>7.1447222220000004</v>
      </c>
      <c r="D72" s="42">
        <v>-73.122222219999998</v>
      </c>
      <c r="E72" s="42">
        <v>118</v>
      </c>
      <c r="F72" s="42" t="s">
        <v>950</v>
      </c>
      <c r="G72" s="42" t="s">
        <v>49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951</v>
      </c>
      <c r="C73" s="42">
        <v>8.7408611109999992</v>
      </c>
      <c r="D73" s="42">
        <v>-75.498833329999997</v>
      </c>
      <c r="E73" s="42">
        <v>125</v>
      </c>
      <c r="F73" s="42" t="s">
        <v>622</v>
      </c>
      <c r="G73" s="42" t="s">
        <v>893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952</v>
      </c>
      <c r="C74" s="42">
        <v>7.0263888889999997</v>
      </c>
      <c r="D74" s="42">
        <v>-73.808611110000001</v>
      </c>
      <c r="E74" s="42">
        <v>126</v>
      </c>
      <c r="F74" s="42" t="s">
        <v>50</v>
      </c>
      <c r="G74" s="42" t="s">
        <v>49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953</v>
      </c>
      <c r="C75" s="42">
        <v>3.360416667</v>
      </c>
      <c r="D75" s="42">
        <v>-76.299722222</v>
      </c>
      <c r="E75" s="42">
        <v>128</v>
      </c>
      <c r="F75" s="42" t="s">
        <v>837</v>
      </c>
      <c r="G75" s="42" t="s">
        <v>341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954</v>
      </c>
      <c r="C76" s="42">
        <v>7.0694444440000002</v>
      </c>
      <c r="D76" s="42">
        <v>-70.738055560000006</v>
      </c>
      <c r="E76" s="42">
        <v>128</v>
      </c>
      <c r="F76" s="42" t="s">
        <v>90</v>
      </c>
      <c r="G76" s="42" t="s">
        <v>90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955</v>
      </c>
      <c r="C77" s="42">
        <v>7.3346666669999996</v>
      </c>
      <c r="D77" s="42">
        <v>-76.486027780000001</v>
      </c>
      <c r="E77" s="42">
        <v>132</v>
      </c>
      <c r="F77" s="42" t="s">
        <v>467</v>
      </c>
      <c r="G77" s="42" t="s">
        <v>57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956</v>
      </c>
      <c r="C78" s="42">
        <v>7.2461111110000003</v>
      </c>
      <c r="D78" s="42">
        <v>-73.790000000000006</v>
      </c>
      <c r="E78" s="42">
        <v>138</v>
      </c>
      <c r="F78" s="42" t="s">
        <v>793</v>
      </c>
      <c r="G78" s="42" t="s">
        <v>49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957</v>
      </c>
      <c r="C79" s="42">
        <v>10.43616667</v>
      </c>
      <c r="D79" s="42">
        <v>-73.247666670000001</v>
      </c>
      <c r="E79" s="42">
        <v>138</v>
      </c>
      <c r="F79" s="42" t="s">
        <v>44</v>
      </c>
      <c r="G79" s="42" t="s">
        <v>43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958</v>
      </c>
      <c r="C80" s="42">
        <v>4.9105280000000002</v>
      </c>
      <c r="D80" s="42">
        <v>-71.433082999999996</v>
      </c>
      <c r="E80" s="42">
        <v>139</v>
      </c>
      <c r="F80" s="42" t="s">
        <v>171</v>
      </c>
      <c r="G80" s="42" t="s">
        <v>166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959</v>
      </c>
      <c r="C81" s="42">
        <v>-0.18061111099999999</v>
      </c>
      <c r="D81" s="42">
        <v>-74.776277780000001</v>
      </c>
      <c r="E81" s="42">
        <v>147</v>
      </c>
      <c r="F81" s="42" t="s">
        <v>273</v>
      </c>
      <c r="G81" s="42" t="s">
        <v>264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960</v>
      </c>
      <c r="C82" s="42">
        <v>-0.61636111100000002</v>
      </c>
      <c r="D82" s="42">
        <v>-72.381916669999995</v>
      </c>
      <c r="E82" s="42">
        <v>150</v>
      </c>
      <c r="F82" s="42" t="s">
        <v>961</v>
      </c>
      <c r="G82" s="42" t="s">
        <v>962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963</v>
      </c>
      <c r="C83" s="42">
        <v>9.7156900000000004</v>
      </c>
      <c r="D83" s="42">
        <v>-75.106448</v>
      </c>
      <c r="E83" s="42">
        <v>152</v>
      </c>
      <c r="F83" s="42" t="s">
        <v>964</v>
      </c>
      <c r="G83" s="42" t="s">
        <v>870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965</v>
      </c>
      <c r="C84" s="42">
        <v>9.7156900000000004</v>
      </c>
      <c r="D84" s="42">
        <v>-75.106448</v>
      </c>
      <c r="E84" s="42">
        <v>152</v>
      </c>
      <c r="F84" s="42" t="s">
        <v>964</v>
      </c>
      <c r="G84" s="42" t="s">
        <v>870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966</v>
      </c>
      <c r="C85" s="42">
        <v>-6.0749999999999998E-2</v>
      </c>
      <c r="D85" s="42">
        <v>-74.665222220000004</v>
      </c>
      <c r="E85" s="42">
        <v>153</v>
      </c>
      <c r="F85" s="42" t="s">
        <v>273</v>
      </c>
      <c r="G85" s="42" t="s">
        <v>264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967</v>
      </c>
      <c r="C86" s="42">
        <v>2.8117779999999999</v>
      </c>
      <c r="D86" s="42">
        <v>-70.475138999999999</v>
      </c>
      <c r="E86" s="42">
        <v>154</v>
      </c>
      <c r="F86" s="42" t="s">
        <v>968</v>
      </c>
      <c r="G86" s="42" t="s">
        <v>154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969</v>
      </c>
      <c r="C87" s="42">
        <v>4.4948059999999996</v>
      </c>
      <c r="D87" s="42">
        <v>-69.812306000000007</v>
      </c>
      <c r="E87" s="42">
        <v>158</v>
      </c>
      <c r="F87" s="42" t="s">
        <v>160</v>
      </c>
      <c r="G87" s="42" t="s">
        <v>92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970</v>
      </c>
      <c r="C88" s="42">
        <v>9.3163888890000006</v>
      </c>
      <c r="D88" s="42">
        <v>-75.387500000000003</v>
      </c>
      <c r="E88" s="42">
        <v>160</v>
      </c>
      <c r="F88" s="42" t="s">
        <v>137</v>
      </c>
      <c r="G88" s="42" t="s">
        <v>129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971</v>
      </c>
      <c r="C89" s="42">
        <v>-1.4446111109999999</v>
      </c>
      <c r="D89" s="42">
        <v>-72.789583332999996</v>
      </c>
      <c r="E89" s="42">
        <v>160</v>
      </c>
      <c r="F89" s="42" t="s">
        <v>418</v>
      </c>
      <c r="G89" s="42" t="s">
        <v>98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972</v>
      </c>
      <c r="C90" s="42">
        <v>8.6144444440000001</v>
      </c>
      <c r="D90" s="42">
        <v>-73.636388890000006</v>
      </c>
      <c r="E90" s="42">
        <v>163</v>
      </c>
      <c r="F90" s="42" t="s">
        <v>594</v>
      </c>
      <c r="G90" s="42" t="s">
        <v>43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973</v>
      </c>
      <c r="C91" s="42">
        <v>7.4749999999999996</v>
      </c>
      <c r="D91" s="42">
        <v>-73.925555560000006</v>
      </c>
      <c r="E91" s="42">
        <v>165</v>
      </c>
      <c r="F91" s="42" t="s">
        <v>148</v>
      </c>
      <c r="G91" s="42" t="s">
        <v>870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974</v>
      </c>
      <c r="C92" s="42">
        <v>9.3338888890000007</v>
      </c>
      <c r="D92" s="42">
        <v>-75.283055559999994</v>
      </c>
      <c r="E92" s="42">
        <v>166</v>
      </c>
      <c r="F92" s="42" t="s">
        <v>130</v>
      </c>
      <c r="G92" s="42" t="s">
        <v>129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975</v>
      </c>
      <c r="C93" s="42">
        <v>6.6494444440000002</v>
      </c>
      <c r="D93" s="42">
        <v>-74.061388890000003</v>
      </c>
      <c r="E93" s="42">
        <v>168</v>
      </c>
      <c r="F93" s="42" t="s">
        <v>791</v>
      </c>
      <c r="G93" s="42" t="s">
        <v>49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976</v>
      </c>
      <c r="C94" s="42">
        <v>1.2597020000000001</v>
      </c>
      <c r="D94" s="42">
        <v>-70.239204000000001</v>
      </c>
      <c r="E94" s="42">
        <v>168</v>
      </c>
      <c r="F94" s="42" t="s">
        <v>174</v>
      </c>
      <c r="G94" s="42" t="s">
        <v>977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978</v>
      </c>
      <c r="C95" s="42">
        <v>10.89813889</v>
      </c>
      <c r="D95" s="42">
        <v>-72.828472219999995</v>
      </c>
      <c r="E95" s="42">
        <v>170</v>
      </c>
      <c r="F95" s="42" t="s">
        <v>979</v>
      </c>
      <c r="G95" s="42" t="s">
        <v>40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980</v>
      </c>
      <c r="C96" s="42">
        <v>8.1807777779999995</v>
      </c>
      <c r="D96" s="42">
        <v>-75.632277779999995</v>
      </c>
      <c r="E96" s="42">
        <v>170</v>
      </c>
      <c r="F96" s="42" t="s">
        <v>134</v>
      </c>
      <c r="G96" s="42" t="s">
        <v>893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981</v>
      </c>
      <c r="C97" s="42">
        <v>5.471388889</v>
      </c>
      <c r="D97" s="42">
        <v>-74.654722219999996</v>
      </c>
      <c r="E97" s="42">
        <v>172</v>
      </c>
      <c r="F97" s="42" t="s">
        <v>982</v>
      </c>
      <c r="G97" s="42" t="s">
        <v>73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983</v>
      </c>
      <c r="C98" s="42">
        <v>4.5538910000000001</v>
      </c>
      <c r="D98" s="42">
        <v>-70.930224999999993</v>
      </c>
      <c r="E98" s="42">
        <v>173</v>
      </c>
      <c r="F98" s="42" t="s">
        <v>160</v>
      </c>
      <c r="G98" s="42" t="s">
        <v>92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984</v>
      </c>
      <c r="C99" s="42">
        <v>4.3698889000000003</v>
      </c>
      <c r="D99" s="42">
        <v>-72.227063799999996</v>
      </c>
      <c r="E99" s="42">
        <v>178</v>
      </c>
      <c r="F99" s="42" t="s">
        <v>985</v>
      </c>
      <c r="G99" s="42" t="s">
        <v>95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986</v>
      </c>
      <c r="C100" s="42">
        <v>6.6161111110000004</v>
      </c>
      <c r="D100" s="42">
        <v>-73.920555559999997</v>
      </c>
      <c r="E100" s="42">
        <v>180</v>
      </c>
      <c r="F100" s="42" t="s">
        <v>791</v>
      </c>
      <c r="G100" s="42" t="s">
        <v>49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987</v>
      </c>
      <c r="C101" s="42">
        <v>10.001805559999999</v>
      </c>
      <c r="D101" s="42">
        <v>-73.249388890000006</v>
      </c>
      <c r="E101" s="42">
        <v>180</v>
      </c>
      <c r="F101" s="42" t="s">
        <v>588</v>
      </c>
      <c r="G101" s="42" t="s">
        <v>43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988</v>
      </c>
      <c r="C102" s="42">
        <v>6.3550000000000004</v>
      </c>
      <c r="D102" s="42">
        <v>-73.368333329999999</v>
      </c>
      <c r="E102" s="42">
        <v>190</v>
      </c>
      <c r="F102" s="42" t="s">
        <v>123</v>
      </c>
      <c r="G102" s="42" t="s">
        <v>49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989</v>
      </c>
      <c r="C103" s="42">
        <v>0.132861111</v>
      </c>
      <c r="D103" s="42">
        <v>-75.851111110000005</v>
      </c>
      <c r="E103" s="42">
        <v>190</v>
      </c>
      <c r="F103" s="42" t="s">
        <v>273</v>
      </c>
      <c r="G103" s="42" t="s">
        <v>264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990</v>
      </c>
      <c r="C104" s="42">
        <v>6.9620800000000003</v>
      </c>
      <c r="D104" s="42">
        <v>-71.851252000000002</v>
      </c>
      <c r="E104" s="42">
        <v>197</v>
      </c>
      <c r="F104" s="42" t="s">
        <v>991</v>
      </c>
      <c r="G104" s="42" t="s">
        <v>90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992</v>
      </c>
      <c r="C105" s="42">
        <v>6.3086111110000003</v>
      </c>
      <c r="D105" s="42">
        <v>-73.952222219999996</v>
      </c>
      <c r="E105" s="42">
        <v>198</v>
      </c>
      <c r="F105" s="42" t="s">
        <v>312</v>
      </c>
      <c r="G105" s="42" t="s">
        <v>49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993</v>
      </c>
      <c r="C106" s="42">
        <v>4.4686500000000002</v>
      </c>
      <c r="D106" s="42">
        <v>-72.953639999999993</v>
      </c>
      <c r="E106" s="42">
        <v>199</v>
      </c>
      <c r="F106" s="42" t="s">
        <v>169</v>
      </c>
      <c r="G106" s="42" t="s">
        <v>95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994</v>
      </c>
      <c r="C107" s="42">
        <v>9.5301388889999998</v>
      </c>
      <c r="D107" s="42">
        <v>-75.351361109999999</v>
      </c>
      <c r="E107" s="42">
        <v>200</v>
      </c>
      <c r="F107" s="42" t="s">
        <v>801</v>
      </c>
      <c r="G107" s="42" t="s">
        <v>129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995</v>
      </c>
      <c r="C108" s="42">
        <v>8.2288888890000003</v>
      </c>
      <c r="D108" s="42">
        <v>-73.602777779999997</v>
      </c>
      <c r="E108" s="42">
        <v>208</v>
      </c>
      <c r="F108" s="42" t="s">
        <v>586</v>
      </c>
      <c r="G108" s="42" t="s">
        <v>43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996</v>
      </c>
      <c r="C109" s="42">
        <v>2.372592</v>
      </c>
      <c r="D109" s="42">
        <v>-72.639860999999996</v>
      </c>
      <c r="E109" s="42">
        <v>216</v>
      </c>
      <c r="F109" s="42" t="s">
        <v>152</v>
      </c>
      <c r="G109" s="42" t="s">
        <v>151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997</v>
      </c>
      <c r="C110" s="42">
        <v>0.73750000000000004</v>
      </c>
      <c r="D110" s="42">
        <v>-75.236111109999996</v>
      </c>
      <c r="E110" s="42">
        <v>219</v>
      </c>
      <c r="F110" s="42" t="s">
        <v>961</v>
      </c>
      <c r="G110" s="42" t="s">
        <v>962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998</v>
      </c>
      <c r="C111" s="42">
        <v>2.176139</v>
      </c>
      <c r="D111" s="42">
        <v>-73.793471999999994</v>
      </c>
      <c r="E111" s="42">
        <v>227</v>
      </c>
      <c r="F111" s="42" t="s">
        <v>156</v>
      </c>
      <c r="G111" s="42" t="s">
        <v>95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999</v>
      </c>
      <c r="C112" s="42">
        <v>1.7354722220000001</v>
      </c>
      <c r="D112" s="42">
        <v>-74.785055560000004</v>
      </c>
      <c r="E112" s="42">
        <v>240</v>
      </c>
      <c r="F112" s="42" t="s">
        <v>1000</v>
      </c>
      <c r="G112" s="42" t="s">
        <v>962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1001</v>
      </c>
      <c r="C113" s="42">
        <v>2.4383889999999999</v>
      </c>
      <c r="D113" s="42">
        <v>-73.932277999999997</v>
      </c>
      <c r="E113" s="42">
        <v>249</v>
      </c>
      <c r="F113" s="42" t="s">
        <v>156</v>
      </c>
      <c r="G113" s="42" t="s">
        <v>95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1002</v>
      </c>
      <c r="C114" s="42">
        <v>7.9302777779999998</v>
      </c>
      <c r="D114" s="42">
        <v>-72.509166669999999</v>
      </c>
      <c r="E114" s="42">
        <v>250</v>
      </c>
      <c r="F114" s="42" t="s">
        <v>55</v>
      </c>
      <c r="G114" s="42" t="s">
        <v>300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1003</v>
      </c>
      <c r="C115" s="42">
        <v>10.566388890000001</v>
      </c>
      <c r="D115" s="42">
        <v>-73.016388890000002</v>
      </c>
      <c r="E115" s="42">
        <v>255</v>
      </c>
      <c r="F115" s="42" t="s">
        <v>205</v>
      </c>
      <c r="G115" s="42" t="s">
        <v>40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1004</v>
      </c>
      <c r="C116" s="42">
        <v>1.1952499999999999</v>
      </c>
      <c r="D116" s="42">
        <v>-75.70447222</v>
      </c>
      <c r="E116" s="42">
        <v>270</v>
      </c>
      <c r="F116" s="42" t="s">
        <v>196</v>
      </c>
      <c r="G116" s="42" t="s">
        <v>962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1005</v>
      </c>
      <c r="C117" s="42">
        <v>3.9325472220000002</v>
      </c>
      <c r="D117" s="42">
        <v>-73.242963888999995</v>
      </c>
      <c r="E117" s="42">
        <v>277</v>
      </c>
      <c r="F117" s="42" t="s">
        <v>176</v>
      </c>
      <c r="G117" s="42" t="s">
        <v>95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1006</v>
      </c>
      <c r="C118" s="42">
        <v>1.5</v>
      </c>
      <c r="D118" s="42">
        <v>-75.66</v>
      </c>
      <c r="E118" s="42">
        <v>280</v>
      </c>
      <c r="F118" s="42" t="s">
        <v>1007</v>
      </c>
      <c r="G118" s="42" t="s">
        <v>962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1008</v>
      </c>
      <c r="C119" s="42">
        <v>7.8488888890000004</v>
      </c>
      <c r="D119" s="42">
        <v>-72.566111109999994</v>
      </c>
      <c r="E119" s="42">
        <v>285</v>
      </c>
      <c r="F119" s="42" t="s">
        <v>55</v>
      </c>
      <c r="G119" s="42" t="s">
        <v>300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1009</v>
      </c>
      <c r="C120" s="42">
        <v>4.5618055560000004</v>
      </c>
      <c r="D120" s="42">
        <v>-74.702388889999995</v>
      </c>
      <c r="E120" s="42">
        <v>297</v>
      </c>
      <c r="F120" s="42" t="s">
        <v>364</v>
      </c>
      <c r="G120" s="42" t="s">
        <v>73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1010</v>
      </c>
      <c r="C121" s="42">
        <v>8.0141666669999996</v>
      </c>
      <c r="D121" s="42">
        <v>-76.203055559999996</v>
      </c>
      <c r="E121" s="42">
        <v>300</v>
      </c>
      <c r="F121" s="42" t="s">
        <v>122</v>
      </c>
      <c r="G121" s="42" t="s">
        <v>893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1011</v>
      </c>
      <c r="C122" s="42">
        <v>1.3033611110000001</v>
      </c>
      <c r="D122" s="42">
        <v>-75.807722221999995</v>
      </c>
      <c r="E122" s="42">
        <v>300</v>
      </c>
      <c r="F122" s="42" t="s">
        <v>1012</v>
      </c>
      <c r="G122" s="42" t="s">
        <v>962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1013</v>
      </c>
      <c r="C123" s="42">
        <v>4.2754444439999997</v>
      </c>
      <c r="D123" s="42">
        <v>-74.798000000000002</v>
      </c>
      <c r="E123" s="42">
        <v>305</v>
      </c>
      <c r="F123" s="42" t="s">
        <v>817</v>
      </c>
      <c r="G123" s="42" t="s">
        <v>70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1014</v>
      </c>
      <c r="C124" s="42">
        <v>4.7837779999999999</v>
      </c>
      <c r="D124" s="42">
        <v>-74.767944439999994</v>
      </c>
      <c r="E124" s="42">
        <v>308</v>
      </c>
      <c r="F124" s="42" t="s">
        <v>368</v>
      </c>
      <c r="G124" s="42" t="s">
        <v>70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1015</v>
      </c>
      <c r="C125" s="42">
        <v>4.300444444</v>
      </c>
      <c r="D125" s="42">
        <v>-73.357500000000002</v>
      </c>
      <c r="E125" s="42">
        <v>310</v>
      </c>
      <c r="F125" s="42" t="s">
        <v>164</v>
      </c>
      <c r="G125" s="42" t="s">
        <v>95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1016</v>
      </c>
      <c r="C126" s="42">
        <v>3.7876111109999999</v>
      </c>
      <c r="D126" s="42">
        <v>-74.917027779999998</v>
      </c>
      <c r="E126" s="42">
        <v>311</v>
      </c>
      <c r="F126" s="42" t="s">
        <v>358</v>
      </c>
      <c r="G126" s="42" t="s">
        <v>70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1017</v>
      </c>
      <c r="C127" s="42">
        <v>3.85575</v>
      </c>
      <c r="D127" s="42">
        <v>-75.015749999999997</v>
      </c>
      <c r="E127" s="42">
        <v>313</v>
      </c>
      <c r="F127" s="42" t="s">
        <v>356</v>
      </c>
      <c r="G127" s="42" t="s">
        <v>70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1018</v>
      </c>
      <c r="C128" s="42">
        <v>1.325138889</v>
      </c>
      <c r="D128" s="42">
        <v>-75.961500000000001</v>
      </c>
      <c r="E128" s="42">
        <v>320</v>
      </c>
      <c r="F128" s="42" t="s">
        <v>194</v>
      </c>
      <c r="G128" s="42" t="s">
        <v>962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1019</v>
      </c>
      <c r="C129" s="42">
        <v>5</v>
      </c>
      <c r="D129" s="42">
        <v>-74.899991666999995</v>
      </c>
      <c r="E129" s="42">
        <v>321</v>
      </c>
      <c r="F129" s="42" t="s">
        <v>806</v>
      </c>
      <c r="G129" s="42" t="s">
        <v>70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1020</v>
      </c>
      <c r="C130" s="42">
        <v>5.3204444439999996</v>
      </c>
      <c r="D130" s="42">
        <v>-72.387500000000003</v>
      </c>
      <c r="E130" s="42">
        <v>325</v>
      </c>
      <c r="F130" s="42" t="s">
        <v>253</v>
      </c>
      <c r="G130" s="42" t="s">
        <v>166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1021</v>
      </c>
      <c r="C131" s="42">
        <v>7.4561111110000002</v>
      </c>
      <c r="D131" s="42">
        <v>-73.537222220000004</v>
      </c>
      <c r="E131" s="42">
        <v>328</v>
      </c>
      <c r="F131" s="42" t="s">
        <v>317</v>
      </c>
      <c r="G131" s="42" t="s">
        <v>49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1022</v>
      </c>
      <c r="C132" s="42">
        <v>4.0088333330000001</v>
      </c>
      <c r="D132" s="42">
        <v>-74.981388890000005</v>
      </c>
      <c r="E132" s="42">
        <v>332</v>
      </c>
      <c r="F132" s="42" t="s">
        <v>359</v>
      </c>
      <c r="G132" s="42" t="s">
        <v>70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1023</v>
      </c>
      <c r="C133" s="42">
        <v>4.0574149999999998</v>
      </c>
      <c r="D133" s="42">
        <v>-73.467865000000003</v>
      </c>
      <c r="E133" s="42">
        <v>340</v>
      </c>
      <c r="F133" s="42" t="s">
        <v>96</v>
      </c>
      <c r="G133" s="42" t="s">
        <v>95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1024</v>
      </c>
      <c r="C134" s="42">
        <v>5.8785277779999996</v>
      </c>
      <c r="D134" s="42">
        <v>-71.887194440000002</v>
      </c>
      <c r="E134" s="42">
        <v>342</v>
      </c>
      <c r="F134" s="42" t="s">
        <v>258</v>
      </c>
      <c r="G134" s="42" t="s">
        <v>166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1025</v>
      </c>
      <c r="C135" s="42">
        <v>5.9783333330000001</v>
      </c>
      <c r="D135" s="42">
        <v>-74.566666670000004</v>
      </c>
      <c r="E135" s="42">
        <v>350</v>
      </c>
      <c r="F135" s="42" t="s">
        <v>1026</v>
      </c>
      <c r="G135" s="42" t="s">
        <v>212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1027</v>
      </c>
      <c r="C136" s="42">
        <v>10.271388890000001</v>
      </c>
      <c r="D136" s="42">
        <v>-73.131388889999997</v>
      </c>
      <c r="E136" s="42">
        <v>350</v>
      </c>
      <c r="F136" s="42" t="s">
        <v>596</v>
      </c>
      <c r="G136" s="42" t="s">
        <v>43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1028</v>
      </c>
      <c r="C137" s="42">
        <v>6.4561944440000003</v>
      </c>
      <c r="D137" s="42">
        <v>-71.745027780000001</v>
      </c>
      <c r="E137" s="42">
        <v>350</v>
      </c>
      <c r="F137" s="42" t="s">
        <v>259</v>
      </c>
      <c r="G137" s="42" t="s">
        <v>90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1029</v>
      </c>
      <c r="C138" s="42">
        <v>0.83897222199999999</v>
      </c>
      <c r="D138" s="42">
        <v>-76.570444440000003</v>
      </c>
      <c r="E138" s="42">
        <v>362</v>
      </c>
      <c r="F138" s="42" t="s">
        <v>770</v>
      </c>
      <c r="G138" s="42" t="s">
        <v>264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1030</v>
      </c>
      <c r="C139" s="42">
        <v>7.0061111110000001</v>
      </c>
      <c r="D139" s="42">
        <v>-72.115833330000001</v>
      </c>
      <c r="E139" s="42">
        <v>370</v>
      </c>
      <c r="F139" s="42" t="s">
        <v>334</v>
      </c>
      <c r="G139" s="42" t="s">
        <v>300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1031</v>
      </c>
      <c r="C140" s="42">
        <v>4.1881388890000002</v>
      </c>
      <c r="D140" s="42">
        <v>-74.96047222</v>
      </c>
      <c r="E140" s="42">
        <v>371</v>
      </c>
      <c r="F140" s="42" t="s">
        <v>362</v>
      </c>
      <c r="G140" s="42" t="s">
        <v>70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1032</v>
      </c>
      <c r="C141" s="42">
        <v>4.0768610000000001</v>
      </c>
      <c r="D141" s="42">
        <v>-73.582722000000004</v>
      </c>
      <c r="E141" s="42">
        <v>386</v>
      </c>
      <c r="F141" s="42" t="s">
        <v>96</v>
      </c>
      <c r="G141" s="42" t="s">
        <v>95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1033</v>
      </c>
      <c r="C142" s="42">
        <v>3.3292222219999998</v>
      </c>
      <c r="D142" s="42">
        <v>-75.184055560000004</v>
      </c>
      <c r="E142" s="42">
        <v>400</v>
      </c>
      <c r="F142" s="42" t="s">
        <v>189</v>
      </c>
      <c r="G142" s="42" t="s">
        <v>79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1034</v>
      </c>
      <c r="C143" s="42">
        <v>3.5738333330000001</v>
      </c>
      <c r="D143" s="42">
        <v>-75.108999999999995</v>
      </c>
      <c r="E143" s="42">
        <v>415</v>
      </c>
      <c r="F143" s="42" t="s">
        <v>187</v>
      </c>
      <c r="G143" s="42" t="s">
        <v>70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1035</v>
      </c>
      <c r="C144" s="42">
        <v>4.1619169999999999</v>
      </c>
      <c r="D144" s="42">
        <v>-73.617582999999996</v>
      </c>
      <c r="E144" s="42">
        <v>420</v>
      </c>
      <c r="F144" s="42" t="s">
        <v>96</v>
      </c>
      <c r="G144" s="42" t="s">
        <v>95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1036</v>
      </c>
      <c r="C145" s="42">
        <v>3.47071</v>
      </c>
      <c r="D145" s="42">
        <v>-73.861850000000004</v>
      </c>
      <c r="E145" s="42">
        <v>422</v>
      </c>
      <c r="F145" s="42" t="s">
        <v>1037</v>
      </c>
      <c r="G145" s="42" t="s">
        <v>95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1038</v>
      </c>
      <c r="C146" s="42">
        <v>4.8215000000000003</v>
      </c>
      <c r="D146" s="42">
        <v>-74.920638890000006</v>
      </c>
      <c r="E146" s="42">
        <v>429</v>
      </c>
      <c r="F146" s="42" t="s">
        <v>820</v>
      </c>
      <c r="G146" s="42" t="s">
        <v>70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1039</v>
      </c>
      <c r="C147" s="42">
        <v>3.1830555559999998</v>
      </c>
      <c r="D147" s="42">
        <v>-75.247500000000002</v>
      </c>
      <c r="E147" s="42">
        <v>430</v>
      </c>
      <c r="F147" s="42" t="s">
        <v>189</v>
      </c>
      <c r="G147" s="42" t="s">
        <v>79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1040</v>
      </c>
      <c r="C148" s="42">
        <v>4.2315277780000002</v>
      </c>
      <c r="D148" s="42">
        <v>-74.995361110000005</v>
      </c>
      <c r="E148" s="42">
        <v>432</v>
      </c>
      <c r="F148" s="42" t="s">
        <v>362</v>
      </c>
      <c r="G148" s="42" t="s">
        <v>70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1041</v>
      </c>
      <c r="C149" s="42">
        <v>5.1700520000000001</v>
      </c>
      <c r="D149" s="42">
        <v>-74.890866000000003</v>
      </c>
      <c r="E149" s="42">
        <v>437</v>
      </c>
      <c r="F149" s="42" t="s">
        <v>821</v>
      </c>
      <c r="G149" s="42" t="s">
        <v>70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1042</v>
      </c>
      <c r="C150" s="42">
        <v>2.94875</v>
      </c>
      <c r="D150" s="42">
        <v>-75.293055559999999</v>
      </c>
      <c r="E150" s="42">
        <v>439</v>
      </c>
      <c r="F150" s="42" t="s">
        <v>80</v>
      </c>
      <c r="G150" s="42" t="s">
        <v>79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1043</v>
      </c>
      <c r="C151" s="42">
        <v>3.3733611109999999</v>
      </c>
      <c r="D151" s="42">
        <v>-75.110111110000005</v>
      </c>
      <c r="E151" s="42">
        <v>440</v>
      </c>
      <c r="F151" s="42" t="s">
        <v>189</v>
      </c>
      <c r="G151" s="42" t="s">
        <v>79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1044</v>
      </c>
      <c r="C152" s="42">
        <v>5.8555277779999999</v>
      </c>
      <c r="D152" s="42">
        <v>-74.848361109999999</v>
      </c>
      <c r="E152" s="42">
        <v>449</v>
      </c>
      <c r="F152" s="42" t="s">
        <v>496</v>
      </c>
      <c r="G152" s="42" t="s">
        <v>57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1045</v>
      </c>
      <c r="C153" s="42">
        <v>2.8288055559999998</v>
      </c>
      <c r="D153" s="42">
        <v>-75.331166670000002</v>
      </c>
      <c r="E153" s="42">
        <v>460</v>
      </c>
      <c r="F153" s="42" t="s">
        <v>692</v>
      </c>
      <c r="G153" s="42" t="s">
        <v>79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1046</v>
      </c>
      <c r="C154" s="42">
        <v>5.0272577780000001</v>
      </c>
      <c r="D154" s="42">
        <v>-72.869841667000003</v>
      </c>
      <c r="E154" s="42">
        <v>460</v>
      </c>
      <c r="F154" s="42" t="s">
        <v>563</v>
      </c>
      <c r="G154" s="42" t="s">
        <v>166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1047</v>
      </c>
      <c r="C155" s="42">
        <v>6.5339166669999997</v>
      </c>
      <c r="D155" s="42">
        <v>-75.827333332999999</v>
      </c>
      <c r="E155" s="42">
        <v>534</v>
      </c>
      <c r="F155" s="42" t="s">
        <v>1048</v>
      </c>
      <c r="G155" s="42" t="s">
        <v>57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1049</v>
      </c>
      <c r="C156" s="42">
        <v>4.2164583330000003</v>
      </c>
      <c r="D156" s="42">
        <v>-75.104611110999997</v>
      </c>
      <c r="E156" s="42">
        <v>591</v>
      </c>
      <c r="F156" s="42" t="s">
        <v>360</v>
      </c>
      <c r="G156" s="42" t="s">
        <v>70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1050</v>
      </c>
      <c r="C157" s="42">
        <v>3.133055556</v>
      </c>
      <c r="D157" s="42">
        <v>-75.081527780000002</v>
      </c>
      <c r="E157" s="42">
        <v>600</v>
      </c>
      <c r="F157" s="42" t="s">
        <v>677</v>
      </c>
      <c r="G157" s="42" t="s">
        <v>79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1051</v>
      </c>
      <c r="C158" s="42">
        <v>5.8002500000000001</v>
      </c>
      <c r="D158" s="42">
        <v>-75.65097222</v>
      </c>
      <c r="E158" s="42">
        <v>604</v>
      </c>
      <c r="F158" s="42" t="s">
        <v>109</v>
      </c>
      <c r="G158" s="42" t="s">
        <v>57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1052</v>
      </c>
      <c r="C159" s="42">
        <v>3.2761111110000001</v>
      </c>
      <c r="D159" s="42">
        <v>-74.935833329999994</v>
      </c>
      <c r="E159" s="42">
        <v>638</v>
      </c>
      <c r="F159" s="42" t="s">
        <v>677</v>
      </c>
      <c r="G159" s="42" t="s">
        <v>79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1053</v>
      </c>
      <c r="C160" s="42">
        <v>7.0117500000000001</v>
      </c>
      <c r="D160" s="42">
        <v>-74.716305559999995</v>
      </c>
      <c r="E160" s="42">
        <v>643</v>
      </c>
      <c r="F160" s="42" t="s">
        <v>475</v>
      </c>
      <c r="G160" s="42" t="s">
        <v>57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1054</v>
      </c>
      <c r="C161" s="42">
        <v>7.9652777779999999</v>
      </c>
      <c r="D161" s="42">
        <v>-74.059166669999996</v>
      </c>
      <c r="E161" s="42">
        <v>650</v>
      </c>
      <c r="F161" s="42" t="s">
        <v>1055</v>
      </c>
      <c r="G161" s="42" t="s">
        <v>870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1056</v>
      </c>
      <c r="C162" s="42">
        <v>1.157333333</v>
      </c>
      <c r="D162" s="42">
        <v>-76.651833330000002</v>
      </c>
      <c r="E162" s="42">
        <v>650</v>
      </c>
      <c r="F162" s="42" t="s">
        <v>265</v>
      </c>
      <c r="G162" s="42" t="s">
        <v>264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1057</v>
      </c>
      <c r="C163" s="42">
        <v>2.6968055560000002</v>
      </c>
      <c r="D163" s="42">
        <v>-75.298888890000001</v>
      </c>
      <c r="E163" s="42">
        <v>680</v>
      </c>
      <c r="F163" s="42" t="s">
        <v>679</v>
      </c>
      <c r="G163" s="42" t="s">
        <v>79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1058</v>
      </c>
      <c r="C164" s="42">
        <v>3.4557777779999999</v>
      </c>
      <c r="D164" s="42">
        <v>-75.536361110000001</v>
      </c>
      <c r="E164" s="42">
        <v>699</v>
      </c>
      <c r="F164" s="42" t="s">
        <v>375</v>
      </c>
      <c r="G164" s="42" t="s">
        <v>70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1059</v>
      </c>
      <c r="C165" s="42">
        <v>7.0255555559999996</v>
      </c>
      <c r="D165" s="42">
        <v>-73.167222219999999</v>
      </c>
      <c r="E165" s="42">
        <v>777</v>
      </c>
      <c r="F165" s="42" t="s">
        <v>321</v>
      </c>
      <c r="G165" s="42" t="s">
        <v>49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1060</v>
      </c>
      <c r="C166" s="42">
        <v>2.2815833329999999</v>
      </c>
      <c r="D166" s="42">
        <v>-75.705083329999994</v>
      </c>
      <c r="E166" s="42">
        <v>780</v>
      </c>
      <c r="F166" s="42" t="s">
        <v>673</v>
      </c>
      <c r="G166" s="42" t="s">
        <v>79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1061</v>
      </c>
      <c r="C167" s="42">
        <v>5.301108889</v>
      </c>
      <c r="D167" s="42">
        <v>-74.914580556000004</v>
      </c>
      <c r="E167" s="42">
        <v>788</v>
      </c>
      <c r="F167" s="42" t="s">
        <v>821</v>
      </c>
      <c r="G167" s="42" t="s">
        <v>70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1062</v>
      </c>
      <c r="C168" s="42">
        <v>6.6963888889999996</v>
      </c>
      <c r="D168" s="42">
        <v>-73.510000000000005</v>
      </c>
      <c r="E168" s="42">
        <v>805</v>
      </c>
      <c r="F168" s="42" t="s">
        <v>783</v>
      </c>
      <c r="G168" s="42" t="s">
        <v>49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1063</v>
      </c>
      <c r="C169" s="42">
        <v>4.4296666670000002</v>
      </c>
      <c r="D169" s="42">
        <v>-75.200522219999996</v>
      </c>
      <c r="E169" s="42">
        <v>826</v>
      </c>
      <c r="F169" s="42" t="s">
        <v>71</v>
      </c>
      <c r="G169" s="42" t="s">
        <v>70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1064</v>
      </c>
      <c r="C170" s="42">
        <v>6.4835833330000003</v>
      </c>
      <c r="D170" s="42">
        <v>-74.836694440000002</v>
      </c>
      <c r="E170" s="42">
        <v>859</v>
      </c>
      <c r="F170" s="42" t="s">
        <v>485</v>
      </c>
      <c r="G170" s="42" t="s">
        <v>57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1065</v>
      </c>
      <c r="C171" s="42">
        <v>7.7745833329999998</v>
      </c>
      <c r="D171" s="42">
        <v>-72.830555559999993</v>
      </c>
      <c r="E171" s="42">
        <v>860</v>
      </c>
      <c r="F171" s="42" t="s">
        <v>305</v>
      </c>
      <c r="G171" s="42" t="s">
        <v>300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1066</v>
      </c>
      <c r="C172" s="42">
        <v>3.7224444440000002</v>
      </c>
      <c r="D172" s="42">
        <v>-75.503444439999996</v>
      </c>
      <c r="E172" s="42">
        <v>895</v>
      </c>
      <c r="F172" s="42" t="s">
        <v>373</v>
      </c>
      <c r="G172" s="42" t="s">
        <v>70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1067</v>
      </c>
      <c r="C173" s="42">
        <v>6.5497222219999998</v>
      </c>
      <c r="D173" s="42">
        <v>-73.292000000000002</v>
      </c>
      <c r="E173" s="42">
        <v>940</v>
      </c>
      <c r="F173" s="42" t="s">
        <v>330</v>
      </c>
      <c r="G173" s="42" t="s">
        <v>49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1068</v>
      </c>
      <c r="C174" s="42">
        <v>4.424138889</v>
      </c>
      <c r="D174" s="42">
        <v>-75.139416670000003</v>
      </c>
      <c r="E174" s="42">
        <v>943</v>
      </c>
      <c r="F174" s="42" t="s">
        <v>71</v>
      </c>
      <c r="G174" s="42" t="s">
        <v>70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1069</v>
      </c>
      <c r="C175" s="42">
        <v>4.1927222220000004</v>
      </c>
      <c r="D175" s="42">
        <v>-74.487416670000002</v>
      </c>
      <c r="E175" s="42">
        <v>950</v>
      </c>
      <c r="F175" s="42" t="s">
        <v>381</v>
      </c>
      <c r="G175" s="42" t="s">
        <v>73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1070</v>
      </c>
      <c r="C176" s="42">
        <v>4.3244999999999996</v>
      </c>
      <c r="D176" s="42">
        <v>-76.084527780000002</v>
      </c>
      <c r="E176" s="42">
        <v>954</v>
      </c>
      <c r="F176" s="42" t="s">
        <v>844</v>
      </c>
      <c r="G176" s="42" t="s">
        <v>341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1071</v>
      </c>
      <c r="C177" s="42">
        <v>3.5366888890000001</v>
      </c>
      <c r="D177" s="42">
        <v>-76.386638888999997</v>
      </c>
      <c r="E177" s="42">
        <v>970</v>
      </c>
      <c r="F177" s="42" t="s">
        <v>77</v>
      </c>
      <c r="G177" s="42" t="s">
        <v>341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1072</v>
      </c>
      <c r="C178" s="42">
        <v>3.4544139999999999</v>
      </c>
      <c r="D178" s="42">
        <v>-76.499948000000003</v>
      </c>
      <c r="E178" s="42">
        <v>971</v>
      </c>
      <c r="F178" s="42" t="s">
        <v>834</v>
      </c>
      <c r="G178" s="42" t="s">
        <v>341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1073</v>
      </c>
      <c r="C179" s="42">
        <v>6.5322222219999997</v>
      </c>
      <c r="D179" s="42">
        <v>-73.199166669999997</v>
      </c>
      <c r="E179" s="42">
        <v>975</v>
      </c>
      <c r="F179" s="42" t="s">
        <v>789</v>
      </c>
      <c r="G179" s="42" t="s">
        <v>49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1074</v>
      </c>
      <c r="C180" s="42">
        <v>3.360416667</v>
      </c>
      <c r="D180" s="42">
        <v>-76.300005556000002</v>
      </c>
      <c r="E180" s="42">
        <v>980</v>
      </c>
      <c r="F180" s="42" t="s">
        <v>837</v>
      </c>
      <c r="G180" s="42" t="s">
        <v>341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1075</v>
      </c>
      <c r="C181" s="42">
        <v>3.262805556</v>
      </c>
      <c r="D181" s="42">
        <v>-76.414472219999993</v>
      </c>
      <c r="E181" s="42">
        <v>983</v>
      </c>
      <c r="F181" s="42" t="s">
        <v>579</v>
      </c>
      <c r="G181" s="42" t="s">
        <v>181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1076</v>
      </c>
      <c r="C182" s="42">
        <v>4.8780277779999999</v>
      </c>
      <c r="D182" s="42">
        <v>-75.877555560000005</v>
      </c>
      <c r="E182" s="42">
        <v>995</v>
      </c>
      <c r="F182" s="42" t="s">
        <v>65</v>
      </c>
      <c r="G182" s="42" t="s">
        <v>64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1077</v>
      </c>
      <c r="C183" s="42">
        <v>3.3780000000000001</v>
      </c>
      <c r="D183" s="42">
        <v>-76.53388889</v>
      </c>
      <c r="E183" s="42">
        <v>996</v>
      </c>
      <c r="F183" s="42" t="s">
        <v>834</v>
      </c>
      <c r="G183" s="42" t="s">
        <v>341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1078</v>
      </c>
      <c r="C184" s="42">
        <v>3.65178</v>
      </c>
      <c r="D184" s="42">
        <v>-75.584194440000005</v>
      </c>
      <c r="E184" s="42">
        <v>1002</v>
      </c>
      <c r="F184" s="42" t="s">
        <v>373</v>
      </c>
      <c r="G184" s="42" t="s">
        <v>70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1079</v>
      </c>
      <c r="C185" s="42">
        <v>3.0753888890000001</v>
      </c>
      <c r="D185" s="42">
        <v>-76.556250000000006</v>
      </c>
      <c r="E185" s="42">
        <v>1009</v>
      </c>
      <c r="F185" s="42" t="s">
        <v>339</v>
      </c>
      <c r="G185" s="42" t="s">
        <v>181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1080</v>
      </c>
      <c r="C186" s="42">
        <v>4.2389166669999998</v>
      </c>
      <c r="D186" s="42">
        <v>-76.033055555999994</v>
      </c>
      <c r="E186" s="42">
        <v>1011</v>
      </c>
      <c r="F186" s="42" t="s">
        <v>345</v>
      </c>
      <c r="G186" s="42" t="s">
        <v>341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1081</v>
      </c>
      <c r="C187" s="42">
        <v>3.5134722219999999</v>
      </c>
      <c r="D187" s="42">
        <v>-76.314888889000002</v>
      </c>
      <c r="E187" s="42">
        <v>1018</v>
      </c>
      <c r="F187" s="42" t="s">
        <v>77</v>
      </c>
      <c r="G187" s="42" t="s">
        <v>341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1082</v>
      </c>
      <c r="C188" s="42">
        <v>2.76</v>
      </c>
      <c r="D188" s="42">
        <v>-75.58</v>
      </c>
      <c r="E188" s="42">
        <v>1030</v>
      </c>
      <c r="F188" s="42" t="s">
        <v>1083</v>
      </c>
      <c r="G188" s="42" t="s">
        <v>79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1084</v>
      </c>
      <c r="C189" s="42">
        <v>1.87</v>
      </c>
      <c r="D189" s="42">
        <v>-75.83</v>
      </c>
      <c r="E189" s="42">
        <v>1045</v>
      </c>
      <c r="F189" s="42" t="s">
        <v>698</v>
      </c>
      <c r="G189" s="42" t="s">
        <v>79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1085</v>
      </c>
      <c r="C190" s="42">
        <v>3.5740555559999998</v>
      </c>
      <c r="D190" s="42">
        <v>-76.277805556000004</v>
      </c>
      <c r="E190" s="42">
        <v>1059</v>
      </c>
      <c r="F190" s="42" t="s">
        <v>77</v>
      </c>
      <c r="G190" s="42" t="s">
        <v>341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1086</v>
      </c>
      <c r="C191" s="42">
        <v>2.38</v>
      </c>
      <c r="D191" s="42">
        <v>-75.89</v>
      </c>
      <c r="E191" s="42">
        <v>1070</v>
      </c>
      <c r="F191" s="42" t="s">
        <v>689</v>
      </c>
      <c r="G191" s="42" t="s">
        <v>79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1087</v>
      </c>
      <c r="C192" s="42">
        <v>2.9426388889999999</v>
      </c>
      <c r="D192" s="42">
        <v>-75.066388889999999</v>
      </c>
      <c r="E192" s="42">
        <v>1100</v>
      </c>
      <c r="F192" s="42" t="s">
        <v>80</v>
      </c>
      <c r="G192" s="42" t="s">
        <v>79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1088</v>
      </c>
      <c r="C193" s="42">
        <v>5.6617222219999999</v>
      </c>
      <c r="D193" s="42">
        <v>-74.184611110000006</v>
      </c>
      <c r="E193" s="42">
        <v>1100</v>
      </c>
      <c r="F193" s="42" t="s">
        <v>527</v>
      </c>
      <c r="G193" s="42" t="s">
        <v>212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1089</v>
      </c>
      <c r="C194" s="42">
        <v>7.5173611109999996</v>
      </c>
      <c r="D194" s="42">
        <v>-72.644083330000001</v>
      </c>
      <c r="E194" s="42">
        <v>1107</v>
      </c>
      <c r="F194" s="42" t="s">
        <v>1090</v>
      </c>
      <c r="G194" s="42" t="s">
        <v>300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1091</v>
      </c>
      <c r="C195" s="42">
        <v>6.157666667</v>
      </c>
      <c r="D195" s="42">
        <v>-75.038916670000006</v>
      </c>
      <c r="E195" s="42">
        <v>1113</v>
      </c>
      <c r="F195" s="42" t="s">
        <v>478</v>
      </c>
      <c r="G195" s="42" t="s">
        <v>57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1092</v>
      </c>
      <c r="C196" s="42">
        <v>4.8980833329999998</v>
      </c>
      <c r="D196" s="42">
        <v>-76.676666667000006</v>
      </c>
      <c r="E196" s="42">
        <v>1115</v>
      </c>
      <c r="F196" s="42" t="s">
        <v>603</v>
      </c>
      <c r="G196" s="42" t="s">
        <v>910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1093</v>
      </c>
      <c r="C197" s="42">
        <v>4.028333333</v>
      </c>
      <c r="D197" s="42">
        <v>-76.168527780000005</v>
      </c>
      <c r="E197" s="42">
        <v>1119</v>
      </c>
      <c r="F197" s="42" t="s">
        <v>343</v>
      </c>
      <c r="G197" s="42" t="s">
        <v>341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1094</v>
      </c>
      <c r="C198" s="42">
        <v>7.1572222219999997</v>
      </c>
      <c r="D198" s="42">
        <v>-75.442274999999995</v>
      </c>
      <c r="E198" s="42">
        <v>1131</v>
      </c>
      <c r="F198" s="42" t="s">
        <v>501</v>
      </c>
      <c r="G198" s="42" t="s">
        <v>57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1095</v>
      </c>
      <c r="C199" s="42">
        <v>3.2456666670000001</v>
      </c>
      <c r="D199" s="42">
        <v>-76.223055560000006</v>
      </c>
      <c r="E199" s="42">
        <v>1133</v>
      </c>
      <c r="F199" s="42" t="s">
        <v>571</v>
      </c>
      <c r="G199" s="42" t="s">
        <v>181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1096</v>
      </c>
      <c r="C200" s="42">
        <v>8.2377777779999999</v>
      </c>
      <c r="D200" s="42">
        <v>-73.32222222</v>
      </c>
      <c r="E200" s="42">
        <v>1150</v>
      </c>
      <c r="F200" s="42" t="s">
        <v>308</v>
      </c>
      <c r="G200" s="42" t="s">
        <v>300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1097</v>
      </c>
      <c r="C201" s="42">
        <v>5.717333333</v>
      </c>
      <c r="D201" s="42">
        <v>-75.690916669999993</v>
      </c>
      <c r="E201" s="42">
        <v>1153</v>
      </c>
      <c r="F201" s="42" t="s">
        <v>498</v>
      </c>
      <c r="G201" s="42" t="s">
        <v>57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1098</v>
      </c>
      <c r="C202" s="42">
        <v>8.4422222219999998</v>
      </c>
      <c r="D202" s="42">
        <v>-73.285277780000001</v>
      </c>
      <c r="E202" s="42">
        <v>1160</v>
      </c>
      <c r="F202" s="42" t="s">
        <v>762</v>
      </c>
      <c r="G202" s="42" t="s">
        <v>300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1099</v>
      </c>
      <c r="C203" s="42">
        <v>3.5291388889999999</v>
      </c>
      <c r="D203" s="42">
        <v>-75.631416669999993</v>
      </c>
      <c r="E203" s="42">
        <v>1160</v>
      </c>
      <c r="F203" s="42" t="s">
        <v>826</v>
      </c>
      <c r="G203" s="42" t="s">
        <v>70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1100</v>
      </c>
      <c r="C204" s="42">
        <v>6.5207222219999998</v>
      </c>
      <c r="D204" s="42">
        <v>-72.696611110000006</v>
      </c>
      <c r="E204" s="42">
        <v>1160</v>
      </c>
      <c r="F204" s="42" t="s">
        <v>233</v>
      </c>
      <c r="G204" s="42" t="s">
        <v>49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1101</v>
      </c>
      <c r="C205" s="42">
        <v>5.6909999999999998</v>
      </c>
      <c r="D205" s="42">
        <v>-75.880222219999993</v>
      </c>
      <c r="E205" s="42">
        <v>1180</v>
      </c>
      <c r="F205" s="42" t="s">
        <v>448</v>
      </c>
      <c r="G205" s="42" t="s">
        <v>57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1102</v>
      </c>
      <c r="C206" s="42">
        <v>7.1214722220000004</v>
      </c>
      <c r="D206" s="42">
        <v>-73.184527779999996</v>
      </c>
      <c r="E206" s="42">
        <v>1189</v>
      </c>
      <c r="F206" s="42" t="s">
        <v>52</v>
      </c>
      <c r="G206" s="42" t="s">
        <v>49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1103</v>
      </c>
      <c r="C207" s="42">
        <v>4.454722222</v>
      </c>
      <c r="D207" s="42">
        <v>-75.766388890000002</v>
      </c>
      <c r="E207" s="42">
        <v>1229</v>
      </c>
      <c r="F207" s="42" t="s">
        <v>771</v>
      </c>
      <c r="G207" s="42" t="s">
        <v>67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1104</v>
      </c>
      <c r="C208" s="42">
        <v>5.5208333329999997</v>
      </c>
      <c r="D208" s="42">
        <v>-74.182416669999995</v>
      </c>
      <c r="E208" s="42">
        <v>1250</v>
      </c>
      <c r="F208" s="42" t="s">
        <v>214</v>
      </c>
      <c r="G208" s="42" t="s">
        <v>212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1105</v>
      </c>
      <c r="C209" s="42">
        <v>2.2524999999999999</v>
      </c>
      <c r="D209" s="42">
        <v>-75.529444440000006</v>
      </c>
      <c r="E209" s="42">
        <v>1270</v>
      </c>
      <c r="F209" s="42" t="s">
        <v>184</v>
      </c>
      <c r="G209" s="42" t="s">
        <v>79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1106</v>
      </c>
      <c r="C210" s="42">
        <v>6.7580277779999998</v>
      </c>
      <c r="D210" s="42">
        <v>-76.029666669999997</v>
      </c>
      <c r="E210" s="42">
        <v>1294</v>
      </c>
      <c r="F210" s="42" t="s">
        <v>455</v>
      </c>
      <c r="G210" s="42" t="s">
        <v>57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1107</v>
      </c>
      <c r="C211" s="42">
        <v>2.9356944440000001</v>
      </c>
      <c r="D211" s="42">
        <v>-75.589055560000006</v>
      </c>
      <c r="E211" s="42">
        <v>1300</v>
      </c>
      <c r="F211" s="42" t="s">
        <v>696</v>
      </c>
      <c r="G211" s="42" t="s">
        <v>79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1108</v>
      </c>
      <c r="C212" s="42">
        <v>4.9743611110000003</v>
      </c>
      <c r="D212" s="42">
        <v>-73.316749999999999</v>
      </c>
      <c r="E212" s="42">
        <v>1300</v>
      </c>
      <c r="F212" s="42" t="s">
        <v>245</v>
      </c>
      <c r="G212" s="42" t="s">
        <v>212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1109</v>
      </c>
      <c r="C213" s="42">
        <v>5.0345000000000004</v>
      </c>
      <c r="D213" s="42">
        <v>-73.103666669999996</v>
      </c>
      <c r="E213" s="42">
        <v>1300</v>
      </c>
      <c r="F213" s="42" t="s">
        <v>248</v>
      </c>
      <c r="G213" s="42" t="s">
        <v>212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1110</v>
      </c>
      <c r="C214" s="42">
        <v>1.8248333329999999</v>
      </c>
      <c r="D214" s="42">
        <v>-76.13027778</v>
      </c>
      <c r="E214" s="42">
        <v>1320</v>
      </c>
      <c r="F214" s="42" t="s">
        <v>693</v>
      </c>
      <c r="G214" s="42" t="s">
        <v>79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1111</v>
      </c>
      <c r="C215" s="42">
        <v>5.9638055559999996</v>
      </c>
      <c r="D215" s="42">
        <v>-75.100694439999998</v>
      </c>
      <c r="E215" s="42">
        <v>1325</v>
      </c>
      <c r="F215" s="42" t="s">
        <v>480</v>
      </c>
      <c r="G215" s="42" t="s">
        <v>57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1112</v>
      </c>
      <c r="C216" s="42">
        <v>4.8158611110000002</v>
      </c>
      <c r="D216" s="42">
        <v>-75.737222222</v>
      </c>
      <c r="E216" s="42">
        <v>1342</v>
      </c>
      <c r="F216" s="42" t="s">
        <v>65</v>
      </c>
      <c r="G216" s="42" t="s">
        <v>64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1113</v>
      </c>
      <c r="C217" s="42">
        <v>6.2741666670000003</v>
      </c>
      <c r="D217" s="42">
        <v>-73.150555560000001</v>
      </c>
      <c r="E217" s="42">
        <v>1350</v>
      </c>
      <c r="F217" s="42" t="s">
        <v>782</v>
      </c>
      <c r="G217" s="42" t="s">
        <v>49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1114</v>
      </c>
      <c r="C218" s="42">
        <v>2.079166667</v>
      </c>
      <c r="D218" s="42">
        <v>-75.736222220000002</v>
      </c>
      <c r="E218" s="42">
        <v>1368</v>
      </c>
      <c r="F218" s="42" t="s">
        <v>179</v>
      </c>
      <c r="G218" s="42" t="s">
        <v>79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1115</v>
      </c>
      <c r="C219" s="42">
        <v>6.7779722219999998</v>
      </c>
      <c r="D219" s="42">
        <v>-76.203333330000007</v>
      </c>
      <c r="E219" s="42">
        <v>1396</v>
      </c>
      <c r="F219" s="42" t="s">
        <v>462</v>
      </c>
      <c r="G219" s="42" t="s">
        <v>57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1116</v>
      </c>
      <c r="C220" s="42">
        <v>6.2371666670000003</v>
      </c>
      <c r="D220" s="42">
        <v>-73.415388890000003</v>
      </c>
      <c r="E220" s="42">
        <v>1400</v>
      </c>
      <c r="F220" s="42" t="s">
        <v>323</v>
      </c>
      <c r="G220" s="42" t="s">
        <v>49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1117</v>
      </c>
      <c r="C221" s="42">
        <v>4.3929200000000002</v>
      </c>
      <c r="D221" s="42">
        <v>-74.392719999999997</v>
      </c>
      <c r="E221" s="42">
        <v>1421</v>
      </c>
      <c r="F221" s="42" t="s">
        <v>384</v>
      </c>
      <c r="G221" s="42" t="s">
        <v>73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1118</v>
      </c>
      <c r="C222" s="42">
        <v>8.0872222219999994</v>
      </c>
      <c r="D222" s="42">
        <v>-73.223055560000006</v>
      </c>
      <c r="E222" s="42">
        <v>1430</v>
      </c>
      <c r="F222" s="42" t="s">
        <v>310</v>
      </c>
      <c r="G222" s="42" t="s">
        <v>300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1119</v>
      </c>
      <c r="C223" s="42">
        <v>8.3152777780000005</v>
      </c>
      <c r="D223" s="42">
        <v>-73.357500000000002</v>
      </c>
      <c r="E223" s="42">
        <v>1435</v>
      </c>
      <c r="F223" s="42" t="s">
        <v>308</v>
      </c>
      <c r="G223" s="42" t="s">
        <v>300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1120</v>
      </c>
      <c r="C224" s="42">
        <v>6.5403888889999999</v>
      </c>
      <c r="D224" s="42">
        <v>-75.146749999999997</v>
      </c>
      <c r="E224" s="42">
        <v>1440</v>
      </c>
      <c r="F224" s="42" t="s">
        <v>493</v>
      </c>
      <c r="G224" s="42" t="s">
        <v>57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1121</v>
      </c>
      <c r="C225" s="42">
        <v>6.3196944439999996</v>
      </c>
      <c r="D225" s="42">
        <v>-75.553250000000006</v>
      </c>
      <c r="E225" s="42">
        <v>1453</v>
      </c>
      <c r="F225" s="42" t="s">
        <v>114</v>
      </c>
      <c r="G225" s="42" t="s">
        <v>57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1122</v>
      </c>
      <c r="C226" s="42">
        <v>3.3110277780000001</v>
      </c>
      <c r="D226" s="42">
        <v>-74.702888889999997</v>
      </c>
      <c r="E226" s="42">
        <v>1476</v>
      </c>
      <c r="F226" s="42" t="s">
        <v>191</v>
      </c>
      <c r="G226" s="42" t="s">
        <v>79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1123</v>
      </c>
      <c r="C227" s="42">
        <v>6.2246389000000004</v>
      </c>
      <c r="D227" s="42">
        <v>-75.588200000000001</v>
      </c>
      <c r="E227" s="42">
        <v>1492</v>
      </c>
      <c r="F227" s="42" t="s">
        <v>60</v>
      </c>
      <c r="G227" s="42" t="s">
        <v>57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1124</v>
      </c>
      <c r="C228" s="42">
        <v>6.2246389000000004</v>
      </c>
      <c r="D228" s="42">
        <v>-75.588200000000001</v>
      </c>
      <c r="E228" s="42">
        <v>1492</v>
      </c>
      <c r="F228" s="42" t="s">
        <v>60</v>
      </c>
      <c r="G228" s="42" t="s">
        <v>57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1125</v>
      </c>
      <c r="C229" s="42">
        <v>1.1843611110000001</v>
      </c>
      <c r="D229" s="42">
        <v>-77.465111109999995</v>
      </c>
      <c r="E229" s="42">
        <v>1493</v>
      </c>
      <c r="F229" s="42" t="s">
        <v>287</v>
      </c>
      <c r="G229" s="42" t="s">
        <v>82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1126</v>
      </c>
      <c r="C230" s="42">
        <v>8.2174999999999994</v>
      </c>
      <c r="D230" s="42">
        <v>-73.234999999999999</v>
      </c>
      <c r="E230" s="42">
        <v>1500</v>
      </c>
      <c r="F230" s="42" t="s">
        <v>758</v>
      </c>
      <c r="G230" s="42" t="s">
        <v>300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1127</v>
      </c>
      <c r="C231" s="42">
        <v>1.3735555559999999</v>
      </c>
      <c r="D231" s="42">
        <v>-77.583055560000005</v>
      </c>
      <c r="E231" s="42">
        <v>1500</v>
      </c>
      <c r="F231" s="42" t="s">
        <v>289</v>
      </c>
      <c r="G231" s="42" t="s">
        <v>82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1128</v>
      </c>
      <c r="C232" s="42">
        <v>5.4182880559999997</v>
      </c>
      <c r="D232" s="42">
        <v>-74.992927777999995</v>
      </c>
      <c r="E232" s="42">
        <v>1532</v>
      </c>
      <c r="F232" s="42" t="s">
        <v>380</v>
      </c>
      <c r="G232" s="42" t="s">
        <v>116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1129</v>
      </c>
      <c r="C233" s="42">
        <v>7.5766666669999996</v>
      </c>
      <c r="D233" s="42">
        <v>-72.483888890000003</v>
      </c>
      <c r="E233" s="42">
        <v>1550</v>
      </c>
      <c r="F233" s="42" t="s">
        <v>302</v>
      </c>
      <c r="G233" s="42" t="s">
        <v>300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1130</v>
      </c>
      <c r="C234" s="42">
        <v>5.4072777780000001</v>
      </c>
      <c r="D234" s="42">
        <v>-72.717222219999996</v>
      </c>
      <c r="E234" s="42">
        <v>1550</v>
      </c>
      <c r="F234" s="42" t="s">
        <v>251</v>
      </c>
      <c r="G234" s="42" t="s">
        <v>212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1131</v>
      </c>
      <c r="C235" s="42">
        <v>3.9211999999999998</v>
      </c>
      <c r="D235" s="42">
        <v>-75.467749999999995</v>
      </c>
      <c r="E235" s="42">
        <v>1566</v>
      </c>
      <c r="F235" s="42" t="s">
        <v>377</v>
      </c>
      <c r="G235" s="42" t="s">
        <v>70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1132</v>
      </c>
      <c r="C236" s="42">
        <v>7.0719000000000003</v>
      </c>
      <c r="D236" s="42">
        <v>-75.150499999999994</v>
      </c>
      <c r="E236" s="42">
        <v>1601</v>
      </c>
      <c r="F236" s="42" t="s">
        <v>449</v>
      </c>
      <c r="G236" s="42" t="s">
        <v>57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1133</v>
      </c>
      <c r="C237" s="42">
        <v>4.87</v>
      </c>
      <c r="D237" s="42">
        <v>-75.63</v>
      </c>
      <c r="E237" s="42">
        <v>1628</v>
      </c>
      <c r="F237" s="42" t="s">
        <v>1134</v>
      </c>
      <c r="G237" s="42" t="s">
        <v>64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1135</v>
      </c>
      <c r="C238" s="42">
        <v>5.1925555560000003</v>
      </c>
      <c r="D238" s="42">
        <v>-73.144777779999998</v>
      </c>
      <c r="E238" s="42">
        <v>1640</v>
      </c>
      <c r="F238" s="42" t="s">
        <v>247</v>
      </c>
      <c r="G238" s="42" t="s">
        <v>212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1136</v>
      </c>
      <c r="C239" s="42">
        <v>6.47</v>
      </c>
      <c r="D239" s="42">
        <v>-72.968888890000002</v>
      </c>
      <c r="E239" s="42">
        <v>1673</v>
      </c>
      <c r="F239" s="42" t="s">
        <v>325</v>
      </c>
      <c r="G239" s="42" t="s">
        <v>49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1137</v>
      </c>
      <c r="C240" s="42">
        <v>5.7583333330000004</v>
      </c>
      <c r="D240" s="42">
        <v>-73.91333333</v>
      </c>
      <c r="E240" s="42">
        <v>1690</v>
      </c>
      <c r="F240" s="42" t="s">
        <v>311</v>
      </c>
      <c r="G240" s="42" t="s">
        <v>49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1138</v>
      </c>
      <c r="C241" s="42">
        <v>3.0987777780000001</v>
      </c>
      <c r="D241" s="42">
        <v>-75.530027779999998</v>
      </c>
      <c r="E241" s="42">
        <v>1691</v>
      </c>
      <c r="F241" s="42" t="s">
        <v>80</v>
      </c>
      <c r="G241" s="42" t="s">
        <v>79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1139</v>
      </c>
      <c r="C242" s="42">
        <v>6.3762499999999998</v>
      </c>
      <c r="D242" s="42">
        <v>-75.143388889999997</v>
      </c>
      <c r="E242" s="42">
        <v>1712</v>
      </c>
      <c r="F242" s="42" t="s">
        <v>105</v>
      </c>
      <c r="G242" s="42" t="s">
        <v>57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1140</v>
      </c>
      <c r="C243" s="42">
        <v>6.3410555559999997</v>
      </c>
      <c r="D243" s="42">
        <v>-75.700944440000001</v>
      </c>
      <c r="E243" s="42">
        <v>1737</v>
      </c>
      <c r="F243" s="42" t="s">
        <v>60</v>
      </c>
      <c r="G243" s="42" t="s">
        <v>57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1141</v>
      </c>
      <c r="C244" s="42">
        <v>5.73</v>
      </c>
      <c r="D244" s="42">
        <v>-75.14</v>
      </c>
      <c r="E244" s="42">
        <v>1740</v>
      </c>
      <c r="F244" s="42" t="s">
        <v>1142</v>
      </c>
      <c r="G244" s="42" t="s">
        <v>57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1143</v>
      </c>
      <c r="C245" s="42">
        <v>4.185055556</v>
      </c>
      <c r="D245" s="42">
        <v>-75.832361109999994</v>
      </c>
      <c r="E245" s="42">
        <v>1749</v>
      </c>
      <c r="F245" s="42" t="s">
        <v>348</v>
      </c>
      <c r="G245" s="42" t="s">
        <v>341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1144</v>
      </c>
      <c r="C246" s="42">
        <v>7.5697222220000002</v>
      </c>
      <c r="D246" s="42">
        <v>-72.53388889</v>
      </c>
      <c r="E246" s="42">
        <v>1760</v>
      </c>
      <c r="F246" s="42" t="s">
        <v>302</v>
      </c>
      <c r="G246" s="42" t="s">
        <v>300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1145</v>
      </c>
      <c r="C247" s="42">
        <v>5.08</v>
      </c>
      <c r="D247" s="42">
        <v>-75.97</v>
      </c>
      <c r="E247" s="42">
        <v>1763</v>
      </c>
      <c r="F247" s="42" t="s">
        <v>1146</v>
      </c>
      <c r="G247" s="42" t="s">
        <v>64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1147</v>
      </c>
      <c r="C248" s="42">
        <v>0.80491666699999997</v>
      </c>
      <c r="D248" s="42">
        <v>-77.303611110000006</v>
      </c>
      <c r="E248" s="42">
        <v>1776</v>
      </c>
      <c r="F248" s="42" t="s">
        <v>269</v>
      </c>
      <c r="G248" s="42" t="s">
        <v>82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1148</v>
      </c>
      <c r="C249" s="42">
        <v>7.3658299999999999</v>
      </c>
      <c r="D249" s="42">
        <v>-72.987499999999997</v>
      </c>
      <c r="E249" s="42">
        <v>1791</v>
      </c>
      <c r="F249" s="42" t="s">
        <v>319</v>
      </c>
      <c r="G249" s="42" t="s">
        <v>49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1149</v>
      </c>
      <c r="C250" s="42">
        <v>1.394083333</v>
      </c>
      <c r="D250" s="42">
        <v>-77.290861109999994</v>
      </c>
      <c r="E250" s="42">
        <v>1796</v>
      </c>
      <c r="F250" s="42" t="s">
        <v>83</v>
      </c>
      <c r="G250" s="42" t="s">
        <v>82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1150</v>
      </c>
      <c r="C251" s="42">
        <v>1.8884722220000001</v>
      </c>
      <c r="D251" s="42">
        <v>-76.294972220000005</v>
      </c>
      <c r="E251" s="42">
        <v>1800</v>
      </c>
      <c r="F251" s="42" t="s">
        <v>695</v>
      </c>
      <c r="G251" s="42" t="s">
        <v>79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1151</v>
      </c>
      <c r="C252" s="42">
        <v>6.7927777779999996</v>
      </c>
      <c r="D252" s="42">
        <v>-73.282749999999993</v>
      </c>
      <c r="E252" s="42">
        <v>1810</v>
      </c>
      <c r="F252" s="42" t="s">
        <v>328</v>
      </c>
      <c r="G252" s="42" t="s">
        <v>49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1152</v>
      </c>
      <c r="C253" s="42">
        <v>2.6744722219999999</v>
      </c>
      <c r="D253" s="42">
        <v>-76.52633333</v>
      </c>
      <c r="E253" s="42">
        <v>1822</v>
      </c>
      <c r="F253" s="42" t="s">
        <v>575</v>
      </c>
      <c r="G253" s="42" t="s">
        <v>181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1153</v>
      </c>
      <c r="C254" s="42">
        <v>6.2983055559999999</v>
      </c>
      <c r="D254" s="42">
        <v>-76.143305556000001</v>
      </c>
      <c r="E254" s="42">
        <v>1833</v>
      </c>
      <c r="F254" s="42" t="s">
        <v>100</v>
      </c>
      <c r="G254" s="42" t="s">
        <v>57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1154</v>
      </c>
      <c r="C255" s="42">
        <v>4.8055000000000003</v>
      </c>
      <c r="D255" s="42">
        <v>-74.443472220000004</v>
      </c>
      <c r="E255" s="42">
        <v>1850</v>
      </c>
      <c r="F255" s="42" t="s">
        <v>625</v>
      </c>
      <c r="G255" s="42" t="s">
        <v>73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1155</v>
      </c>
      <c r="C256" s="42">
        <v>2.5847500000000001</v>
      </c>
      <c r="D256" s="42">
        <v>-76.561833332999996</v>
      </c>
      <c r="E256" s="42">
        <v>1850</v>
      </c>
      <c r="F256" s="42" t="s">
        <v>337</v>
      </c>
      <c r="G256" s="42" t="s">
        <v>181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1156</v>
      </c>
      <c r="C257" s="42">
        <v>2.1938333330000002</v>
      </c>
      <c r="D257" s="42">
        <v>-76.750333330000004</v>
      </c>
      <c r="E257" s="42">
        <v>1870</v>
      </c>
      <c r="F257" s="42" t="s">
        <v>280</v>
      </c>
      <c r="G257" s="42" t="s">
        <v>181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1157</v>
      </c>
      <c r="C258" s="42">
        <v>1.5491666669999999</v>
      </c>
      <c r="D258" s="42">
        <v>-77.267499999999998</v>
      </c>
      <c r="E258" s="42">
        <v>1875</v>
      </c>
      <c r="F258" s="42" t="s">
        <v>283</v>
      </c>
      <c r="G258" s="42" t="s">
        <v>82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1158</v>
      </c>
      <c r="C259" s="42">
        <v>7.7352777780000004</v>
      </c>
      <c r="D259" s="42">
        <v>-73.051666670000003</v>
      </c>
      <c r="E259" s="42">
        <v>1882</v>
      </c>
      <c r="F259" s="42" t="s">
        <v>751</v>
      </c>
      <c r="G259" s="42" t="s">
        <v>300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1159</v>
      </c>
      <c r="C260" s="42">
        <v>7.4738899999999999</v>
      </c>
      <c r="D260" s="42">
        <v>-72.991110000000006</v>
      </c>
      <c r="E260" s="42">
        <v>1885</v>
      </c>
      <c r="F260" s="42" t="s">
        <v>319</v>
      </c>
      <c r="G260" s="42" t="s">
        <v>49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1160</v>
      </c>
      <c r="C261" s="42">
        <v>5.9447222220000002</v>
      </c>
      <c r="D261" s="42">
        <v>-73.343611109999998</v>
      </c>
      <c r="E261" s="42">
        <v>1900</v>
      </c>
      <c r="F261" s="42" t="s">
        <v>784</v>
      </c>
      <c r="G261" s="42" t="s">
        <v>49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1161</v>
      </c>
      <c r="C262" s="42">
        <v>4.7679879999999999</v>
      </c>
      <c r="D262" s="42">
        <v>-74.434235000000001</v>
      </c>
      <c r="E262" s="42">
        <v>1915</v>
      </c>
      <c r="F262" s="42" t="s">
        <v>625</v>
      </c>
      <c r="G262" s="42" t="s">
        <v>73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1162</v>
      </c>
      <c r="C263" s="42">
        <v>6.0483611110000002</v>
      </c>
      <c r="D263" s="42">
        <v>-75.624666669999996</v>
      </c>
      <c r="E263" s="42">
        <v>1923</v>
      </c>
      <c r="F263" s="42" t="s">
        <v>116</v>
      </c>
      <c r="G263" s="42" t="s">
        <v>57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1163</v>
      </c>
      <c r="C264" s="42">
        <v>5.0222777780000003</v>
      </c>
      <c r="D264" s="42">
        <v>-73.449166669999997</v>
      </c>
      <c r="E264" s="42">
        <v>1930</v>
      </c>
      <c r="F264" s="42" t="s">
        <v>241</v>
      </c>
      <c r="G264" s="42" t="s">
        <v>212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1164</v>
      </c>
      <c r="C265" s="42">
        <v>4.8416666670000001</v>
      </c>
      <c r="D265" s="42">
        <v>-75.579972220000002</v>
      </c>
      <c r="E265" s="42">
        <v>1947</v>
      </c>
      <c r="F265" s="42" t="s">
        <v>1134</v>
      </c>
      <c r="G265" s="42" t="s">
        <v>64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1165</v>
      </c>
      <c r="C266" s="42">
        <v>6.3119444439999999</v>
      </c>
      <c r="D266" s="42">
        <v>-75.253555559999995</v>
      </c>
      <c r="E266" s="42">
        <v>1965</v>
      </c>
      <c r="F266" s="42" t="s">
        <v>487</v>
      </c>
      <c r="G266" s="42" t="s">
        <v>57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1166</v>
      </c>
      <c r="C267" s="42">
        <v>5.2759444440000003</v>
      </c>
      <c r="D267" s="42">
        <v>-75.800138888999996</v>
      </c>
      <c r="E267" s="42">
        <v>1984</v>
      </c>
      <c r="F267" s="42" t="s">
        <v>351</v>
      </c>
      <c r="G267" s="42" t="s">
        <v>116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1167</v>
      </c>
      <c r="C268" s="42">
        <v>5.8783055559999999</v>
      </c>
      <c r="D268" s="42">
        <v>-76.084333330000007</v>
      </c>
      <c r="E268" s="42">
        <v>2018</v>
      </c>
      <c r="F268" s="42" t="s">
        <v>458</v>
      </c>
      <c r="G268" s="42" t="s">
        <v>57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1168</v>
      </c>
      <c r="C269" s="42">
        <v>5.1378870000000001</v>
      </c>
      <c r="D269" s="42">
        <v>-74.136578</v>
      </c>
      <c r="E269" s="42">
        <v>2018</v>
      </c>
      <c r="F269" s="42" t="s">
        <v>650</v>
      </c>
      <c r="G269" s="42" t="s">
        <v>73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1169</v>
      </c>
      <c r="C270" s="42">
        <v>6.2138888999999997</v>
      </c>
      <c r="D270" s="42">
        <v>-75.241388889000007</v>
      </c>
      <c r="E270" s="42">
        <v>2022</v>
      </c>
      <c r="F270" s="42" t="s">
        <v>107</v>
      </c>
      <c r="G270" s="42" t="s">
        <v>57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1170</v>
      </c>
      <c r="C271" s="42">
        <v>6.0395555559999998</v>
      </c>
      <c r="D271" s="42">
        <v>-75.919527778000003</v>
      </c>
      <c r="E271" s="42">
        <v>2032</v>
      </c>
      <c r="F271" s="42" t="s">
        <v>459</v>
      </c>
      <c r="G271" s="42" t="s">
        <v>57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1171</v>
      </c>
      <c r="C272" s="42">
        <v>5.0267619440000004</v>
      </c>
      <c r="D272" s="42">
        <v>-75.117336111</v>
      </c>
      <c r="E272" s="42">
        <v>2069</v>
      </c>
      <c r="F272" s="42" t="s">
        <v>371</v>
      </c>
      <c r="G272" s="42" t="s">
        <v>70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1172</v>
      </c>
      <c r="C273" s="42">
        <v>6.1686110999999997</v>
      </c>
      <c r="D273" s="42">
        <v>-75.426111110999997</v>
      </c>
      <c r="E273" s="42">
        <v>2073</v>
      </c>
      <c r="F273" s="42" t="s">
        <v>62</v>
      </c>
      <c r="G273" s="42" t="s">
        <v>57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1173</v>
      </c>
      <c r="C274" s="42">
        <v>2.2400000000000002</v>
      </c>
      <c r="D274" s="42">
        <v>-76.16</v>
      </c>
      <c r="E274" s="42">
        <v>2085</v>
      </c>
      <c r="F274" s="42" t="s">
        <v>182</v>
      </c>
      <c r="G274" s="42" t="s">
        <v>181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1174</v>
      </c>
      <c r="C275" s="42">
        <v>1.198277778</v>
      </c>
      <c r="D275" s="42">
        <v>-76.960972220000002</v>
      </c>
      <c r="E275" s="42">
        <v>2100</v>
      </c>
      <c r="F275" s="42" t="s">
        <v>267</v>
      </c>
      <c r="G275" s="42" t="s">
        <v>264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1175</v>
      </c>
      <c r="C276" s="42">
        <v>5.0297777779999997</v>
      </c>
      <c r="D276" s="42">
        <v>-75.469916667000007</v>
      </c>
      <c r="E276" s="42">
        <v>2104</v>
      </c>
      <c r="F276" s="42" t="s">
        <v>353</v>
      </c>
      <c r="G276" s="42" t="s">
        <v>116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1176</v>
      </c>
      <c r="C277" s="42">
        <v>5.3584166670000002</v>
      </c>
      <c r="D277" s="42">
        <v>-73.203611109999997</v>
      </c>
      <c r="E277" s="42">
        <v>2120</v>
      </c>
      <c r="F277" s="42" t="s">
        <v>1177</v>
      </c>
      <c r="G277" s="42" t="s">
        <v>212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1178</v>
      </c>
      <c r="C278" s="42">
        <v>6.1319166669999996</v>
      </c>
      <c r="D278" s="42">
        <v>-75.414555559999997</v>
      </c>
      <c r="E278" s="42">
        <v>2125</v>
      </c>
      <c r="F278" s="42" t="s">
        <v>62</v>
      </c>
      <c r="G278" s="42" t="s">
        <v>57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1179</v>
      </c>
      <c r="C279" s="42">
        <v>6.328972222</v>
      </c>
      <c r="D279" s="42">
        <v>-72.582277779999998</v>
      </c>
      <c r="E279" s="42">
        <v>2150</v>
      </c>
      <c r="F279" s="42" t="s">
        <v>235</v>
      </c>
      <c r="G279" s="42" t="s">
        <v>212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1180</v>
      </c>
      <c r="C280" s="42">
        <v>5.587722222</v>
      </c>
      <c r="D280" s="42">
        <v>-75.800555556000006</v>
      </c>
      <c r="E280" s="42">
        <v>2161</v>
      </c>
      <c r="F280" s="42" t="s">
        <v>464</v>
      </c>
      <c r="G280" s="42" t="s">
        <v>57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1181</v>
      </c>
      <c r="C281" s="42">
        <v>5.5787500000000003</v>
      </c>
      <c r="D281" s="42">
        <v>-75.344777780000001</v>
      </c>
      <c r="E281" s="42">
        <v>2180</v>
      </c>
      <c r="F281" s="42" t="s">
        <v>541</v>
      </c>
      <c r="G281" s="42" t="s">
        <v>116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1182</v>
      </c>
      <c r="C282" s="42">
        <v>1.0042222220000001</v>
      </c>
      <c r="D282" s="42">
        <v>-77.445805559999997</v>
      </c>
      <c r="E282" s="42">
        <v>2181</v>
      </c>
      <c r="F282" s="42" t="s">
        <v>292</v>
      </c>
      <c r="G282" s="42" t="s">
        <v>82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1183</v>
      </c>
      <c r="C283" s="42">
        <v>1.5387222220000001</v>
      </c>
      <c r="D283" s="42">
        <v>-77.032611110000005</v>
      </c>
      <c r="E283" s="42">
        <v>2190</v>
      </c>
      <c r="F283" s="42" t="s">
        <v>282</v>
      </c>
      <c r="G283" s="42" t="s">
        <v>82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1184</v>
      </c>
      <c r="C284" s="42">
        <v>5.5149166669999996</v>
      </c>
      <c r="D284" s="42">
        <v>-73.943111110000004</v>
      </c>
      <c r="E284" s="42">
        <v>2200</v>
      </c>
      <c r="F284" s="42" t="s">
        <v>210</v>
      </c>
      <c r="G284" s="42" t="s">
        <v>212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1185</v>
      </c>
      <c r="C285" s="42">
        <v>5.4222222220000003</v>
      </c>
      <c r="D285" s="42">
        <v>-73.349416669999997</v>
      </c>
      <c r="E285" s="42">
        <v>2200</v>
      </c>
      <c r="F285" s="42" t="s">
        <v>243</v>
      </c>
      <c r="G285" s="42" t="s">
        <v>212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1186</v>
      </c>
      <c r="C286" s="42">
        <v>4.3413888890000001</v>
      </c>
      <c r="D286" s="42">
        <v>-75.518583329999998</v>
      </c>
      <c r="E286" s="42">
        <v>2229</v>
      </c>
      <c r="F286" s="42" t="s">
        <v>808</v>
      </c>
      <c r="G286" s="42" t="s">
        <v>70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1187</v>
      </c>
      <c r="C287" s="42">
        <v>4.7118611110000002</v>
      </c>
      <c r="D287" s="42">
        <v>-75.09445556</v>
      </c>
      <c r="E287" s="42">
        <v>2288</v>
      </c>
      <c r="F287" s="42" t="s">
        <v>366</v>
      </c>
      <c r="G287" s="42" t="s">
        <v>70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1188</v>
      </c>
      <c r="C288" s="42">
        <v>5.7106666669999999</v>
      </c>
      <c r="D288" s="42">
        <v>-73.602277779999994</v>
      </c>
      <c r="E288" s="42">
        <v>2300</v>
      </c>
      <c r="F288" s="42" t="s">
        <v>216</v>
      </c>
      <c r="G288" s="42" t="s">
        <v>212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1189</v>
      </c>
      <c r="C289" s="42">
        <v>1.753333333</v>
      </c>
      <c r="D289" s="42">
        <v>-76.891666670000006</v>
      </c>
      <c r="E289" s="42">
        <v>2300</v>
      </c>
      <c r="F289" s="42" t="s">
        <v>34</v>
      </c>
      <c r="G289" s="42" t="s">
        <v>181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1190</v>
      </c>
      <c r="C290" s="42">
        <v>5.0322222219999997</v>
      </c>
      <c r="D290" s="42">
        <v>-75.438333330000006</v>
      </c>
      <c r="E290" s="42">
        <v>2325</v>
      </c>
      <c r="F290" s="42" t="s">
        <v>353</v>
      </c>
      <c r="G290" s="42" t="s">
        <v>116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1191</v>
      </c>
      <c r="C291" s="42">
        <v>7.3731111110000001</v>
      </c>
      <c r="D291" s="42">
        <v>-72.644999999999996</v>
      </c>
      <c r="E291" s="42">
        <v>2340</v>
      </c>
      <c r="F291" s="42" t="s">
        <v>301</v>
      </c>
      <c r="G291" s="42" t="s">
        <v>300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1192</v>
      </c>
      <c r="C292" s="42">
        <v>6.5495277779999999</v>
      </c>
      <c r="D292" s="42">
        <v>-72.504722220000005</v>
      </c>
      <c r="E292" s="42">
        <v>2350</v>
      </c>
      <c r="F292" s="42" t="s">
        <v>234</v>
      </c>
      <c r="G292" s="42" t="s">
        <v>212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1193</v>
      </c>
      <c r="C293" s="42">
        <v>5.3526944439999999</v>
      </c>
      <c r="D293" s="42">
        <v>-73.453777779999996</v>
      </c>
      <c r="E293" s="42">
        <v>2438</v>
      </c>
      <c r="F293" s="42" t="s">
        <v>240</v>
      </c>
      <c r="G293" s="42" t="s">
        <v>212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1194</v>
      </c>
      <c r="C294" s="42">
        <v>2.2497222219999999</v>
      </c>
      <c r="D294" s="42">
        <v>-76.611944440000002</v>
      </c>
      <c r="E294" s="42">
        <v>2450</v>
      </c>
      <c r="F294" s="42" t="s">
        <v>582</v>
      </c>
      <c r="G294" s="42" t="s">
        <v>181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1195</v>
      </c>
      <c r="C295" s="42">
        <v>5.8024444439999998</v>
      </c>
      <c r="D295" s="42">
        <v>-73.074472220000004</v>
      </c>
      <c r="E295" s="42">
        <v>2485</v>
      </c>
      <c r="F295" s="42" t="s">
        <v>228</v>
      </c>
      <c r="G295" s="42" t="s">
        <v>212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1196</v>
      </c>
      <c r="C296" s="42">
        <v>5.6769444440000001</v>
      </c>
      <c r="D296" s="42">
        <v>-72.967916669999994</v>
      </c>
      <c r="E296" s="42">
        <v>2500</v>
      </c>
      <c r="F296" s="42" t="s">
        <v>536</v>
      </c>
      <c r="G296" s="42" t="s">
        <v>212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1197</v>
      </c>
      <c r="C297" s="42">
        <v>5.7458299999999998</v>
      </c>
      <c r="D297" s="42">
        <v>-73.11636</v>
      </c>
      <c r="E297" s="42">
        <v>2521</v>
      </c>
      <c r="F297" s="42" t="s">
        <v>238</v>
      </c>
      <c r="G297" s="42" t="s">
        <v>212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1198</v>
      </c>
      <c r="C298" s="42">
        <v>5.7815833330000004</v>
      </c>
      <c r="D298" s="42">
        <v>-72.894305560000006</v>
      </c>
      <c r="E298" s="42">
        <v>2530</v>
      </c>
      <c r="F298" s="42" t="s">
        <v>1199</v>
      </c>
      <c r="G298" s="42" t="s">
        <v>212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1200</v>
      </c>
      <c r="C299" s="42">
        <v>4.6886619999999999</v>
      </c>
      <c r="D299" s="42">
        <v>-74.205625999999995</v>
      </c>
      <c r="E299" s="42">
        <v>2543</v>
      </c>
      <c r="F299" s="42" t="s">
        <v>387</v>
      </c>
      <c r="G299" s="42" t="s">
        <v>73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1201</v>
      </c>
      <c r="C300" s="42">
        <v>4.7055829999999998</v>
      </c>
      <c r="D300" s="42">
        <v>-74.150666999999999</v>
      </c>
      <c r="E300" s="42">
        <v>2547</v>
      </c>
      <c r="F300" s="42" t="s">
        <v>409</v>
      </c>
      <c r="G300" s="42" t="s">
        <v>74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1202</v>
      </c>
      <c r="C301" s="42">
        <v>4.8541400000000001</v>
      </c>
      <c r="D301" s="42">
        <v>-74.032690000000002</v>
      </c>
      <c r="E301" s="42">
        <v>2548</v>
      </c>
      <c r="F301" s="42" t="s">
        <v>635</v>
      </c>
      <c r="G301" s="42" t="s">
        <v>73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1203</v>
      </c>
      <c r="C302" s="42">
        <v>4.7288055560000002</v>
      </c>
      <c r="D302" s="42">
        <v>-74.272499999999994</v>
      </c>
      <c r="E302" s="42">
        <v>2550</v>
      </c>
      <c r="F302" s="42" t="s">
        <v>406</v>
      </c>
      <c r="G302" s="42" t="s">
        <v>73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1204</v>
      </c>
      <c r="C303" s="42">
        <v>5.0890277780000002</v>
      </c>
      <c r="D303" s="42">
        <v>-73.802750000000003</v>
      </c>
      <c r="E303" s="42">
        <v>2550</v>
      </c>
      <c r="F303" s="42" t="s">
        <v>662</v>
      </c>
      <c r="G303" s="42" t="s">
        <v>73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1205</v>
      </c>
      <c r="C304" s="42">
        <v>5.6962222220000003</v>
      </c>
      <c r="D304" s="42">
        <v>-73.759</v>
      </c>
      <c r="E304" s="42">
        <v>2550</v>
      </c>
      <c r="F304" s="42" t="s">
        <v>222</v>
      </c>
      <c r="G304" s="42" t="s">
        <v>212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1206</v>
      </c>
      <c r="C305" s="42">
        <v>4.6678670000000002</v>
      </c>
      <c r="D305" s="42">
        <v>-74.101033999999999</v>
      </c>
      <c r="E305" s="42">
        <v>2552</v>
      </c>
      <c r="F305" s="42" t="s">
        <v>409</v>
      </c>
      <c r="G305" s="42" t="s">
        <v>74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1207</v>
      </c>
      <c r="C306" s="42">
        <v>4.6372299999999997</v>
      </c>
      <c r="D306" s="42">
        <v>-74.088920000000002</v>
      </c>
      <c r="E306" s="42">
        <v>2556</v>
      </c>
      <c r="F306" s="42" t="s">
        <v>409</v>
      </c>
      <c r="G306" s="42" t="s">
        <v>74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1208</v>
      </c>
      <c r="C307" s="42">
        <v>4.62547</v>
      </c>
      <c r="D307" s="42">
        <v>-74.156065999999996</v>
      </c>
      <c r="E307" s="42">
        <v>2557</v>
      </c>
      <c r="F307" s="42" t="s">
        <v>409</v>
      </c>
      <c r="G307" s="42" t="s">
        <v>74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1209</v>
      </c>
      <c r="C308" s="42">
        <v>4.7923888889999997</v>
      </c>
      <c r="D308" s="42">
        <v>-74.200916669999998</v>
      </c>
      <c r="E308" s="42">
        <v>2560</v>
      </c>
      <c r="F308" s="42" t="s">
        <v>663</v>
      </c>
      <c r="G308" s="42" t="s">
        <v>73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1210</v>
      </c>
      <c r="C309" s="42">
        <v>4.9277777780000003</v>
      </c>
      <c r="D309" s="42">
        <v>-73.95</v>
      </c>
      <c r="E309" s="42">
        <v>2560</v>
      </c>
      <c r="F309" s="42" t="s">
        <v>396</v>
      </c>
      <c r="G309" s="42" t="s">
        <v>73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1211</v>
      </c>
      <c r="C310" s="42">
        <v>4.9892200000000004</v>
      </c>
      <c r="D310" s="42">
        <v>-74.001189999999994</v>
      </c>
      <c r="E310" s="42">
        <v>2570</v>
      </c>
      <c r="F310" s="42" t="s">
        <v>668</v>
      </c>
      <c r="G310" s="42" t="s">
        <v>73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1212</v>
      </c>
      <c r="C311" s="42">
        <v>4.7986388890000002</v>
      </c>
      <c r="D311" s="42">
        <v>-74.049722220000007</v>
      </c>
      <c r="E311" s="42">
        <v>2570</v>
      </c>
      <c r="F311" s="42" t="s">
        <v>409</v>
      </c>
      <c r="G311" s="42" t="s">
        <v>74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1213</v>
      </c>
      <c r="C312" s="42">
        <v>5.0904600000000002</v>
      </c>
      <c r="D312" s="42">
        <v>-73.881249999999994</v>
      </c>
      <c r="E312" s="42">
        <v>2572</v>
      </c>
      <c r="F312" s="42" t="s">
        <v>648</v>
      </c>
      <c r="G312" s="42" t="s">
        <v>73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1214</v>
      </c>
      <c r="C313" s="42">
        <v>4.8985277780000001</v>
      </c>
      <c r="D313" s="42">
        <v>-74.104833330000005</v>
      </c>
      <c r="E313" s="42">
        <v>2575</v>
      </c>
      <c r="F313" s="42" t="s">
        <v>404</v>
      </c>
      <c r="G313" s="42" t="s">
        <v>73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1215</v>
      </c>
      <c r="C314" s="42">
        <v>4.7171111110000004</v>
      </c>
      <c r="D314" s="42">
        <v>-74.253333330000004</v>
      </c>
      <c r="E314" s="42">
        <v>2575</v>
      </c>
      <c r="F314" s="42" t="s">
        <v>406</v>
      </c>
      <c r="G314" s="42" t="s">
        <v>73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1216</v>
      </c>
      <c r="C315" s="42">
        <v>5.9072777780000001</v>
      </c>
      <c r="D315" s="42">
        <v>-72.810611109999996</v>
      </c>
      <c r="E315" s="42">
        <v>2575</v>
      </c>
      <c r="F315" s="42" t="s">
        <v>516</v>
      </c>
      <c r="G315" s="42" t="s">
        <v>212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1217</v>
      </c>
      <c r="C316" s="42">
        <v>5.4672777779999997</v>
      </c>
      <c r="D316" s="42">
        <v>-73.734805559999998</v>
      </c>
      <c r="E316" s="42">
        <v>2580</v>
      </c>
      <c r="F316" s="42" t="s">
        <v>415</v>
      </c>
      <c r="G316" s="42" t="s">
        <v>73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1218</v>
      </c>
      <c r="C317" s="42">
        <v>4.8321100000000001</v>
      </c>
      <c r="D317" s="42">
        <v>-74.380560000000003</v>
      </c>
      <c r="E317" s="42">
        <v>2590</v>
      </c>
      <c r="F317" s="42" t="s">
        <v>398</v>
      </c>
      <c r="G317" s="42" t="s">
        <v>73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1219</v>
      </c>
      <c r="C318" s="42">
        <v>4.786594</v>
      </c>
      <c r="D318" s="42">
        <v>-74.102247000000006</v>
      </c>
      <c r="E318" s="42">
        <v>2590</v>
      </c>
      <c r="F318" s="42" t="s">
        <v>409</v>
      </c>
      <c r="G318" s="42" t="s">
        <v>74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1220</v>
      </c>
      <c r="C319" s="42">
        <v>6.1168611110000004</v>
      </c>
      <c r="D319" s="42">
        <v>-72.70483333</v>
      </c>
      <c r="E319" s="42">
        <v>2594</v>
      </c>
      <c r="F319" s="42" t="s">
        <v>532</v>
      </c>
      <c r="G319" s="42" t="s">
        <v>212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1221</v>
      </c>
      <c r="C320" s="42">
        <v>5.5093888890000002</v>
      </c>
      <c r="D320" s="42">
        <v>-73.495777779999997</v>
      </c>
      <c r="E320" s="42">
        <v>2600</v>
      </c>
      <c r="F320" s="42" t="s">
        <v>218</v>
      </c>
      <c r="G320" s="42" t="s">
        <v>212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1222</v>
      </c>
      <c r="C321" s="42">
        <v>3.7299722219999998</v>
      </c>
      <c r="D321" s="42">
        <v>-76.074777780000005</v>
      </c>
      <c r="E321" s="42">
        <v>2628</v>
      </c>
      <c r="F321" s="42" t="s">
        <v>835</v>
      </c>
      <c r="G321" s="42" t="s">
        <v>341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1223</v>
      </c>
      <c r="C322" s="42">
        <v>5.96225</v>
      </c>
      <c r="D322" s="42">
        <v>-72.938500000000005</v>
      </c>
      <c r="E322" s="42">
        <v>2643</v>
      </c>
      <c r="F322" s="42" t="s">
        <v>236</v>
      </c>
      <c r="G322" s="42" t="s">
        <v>212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1224</v>
      </c>
      <c r="C323" s="42">
        <v>4.8208333330000004</v>
      </c>
      <c r="D323" s="42">
        <v>-73.963888890000007</v>
      </c>
      <c r="E323" s="42">
        <v>2650</v>
      </c>
      <c r="F323" s="42" t="s">
        <v>396</v>
      </c>
      <c r="G323" s="42" t="s">
        <v>73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1225</v>
      </c>
      <c r="C324" s="42">
        <v>4.9390555559999996</v>
      </c>
      <c r="D324" s="42">
        <v>-74.152583329999999</v>
      </c>
      <c r="E324" s="42">
        <v>2650</v>
      </c>
      <c r="F324" s="42" t="s">
        <v>400</v>
      </c>
      <c r="G324" s="42" t="s">
        <v>73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1226</v>
      </c>
      <c r="C325" s="42">
        <v>4.9168333329999996</v>
      </c>
      <c r="D325" s="42">
        <v>-74.181666669999998</v>
      </c>
      <c r="E325" s="42">
        <v>2650</v>
      </c>
      <c r="F325" s="42" t="s">
        <v>400</v>
      </c>
      <c r="G325" s="42" t="s">
        <v>73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1227</v>
      </c>
      <c r="C326" s="42">
        <v>4.7356111109999999</v>
      </c>
      <c r="D326" s="42">
        <v>-75.13891667</v>
      </c>
      <c r="E326" s="42">
        <v>2670</v>
      </c>
      <c r="F326" s="42" t="s">
        <v>366</v>
      </c>
      <c r="G326" s="42" t="s">
        <v>70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1228</v>
      </c>
      <c r="C327" s="42">
        <v>4.6482299999999999</v>
      </c>
      <c r="D327" s="42">
        <v>-74.320350000000005</v>
      </c>
      <c r="E327" s="42">
        <v>2680</v>
      </c>
      <c r="F327" s="42" t="s">
        <v>632</v>
      </c>
      <c r="G327" s="42" t="s">
        <v>73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1229</v>
      </c>
      <c r="C328" s="42">
        <v>5.5430774999999999</v>
      </c>
      <c r="D328" s="42">
        <v>-73.360813059999998</v>
      </c>
      <c r="E328" s="42">
        <v>2690</v>
      </c>
      <c r="F328" s="42" t="s">
        <v>230</v>
      </c>
      <c r="G328" s="42" t="s">
        <v>212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1230</v>
      </c>
      <c r="C329" s="42">
        <v>5.5791944439999996</v>
      </c>
      <c r="D329" s="42">
        <v>-73.208777777999998</v>
      </c>
      <c r="E329" s="42">
        <v>2700</v>
      </c>
      <c r="F329" s="42" t="s">
        <v>224</v>
      </c>
      <c r="G329" s="42" t="s">
        <v>212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1231</v>
      </c>
      <c r="C330" s="42">
        <v>5.1177222220000003</v>
      </c>
      <c r="D330" s="42">
        <v>-73.70141667</v>
      </c>
      <c r="E330" s="42">
        <v>2709</v>
      </c>
      <c r="F330" s="42" t="s">
        <v>394</v>
      </c>
      <c r="G330" s="42" t="s">
        <v>73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1232</v>
      </c>
      <c r="C331" s="42">
        <v>1.1982222220000001</v>
      </c>
      <c r="D331" s="42">
        <v>-77.303083330000007</v>
      </c>
      <c r="E331" s="42">
        <v>2710</v>
      </c>
      <c r="F331" s="42" t="s">
        <v>271</v>
      </c>
      <c r="G331" s="42" t="s">
        <v>82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1233</v>
      </c>
      <c r="C332" s="42">
        <v>4.8779529999999998</v>
      </c>
      <c r="D332" s="42">
        <v>-73.864452999999997</v>
      </c>
      <c r="E332" s="42">
        <v>2750</v>
      </c>
      <c r="F332" s="42" t="s">
        <v>390</v>
      </c>
      <c r="G332" s="42" t="s">
        <v>73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1234</v>
      </c>
      <c r="C333" s="42">
        <v>1.107583333</v>
      </c>
      <c r="D333" s="42">
        <v>-77.389361109999996</v>
      </c>
      <c r="E333" s="42">
        <v>2800</v>
      </c>
      <c r="F333" s="42" t="s">
        <v>291</v>
      </c>
      <c r="G333" s="42" t="s">
        <v>82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1235</v>
      </c>
      <c r="C334" s="42">
        <v>4.7017499999999997</v>
      </c>
      <c r="D334" s="42">
        <v>-75.131833330000006</v>
      </c>
      <c r="E334" s="42">
        <v>2817</v>
      </c>
      <c r="F334" s="42" t="s">
        <v>366</v>
      </c>
      <c r="G334" s="42" t="s">
        <v>70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1236</v>
      </c>
      <c r="C335" s="42">
        <v>1.1599999999999999</v>
      </c>
      <c r="D335" s="42">
        <v>-77.278805559999995</v>
      </c>
      <c r="E335" s="42">
        <v>2820</v>
      </c>
      <c r="F335" s="42" t="s">
        <v>271</v>
      </c>
      <c r="G335" s="42" t="s">
        <v>82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1237</v>
      </c>
      <c r="C336" s="42">
        <v>1.159944444</v>
      </c>
      <c r="D336" s="42">
        <v>-77.161472219999993</v>
      </c>
      <c r="E336" s="42">
        <v>2830</v>
      </c>
      <c r="F336" s="42" t="s">
        <v>271</v>
      </c>
      <c r="G336" s="42" t="s">
        <v>82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1238</v>
      </c>
      <c r="C337" s="42">
        <v>6.8452777779999998</v>
      </c>
      <c r="D337" s="42">
        <v>-72.67777778</v>
      </c>
      <c r="E337" s="42">
        <v>2841</v>
      </c>
      <c r="F337" s="42" t="s">
        <v>327</v>
      </c>
      <c r="G337" s="42" t="s">
        <v>49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1239</v>
      </c>
      <c r="C338" s="42">
        <v>5.3729444439999998</v>
      </c>
      <c r="D338" s="42">
        <v>-75.375333330000004</v>
      </c>
      <c r="E338" s="42">
        <v>2855</v>
      </c>
      <c r="F338" s="42" t="s">
        <v>1240</v>
      </c>
      <c r="G338" s="42" t="s">
        <v>116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1241</v>
      </c>
      <c r="C339" s="42">
        <v>4.5057499999999999</v>
      </c>
      <c r="D339" s="42">
        <v>-74.189277779999998</v>
      </c>
      <c r="E339" s="42">
        <v>2900</v>
      </c>
      <c r="F339" s="42" t="s">
        <v>392</v>
      </c>
      <c r="G339" s="42" t="s">
        <v>73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1242</v>
      </c>
      <c r="C340" s="42">
        <v>2.1917219999999999</v>
      </c>
      <c r="D340" s="42">
        <v>-76.482028</v>
      </c>
      <c r="E340" s="42">
        <v>2900</v>
      </c>
      <c r="F340" s="42" t="s">
        <v>1243</v>
      </c>
      <c r="G340" s="42" t="s">
        <v>181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1244</v>
      </c>
      <c r="C341" s="42">
        <v>1.900416667</v>
      </c>
      <c r="D341" s="42">
        <v>-76.668750000000003</v>
      </c>
      <c r="E341" s="42">
        <v>2900</v>
      </c>
      <c r="F341" s="42" t="s">
        <v>262</v>
      </c>
      <c r="G341" s="42" t="s">
        <v>181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1245</v>
      </c>
      <c r="C342" s="42">
        <v>4.0330555559999999</v>
      </c>
      <c r="D342" s="42">
        <v>-75.888027777999994</v>
      </c>
      <c r="E342" s="42">
        <v>2902</v>
      </c>
      <c r="F342" s="42" t="s">
        <v>343</v>
      </c>
      <c r="G342" s="42" t="s">
        <v>341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1246</v>
      </c>
      <c r="C343" s="42">
        <v>6.2481111110000001</v>
      </c>
      <c r="D343" s="42">
        <v>-72.548888890000001</v>
      </c>
      <c r="E343" s="42">
        <v>2950</v>
      </c>
      <c r="F343" s="42" t="s">
        <v>524</v>
      </c>
      <c r="G343" s="42" t="s">
        <v>212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1247</v>
      </c>
      <c r="C344" s="42">
        <v>5.3481899999999998</v>
      </c>
      <c r="D344" s="42">
        <v>-73.898169999999993</v>
      </c>
      <c r="E344" s="42">
        <v>2960</v>
      </c>
      <c r="F344" s="42" t="s">
        <v>1248</v>
      </c>
      <c r="G344" s="42" t="s">
        <v>73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1249</v>
      </c>
      <c r="C345" s="42">
        <v>0.85708333299999995</v>
      </c>
      <c r="D345" s="42">
        <v>-77.677750000000003</v>
      </c>
      <c r="E345" s="42">
        <v>2961</v>
      </c>
      <c r="F345" s="42" t="s">
        <v>85</v>
      </c>
      <c r="G345" s="42" t="s">
        <v>82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1250</v>
      </c>
      <c r="C346" s="42">
        <v>6.463472222</v>
      </c>
      <c r="D346" s="42">
        <v>-72.409194439999993</v>
      </c>
      <c r="E346" s="42">
        <v>2963</v>
      </c>
      <c r="F346" s="42" t="s">
        <v>521</v>
      </c>
      <c r="G346" s="42" t="s">
        <v>212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1251</v>
      </c>
      <c r="C347" s="42">
        <v>5.5749138890000003</v>
      </c>
      <c r="D347" s="42">
        <v>-72.947694440000006</v>
      </c>
      <c r="E347" s="42">
        <v>3000</v>
      </c>
      <c r="F347" s="42" t="s">
        <v>520</v>
      </c>
      <c r="G347" s="42" t="s">
        <v>212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1252</v>
      </c>
      <c r="C348" s="42">
        <v>1.070707855</v>
      </c>
      <c r="D348" s="42">
        <v>-77.636935688999998</v>
      </c>
      <c r="E348" s="42">
        <v>3033</v>
      </c>
      <c r="F348" s="42" t="s">
        <v>295</v>
      </c>
      <c r="G348" s="42" t="s">
        <v>82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1253</v>
      </c>
      <c r="C349" s="42">
        <v>2.5097499999999999</v>
      </c>
      <c r="D349" s="42">
        <v>-76.289055555999994</v>
      </c>
      <c r="E349" s="42">
        <v>3071</v>
      </c>
      <c r="F349" s="42" t="s">
        <v>584</v>
      </c>
      <c r="G349" s="42" t="s">
        <v>181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1254</v>
      </c>
      <c r="C350" s="42">
        <v>4.5167527779999999</v>
      </c>
      <c r="D350" s="42">
        <v>-74.088222221999999</v>
      </c>
      <c r="E350" s="42">
        <v>3100</v>
      </c>
      <c r="F350" s="42" t="s">
        <v>409</v>
      </c>
      <c r="G350" s="42" t="s">
        <v>74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1255</v>
      </c>
      <c r="C351" s="42">
        <v>0.93263888900000003</v>
      </c>
      <c r="D351" s="42">
        <v>-77.629583330000003</v>
      </c>
      <c r="E351" s="42">
        <v>3141</v>
      </c>
      <c r="F351" s="42" t="s">
        <v>285</v>
      </c>
      <c r="G351" s="42" t="s">
        <v>82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1256</v>
      </c>
      <c r="C352" s="42">
        <v>4.1966666669999997</v>
      </c>
      <c r="D352" s="42">
        <v>-74.190944439999996</v>
      </c>
      <c r="E352" s="42">
        <v>3150</v>
      </c>
      <c r="F352" s="42" t="s">
        <v>409</v>
      </c>
      <c r="G352" s="42" t="s">
        <v>74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1257</v>
      </c>
      <c r="C353" s="42">
        <v>4.587059</v>
      </c>
      <c r="D353" s="42">
        <v>-73.995885000000001</v>
      </c>
      <c r="E353" s="42">
        <v>3195</v>
      </c>
      <c r="F353" s="42" t="s">
        <v>417</v>
      </c>
      <c r="G353" s="42" t="s">
        <v>73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1258</v>
      </c>
      <c r="C354" s="42">
        <v>7.1869444439999999</v>
      </c>
      <c r="D354" s="42">
        <v>-72.868611110000003</v>
      </c>
      <c r="E354" s="42">
        <v>3214</v>
      </c>
      <c r="F354" s="42" t="s">
        <v>332</v>
      </c>
      <c r="G354" s="42" t="s">
        <v>49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1259</v>
      </c>
      <c r="C355" s="42">
        <v>5.9011388890000003</v>
      </c>
      <c r="D355" s="42">
        <v>-73.058333329999996</v>
      </c>
      <c r="E355" s="42">
        <v>3265</v>
      </c>
      <c r="F355" s="42" t="s">
        <v>228</v>
      </c>
      <c r="G355" s="42" t="s">
        <v>212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1260</v>
      </c>
      <c r="C356" s="42">
        <v>6.0116666670000001</v>
      </c>
      <c r="D356" s="42">
        <v>-72.529277780000001</v>
      </c>
      <c r="E356" s="42">
        <v>3590</v>
      </c>
      <c r="F356" s="42" t="s">
        <v>534</v>
      </c>
      <c r="G356" s="42" t="s">
        <v>212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1261</v>
      </c>
      <c r="C357" s="42">
        <v>6.4100833330000002</v>
      </c>
      <c r="D357" s="42">
        <v>-72.375194440000001</v>
      </c>
      <c r="E357" s="42">
        <v>3716</v>
      </c>
      <c r="F357" s="42" t="s">
        <v>521</v>
      </c>
      <c r="G357" s="42" t="s">
        <v>212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1262</v>
      </c>
      <c r="C358" s="42">
        <v>4.7764166670000003</v>
      </c>
      <c r="D358" s="42">
        <v>-75.412499999999994</v>
      </c>
      <c r="E358" s="42">
        <v>3950</v>
      </c>
      <c r="F358" s="42" t="s">
        <v>65</v>
      </c>
      <c r="G358" s="42" t="s">
        <v>64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1263</v>
      </c>
      <c r="B1" s="45" t="s">
        <v>1264</v>
      </c>
      <c r="C1" s="45" t="s">
        <v>1265</v>
      </c>
      <c r="D1" s="45" t="s">
        <v>1266</v>
      </c>
    </row>
    <row r="2" spans="1:4" ht="38.25" customHeight="1" x14ac:dyDescent="0.2">
      <c r="A2" s="34">
        <v>46071</v>
      </c>
      <c r="B2" s="33" t="s">
        <v>1267</v>
      </c>
      <c r="C2" s="32" t="s">
        <v>1268</v>
      </c>
      <c r="D2" s="33" t="s">
        <v>1269</v>
      </c>
    </row>
    <row r="3" spans="1:4" ht="51" customHeight="1" x14ac:dyDescent="0.2">
      <c r="A3" s="60">
        <v>46076</v>
      </c>
      <c r="B3" s="61" t="s">
        <v>1267</v>
      </c>
      <c r="C3" s="62" t="s">
        <v>1270</v>
      </c>
      <c r="D3" s="61" t="s">
        <v>1269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2017-06-11T12:02:38Z</cp:lastPrinted>
  <dcterms:created xsi:type="dcterms:W3CDTF">2008-10-19T17:20:03Z</dcterms:created>
  <dcterms:modified xsi:type="dcterms:W3CDTF">2026-09-19T15:35:45Z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2026-09-19T15:04:34Z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a0d973d7-92ec-4999-be18-ce0c0e2cf572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