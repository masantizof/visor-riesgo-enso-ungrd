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F774D2F-856F-4C0D-8190-B408C6A39B96}" xr6:coauthVersionLast="47" xr6:coauthVersionMax="47" xr10:uidLastSave="{00000000-0000-0000-0000-000000000000}"/>
  <bookViews>
    <workbookView xWindow="2550" yWindow="2550" windowWidth="21600" windowHeight="11295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Temperatura!$AI$1:$AI$209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S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Q205" i="1"/>
  <c r="AS205" i="1" s="1"/>
  <c r="AP205" i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Q193" i="1"/>
  <c r="AS193" i="1" s="1"/>
  <c r="AP193" i="1"/>
  <c r="AV192" i="1" a="1"/>
  <c r="AV192" i="1" s="1"/>
  <c r="AU192" i="1" a="1"/>
  <c r="AU192" i="1" s="1"/>
  <c r="AT192" i="1"/>
  <c r="AS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Q183" i="1"/>
  <c r="AP183" i="1"/>
  <c r="AV182" i="1" a="1"/>
  <c r="AV182" i="1" s="1"/>
  <c r="AU182" i="1" a="1"/>
  <c r="AU182" i="1" s="1"/>
  <c r="AT182" i="1"/>
  <c r="AW182" i="1" s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Q179" i="1"/>
  <c r="AS179" i="1" s="1"/>
  <c r="AP179" i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Q175" i="1"/>
  <c r="AS175" i="1" s="1"/>
  <c r="AP175" i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S173" i="1" s="1"/>
  <c r="AQ173" i="1"/>
  <c r="AP173" i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/>
  <c r="AT171" i="1"/>
  <c r="AR171" i="1"/>
  <c r="AP171" i="1"/>
  <c r="AQ171" i="1" s="1"/>
  <c r="AS171" i="1" s="1"/>
  <c r="AV170" i="1" a="1"/>
  <c r="AV170" i="1" s="1"/>
  <c r="AU170" i="1" a="1"/>
  <c r="AU170" i="1" s="1"/>
  <c r="AW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W168" i="1" s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Q167" i="1"/>
  <c r="AP167" i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W164" i="1" s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W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W158" i="1" s="1"/>
  <c r="AR158" i="1"/>
  <c r="AP158" i="1"/>
  <c r="AQ158" i="1" s="1"/>
  <c r="AV157" i="1" a="1"/>
  <c r="AV157" i="1" s="1"/>
  <c r="AU157" i="1" a="1"/>
  <c r="AU157" i="1" s="1"/>
  <c r="AT157" i="1"/>
  <c r="AR157" i="1"/>
  <c r="AQ157" i="1"/>
  <c r="AP157" i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S154" i="1" s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Q151" i="1"/>
  <c r="AP151" i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Q149" i="1"/>
  <c r="AP149" i="1"/>
  <c r="AV148" i="1" a="1"/>
  <c r="AV148" i="1" s="1"/>
  <c r="AU148" i="1" a="1"/>
  <c r="AU148" i="1" s="1"/>
  <c r="AT148" i="1"/>
  <c r="AW148" i="1" s="1"/>
  <c r="AR148" i="1"/>
  <c r="AP148" i="1"/>
  <c r="AQ148" i="1" s="1"/>
  <c r="AV147" i="1" a="1"/>
  <c r="AV147" i="1" s="1"/>
  <c r="AU147" i="1" a="1"/>
  <c r="AU147" i="1" s="1"/>
  <c r="AT147" i="1"/>
  <c r="AR147" i="1"/>
  <c r="AQ147" i="1"/>
  <c r="AP147" i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W142" i="1" s="1"/>
  <c r="AR142" i="1"/>
  <c r="AP142" i="1"/>
  <c r="AQ142" i="1" s="1"/>
  <c r="AV141" i="1" a="1"/>
  <c r="AV141" i="1" s="1"/>
  <c r="AU141" i="1" a="1"/>
  <c r="AU141" i="1"/>
  <c r="AT141" i="1"/>
  <c r="AR141" i="1"/>
  <c r="AQ141" i="1"/>
  <c r="AP141" i="1"/>
  <c r="AV140" i="1" a="1"/>
  <c r="AV140" i="1" s="1"/>
  <c r="AU140" i="1" a="1"/>
  <c r="AU140" i="1" s="1"/>
  <c r="AW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Q135" i="1"/>
  <c r="AP135" i="1"/>
  <c r="AV134" i="1" a="1"/>
  <c r="AV134" i="1" s="1"/>
  <c r="AU134" i="1" a="1"/>
  <c r="AU134" i="1" s="1"/>
  <c r="AT134" i="1"/>
  <c r="AW134" i="1" s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W132" i="1" s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W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Q125" i="1"/>
  <c r="AS125" i="1" s="1"/>
  <c r="AP125" i="1"/>
  <c r="AV124" i="1" a="1"/>
  <c r="AV124" i="1" s="1"/>
  <c r="AU124" i="1" a="1"/>
  <c r="AU124" i="1" s="1"/>
  <c r="AT124" i="1"/>
  <c r="AR124" i="1"/>
  <c r="AS124" i="1" s="1"/>
  <c r="AP124" i="1"/>
  <c r="AQ124" i="1" s="1"/>
  <c r="AV123" i="1" a="1"/>
  <c r="AV123" i="1" s="1"/>
  <c r="AU123" i="1" a="1"/>
  <c r="AU123" i="1" s="1"/>
  <c r="AT123" i="1"/>
  <c r="AR123" i="1"/>
  <c r="AQ123" i="1"/>
  <c r="AP123" i="1"/>
  <c r="AV122" i="1" a="1"/>
  <c r="AV122" i="1" s="1"/>
  <c r="AU122" i="1" a="1"/>
  <c r="AU122" i="1" s="1"/>
  <c r="AT122" i="1"/>
  <c r="AR122" i="1"/>
  <c r="AS122" i="1" s="1"/>
  <c r="AP122" i="1"/>
  <c r="AQ122" i="1" s="1"/>
  <c r="AV121" i="1" a="1"/>
  <c r="AV121" i="1" s="1"/>
  <c r="AU121" i="1" a="1"/>
  <c r="AU121" i="1" s="1"/>
  <c r="AT121" i="1"/>
  <c r="AR121" i="1"/>
  <c r="AQ121" i="1"/>
  <c r="AS121" i="1" s="1"/>
  <c r="AP121" i="1"/>
  <c r="AV120" i="1" a="1"/>
  <c r="AV120" i="1" s="1"/>
  <c r="AU120" i="1" a="1"/>
  <c r="AU120" i="1" s="1"/>
  <c r="AW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W118" i="1" s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Q117" i="1"/>
  <c r="AP117" i="1"/>
  <c r="AV116" i="1" a="1"/>
  <c r="AV116" i="1" s="1"/>
  <c r="AU116" i="1" a="1"/>
  <c r="AU116" i="1" s="1"/>
  <c r="AT116" i="1"/>
  <c r="AW116" i="1" s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Q114" i="1"/>
  <c r="AP114" i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W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/>
  <c r="AT103" i="1"/>
  <c r="AR103" i="1"/>
  <c r="AP103" i="1"/>
  <c r="AQ103" i="1" s="1"/>
  <c r="AV102" i="1" a="1"/>
  <c r="AV102" i="1" s="1"/>
  <c r="AU102" i="1" a="1"/>
  <c r="AU102" i="1" s="1"/>
  <c r="AW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W99" i="1" s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W92" i="1" s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W90" i="1" s="1"/>
  <c r="AT90" i="1"/>
  <c r="AR90" i="1"/>
  <c r="AP90" i="1"/>
  <c r="AQ90" i="1" s="1"/>
  <c r="AV89" i="1" a="1"/>
  <c r="AV89" i="1" s="1"/>
  <c r="AU89" i="1" a="1"/>
  <c r="AU89" i="1" s="1"/>
  <c r="AW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/>
  <c r="AT86" i="1"/>
  <c r="AW86" i="1" s="1"/>
  <c r="AR86" i="1"/>
  <c r="AP86" i="1"/>
  <c r="AQ86" i="1" s="1"/>
  <c r="AS86" i="1" s="1"/>
  <c r="AV85" i="1" a="1"/>
  <c r="AV85" i="1" s="1"/>
  <c r="AU85" i="1" a="1"/>
  <c r="AU85" i="1"/>
  <c r="AT85" i="1"/>
  <c r="AR85" i="1"/>
  <c r="AQ85" i="1"/>
  <c r="AP85" i="1"/>
  <c r="AV84" i="1" a="1"/>
  <c r="AV84" i="1" s="1"/>
  <c r="AU84" i="1" a="1"/>
  <c r="AU84" i="1" s="1"/>
  <c r="AW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W79" i="1" s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/>
  <c r="AT69" i="1"/>
  <c r="AR69" i="1"/>
  <c r="AQ69" i="1"/>
  <c r="AP69" i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W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Q58" i="1"/>
  <c r="AS58" i="1" s="1"/>
  <c r="AP58" i="1"/>
  <c r="AV57" i="1" a="1"/>
  <c r="AV57" i="1" s="1"/>
  <c r="AU57" i="1" a="1"/>
  <c r="AU57" i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W52" i="1" s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W48" i="1" s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S40" i="1" s="1"/>
  <c r="AQ40" i="1"/>
  <c r="AP40" i="1"/>
  <c r="AV39" i="1" a="1"/>
  <c r="AV39" i="1" s="1"/>
  <c r="AU39" i="1" a="1"/>
  <c r="AU39" i="1"/>
  <c r="AT39" i="1"/>
  <c r="AR39" i="1"/>
  <c r="AP39" i="1"/>
  <c r="AQ39" i="1" s="1"/>
  <c r="AS39" i="1" s="1"/>
  <c r="AV38" i="1" a="1"/>
  <c r="AV38" i="1" s="1"/>
  <c r="AU38" i="1" a="1"/>
  <c r="AU38" i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/>
  <c r="AT35" i="1"/>
  <c r="AR35" i="1"/>
  <c r="AP35" i="1"/>
  <c r="AQ35" i="1" s="1"/>
  <c r="AS35" i="1" s="1"/>
  <c r="AV34" i="1" a="1"/>
  <c r="AV34" i="1" s="1"/>
  <c r="AU34" i="1" a="1"/>
  <c r="AU34" i="1"/>
  <c r="AT34" i="1"/>
  <c r="AR34" i="1"/>
  <c r="AP34" i="1"/>
  <c r="AQ34" i="1" s="1"/>
  <c r="AS34" i="1" s="1"/>
  <c r="AV33" i="1" a="1"/>
  <c r="AV33" i="1" s="1"/>
  <c r="AU33" i="1" a="1"/>
  <c r="AU33" i="1"/>
  <c r="AT33" i="1"/>
  <c r="AW33" i="1" s="1"/>
  <c r="AR33" i="1"/>
  <c r="AP33" i="1"/>
  <c r="AQ33" i="1" s="1"/>
  <c r="AS33" i="1" s="1"/>
  <c r="AV32" i="1" a="1"/>
  <c r="AV32" i="1" s="1"/>
  <c r="AU32" i="1" a="1"/>
  <c r="AU32" i="1" s="1"/>
  <c r="AW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W30" i="1" s="1"/>
  <c r="AT30" i="1"/>
  <c r="AR30" i="1"/>
  <c r="AP30" i="1"/>
  <c r="AQ30" i="1" s="1"/>
  <c r="AS30" i="1" s="1"/>
  <c r="AV29" i="1" a="1"/>
  <c r="AV29" i="1"/>
  <c r="AU29" i="1" a="1"/>
  <c r="AU29" i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/>
  <c r="AT26" i="1"/>
  <c r="AW26" i="1" s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/>
  <c r="AT19" i="1"/>
  <c r="AW19" i="1" s="1"/>
  <c r="AR19" i="1"/>
  <c r="AP19" i="1"/>
  <c r="AQ19" i="1" s="1"/>
  <c r="AS19" i="1" s="1"/>
  <c r="AV18" i="1" a="1"/>
  <c r="AV18" i="1" s="1"/>
  <c r="AU18" i="1" a="1"/>
  <c r="AU18" i="1"/>
  <c r="AT18" i="1"/>
  <c r="AR18" i="1"/>
  <c r="AQ18" i="1"/>
  <c r="AP18" i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/>
  <c r="AT13" i="1"/>
  <c r="AW13" i="1" s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/>
  <c r="AU11" i="1" a="1"/>
  <c r="AU11" i="1" s="1"/>
  <c r="AT11" i="1"/>
  <c r="AR11" i="1"/>
  <c r="AP11" i="1"/>
  <c r="AQ11" i="1" s="1"/>
  <c r="AV10" i="1" a="1"/>
  <c r="AV10" i="1" s="1"/>
  <c r="AU10" i="1" a="1"/>
  <c r="AU10" i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Q5" i="1"/>
  <c r="AP5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74" i="1" l="1"/>
  <c r="AW18" i="1"/>
  <c r="AW28" i="1"/>
  <c r="AS60" i="1"/>
  <c r="AW85" i="1"/>
  <c r="AW122" i="1"/>
  <c r="AS158" i="1"/>
  <c r="AW172" i="1"/>
  <c r="AS183" i="1"/>
  <c r="AS133" i="1"/>
  <c r="AS144" i="1"/>
  <c r="AS194" i="1"/>
  <c r="AW12" i="1"/>
  <c r="AW22" i="1"/>
  <c r="AW25" i="1"/>
  <c r="AW38" i="1"/>
  <c r="AW41" i="1"/>
  <c r="AS57" i="1"/>
  <c r="AS75" i="1"/>
  <c r="AW78" i="1"/>
  <c r="AS101" i="1"/>
  <c r="AW104" i="1"/>
  <c r="AW108" i="1"/>
  <c r="AS112" i="1"/>
  <c r="AW115" i="1"/>
  <c r="AW144" i="1"/>
  <c r="AS148" i="1"/>
  <c r="AW162" i="1"/>
  <c r="AW202" i="1"/>
  <c r="AS6" i="1"/>
  <c r="AW35" i="1"/>
  <c r="AS42" i="1"/>
  <c r="AW49" i="1"/>
  <c r="AW57" i="1"/>
  <c r="AS61" i="1"/>
  <c r="AW64" i="1"/>
  <c r="AW68" i="1"/>
  <c r="AW75" i="1"/>
  <c r="AW101" i="1"/>
  <c r="AS134" i="1"/>
  <c r="AS120" i="1"/>
  <c r="AS184" i="1"/>
  <c r="AW46" i="1"/>
  <c r="AS54" i="1"/>
  <c r="AW61" i="1"/>
  <c r="AW83" i="1"/>
  <c r="AS113" i="1"/>
  <c r="AW152" i="1"/>
  <c r="AS181" i="1"/>
  <c r="AS69" i="1"/>
  <c r="AW138" i="1"/>
  <c r="AS149" i="1"/>
  <c r="AS163" i="1"/>
  <c r="AS106" i="1"/>
  <c r="AS142" i="1"/>
  <c r="AS91" i="1"/>
  <c r="AW124" i="1"/>
  <c r="AS128" i="1"/>
  <c r="AS135" i="1"/>
  <c r="AW174" i="1"/>
  <c r="AS185" i="1"/>
  <c r="AW192" i="1"/>
  <c r="AW106" i="1"/>
  <c r="AS196" i="1"/>
  <c r="AW20" i="1"/>
  <c r="AW47" i="1"/>
  <c r="AW62" i="1"/>
  <c r="AS66" i="1"/>
  <c r="AS77" i="1"/>
  <c r="AW87" i="1"/>
  <c r="AS103" i="1"/>
  <c r="AW128" i="1"/>
  <c r="AS153" i="1"/>
  <c r="AS204" i="1"/>
  <c r="AW10" i="1"/>
  <c r="AW36" i="1"/>
  <c r="AW69" i="1"/>
  <c r="AW14" i="1"/>
  <c r="AW95" i="1"/>
  <c r="AS114" i="1"/>
  <c r="AS132" i="1"/>
  <c r="AW178" i="1"/>
  <c r="AS182" i="1"/>
  <c r="AS17" i="1"/>
  <c r="AW23" i="1"/>
  <c r="AW76" i="1"/>
  <c r="AS11" i="1"/>
  <c r="AS21" i="1"/>
  <c r="AS24" i="1"/>
  <c r="AW103" i="1"/>
  <c r="AW16" i="1"/>
  <c r="AW21" i="1"/>
  <c r="AW24" i="1"/>
  <c r="AS74" i="1"/>
  <c r="AS143" i="1"/>
  <c r="AW150" i="1"/>
  <c r="AS5" i="1"/>
  <c r="AW8" i="1"/>
  <c r="AS15" i="1"/>
  <c r="AS18" i="1"/>
  <c r="AS28" i="1"/>
  <c r="AW34" i="1"/>
  <c r="AS67" i="1"/>
  <c r="AW96" i="1"/>
  <c r="AW154" i="1"/>
  <c r="AW67" i="1"/>
  <c r="AW6" i="1"/>
  <c r="AW98" i="1"/>
  <c r="AW58" i="1"/>
  <c r="AW55" i="1"/>
  <c r="AS96" i="1"/>
  <c r="AS99" i="1"/>
  <c r="AW54" i="1"/>
  <c r="AS109" i="1"/>
  <c r="AS64" i="1"/>
  <c r="AW70" i="1"/>
  <c r="AS126" i="1"/>
  <c r="AS136" i="1"/>
  <c r="AS146" i="1"/>
  <c r="AS156" i="1"/>
  <c r="AS166" i="1"/>
  <c r="AS176" i="1"/>
  <c r="AS206" i="1"/>
  <c r="AS48" i="1"/>
  <c r="AW77" i="1"/>
  <c r="AS90" i="1"/>
  <c r="AW93" i="1"/>
  <c r="AW109" i="1"/>
  <c r="AW126" i="1"/>
  <c r="AW136" i="1"/>
  <c r="AW146" i="1"/>
  <c r="AW156" i="1"/>
  <c r="AW166" i="1"/>
  <c r="AW176" i="1"/>
  <c r="AS186" i="1"/>
  <c r="AS203" i="1"/>
  <c r="AW206" i="1"/>
  <c r="AW186" i="1"/>
  <c r="AP2" i="1"/>
  <c r="AS52" i="1"/>
  <c r="AS84" i="1"/>
  <c r="AS94" i="1"/>
  <c r="AW100" i="1"/>
  <c r="AS123" i="1"/>
  <c r="AS130" i="1"/>
  <c r="AS140" i="1"/>
  <c r="AS150" i="1"/>
  <c r="AS160" i="1"/>
  <c r="AS170" i="1"/>
  <c r="AS180" i="1"/>
  <c r="AS190" i="1"/>
  <c r="AS200" i="1"/>
  <c r="AS207" i="1"/>
  <c r="AW45" i="1"/>
  <c r="AS9" i="1"/>
  <c r="AW29" i="1"/>
  <c r="AW39" i="1"/>
  <c r="AW42" i="1"/>
  <c r="AS62" i="1"/>
  <c r="AS65" i="1"/>
  <c r="AS68" i="1"/>
  <c r="AW71" i="1"/>
  <c r="AW97" i="1"/>
  <c r="AS127" i="1"/>
  <c r="AS137" i="1"/>
  <c r="AS147" i="1"/>
  <c r="AS157" i="1"/>
  <c r="AS167" i="1"/>
  <c r="AS177" i="1"/>
  <c r="AW94" i="1"/>
  <c r="AS107" i="1"/>
  <c r="AS117" i="1"/>
  <c r="AW180" i="1"/>
  <c r="AW190" i="1"/>
  <c r="AW200" i="1"/>
  <c r="AW44" i="1"/>
  <c r="AS104" i="1"/>
  <c r="AW107" i="1"/>
  <c r="AW51" i="1"/>
  <c r="AW31" i="1"/>
  <c r="AW27" i="1"/>
  <c r="AW37" i="1"/>
  <c r="AS43" i="1"/>
  <c r="AS56" i="1"/>
  <c r="AS59" i="1"/>
  <c r="AS72" i="1"/>
  <c r="AS82" i="1"/>
  <c r="AS85" i="1"/>
  <c r="AS88" i="1"/>
  <c r="AW91" i="1"/>
  <c r="AS111" i="1"/>
  <c r="AW114" i="1"/>
  <c r="AS131" i="1"/>
  <c r="AS141" i="1"/>
  <c r="AS151" i="1"/>
  <c r="AS164" i="1"/>
  <c r="AS174" i="1"/>
  <c r="AW204" i="1"/>
  <c r="AW17" i="1"/>
  <c r="AS53" i="1"/>
  <c r="AS95" i="1"/>
  <c r="AS98" i="1"/>
  <c r="AS191" i="1"/>
  <c r="AS201" i="1"/>
  <c r="AS55" i="1"/>
  <c r="AW9" i="1"/>
  <c r="AW65" i="1"/>
  <c r="AW111" i="1"/>
  <c r="AW43" i="1"/>
  <c r="AW53" i="1"/>
  <c r="AW82" i="1"/>
  <c r="AS50" i="1"/>
  <c r="AS76" i="1"/>
  <c r="AS79" i="1"/>
  <c r="AS92" i="1"/>
  <c r="AS102" i="1"/>
  <c r="AS115" i="1"/>
  <c r="AW208" i="1"/>
  <c r="AW11" i="1"/>
  <c r="AW7" i="1"/>
  <c r="AW15" i="1"/>
  <c r="AW66" i="1"/>
  <c r="AW81" i="1"/>
  <c r="AW5" i="1"/>
  <c r="AS44" i="1"/>
  <c r="AW50" i="1"/>
  <c r="AW105" i="1"/>
  <c r="AS89" i="1"/>
  <c r="AS202" i="1"/>
  <c r="AW73" i="1"/>
  <c r="AW112" i="1"/>
  <c r="AW80" i="1"/>
  <c r="AW113" i="1"/>
  <c r="AW196" i="1"/>
  <c r="AW56" i="1"/>
  <c r="AW59" i="1"/>
  <c r="AW72" i="1"/>
  <c r="AW88" i="1"/>
  <c r="AW184" i="1"/>
  <c r="AW40" i="1"/>
  <c r="AW194" i="1"/>
  <c r="AW188" i="1"/>
  <c r="AW198" i="1"/>
  <c r="AW60" i="1"/>
  <c r="AW121" i="1"/>
  <c r="AW131" i="1"/>
  <c r="AW141" i="1"/>
  <c r="AW151" i="1"/>
  <c r="AW161" i="1"/>
  <c r="AW171" i="1"/>
  <c r="AW181" i="1"/>
  <c r="AW191" i="1"/>
  <c r="AW201" i="1"/>
  <c r="AW119" i="1"/>
  <c r="AW129" i="1"/>
  <c r="AW139" i="1"/>
  <c r="AW149" i="1"/>
  <c r="AW159" i="1"/>
  <c r="AW169" i="1"/>
  <c r="AW179" i="1"/>
  <c r="AW189" i="1"/>
  <c r="AW199" i="1"/>
  <c r="AW117" i="1"/>
  <c r="AW127" i="1"/>
  <c r="AW137" i="1"/>
  <c r="AW147" i="1"/>
  <c r="AW157" i="1"/>
  <c r="AW167" i="1"/>
  <c r="AW177" i="1"/>
  <c r="AW187" i="1"/>
  <c r="AW197" i="1"/>
  <c r="AW207" i="1"/>
  <c r="AW125" i="1"/>
  <c r="AW135" i="1"/>
  <c r="AW145" i="1"/>
  <c r="AW155" i="1"/>
  <c r="AW165" i="1"/>
  <c r="AW175" i="1"/>
  <c r="AW185" i="1"/>
  <c r="AW195" i="1"/>
  <c r="AW205" i="1"/>
  <c r="AW123" i="1"/>
  <c r="AW133" i="1"/>
  <c r="AW143" i="1"/>
  <c r="AW153" i="1"/>
  <c r="AW163" i="1"/>
  <c r="AW173" i="1"/>
  <c r="AW183" i="1"/>
  <c r="AW193" i="1"/>
  <c r="AW203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<sst xmlns="http://schemas.openxmlformats.org/spreadsheetml/2006/main" count="3544" uniqueCount="1272">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</sst>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AE1" zoomScale="80" zoomScaleNormal="80" workbookViewId="0">
      <selection activeCell="AI1" sqref="AI1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30" width="32.42578125" style="74" customWidth="1"/>
    <col min="131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3.8</v>
      </c>
      <c r="AG2" s="89">
        <f t="shared" si="0"/>
        <v>5.4</v>
      </c>
      <c r="AH2" s="89">
        <f t="shared" si="0"/>
        <v>3</v>
      </c>
      <c r="AI2" s="89">
        <f t="shared" si="0"/>
        <v>1.6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>
        <v>26.8</v>
      </c>
      <c r="AC5" s="51">
        <v>26.6</v>
      </c>
      <c r="AD5" s="51">
        <v>26.6</v>
      </c>
      <c r="AE5" s="51">
        <v>24.8</v>
      </c>
      <c r="AF5" s="51">
        <v>26.7</v>
      </c>
      <c r="AG5" s="51">
        <v>26.7</v>
      </c>
      <c r="AH5" s="51">
        <v>25.4</v>
      </c>
      <c r="AI5" s="51">
        <v>26.6</v>
      </c>
      <c r="AJ5" s="51"/>
      <c r="AK5" s="51"/>
      <c r="AL5" s="51"/>
      <c r="AM5" s="51"/>
      <c r="AN5" s="51"/>
      <c r="AO5" s="51"/>
      <c r="AP5" s="88">
        <f t="shared" ref="AP5:AP68" si="1">COUNTIF(K5:AO5,"&gt;0")</f>
        <v>25</v>
      </c>
      <c r="AQ5" s="89">
        <f t="shared" ref="AQ5:AQ68" si="2">IF(AP5&gt;14,AVERAGE(K5:AO5),"")</f>
        <v>26.5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0.18700508566903906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>
        <v>27.2</v>
      </c>
      <c r="AC6" s="51">
        <v>27.8</v>
      </c>
      <c r="AD6" s="51">
        <v>27.6</v>
      </c>
      <c r="AE6" s="51">
        <v>25.5</v>
      </c>
      <c r="AF6" s="51">
        <v>26.8</v>
      </c>
      <c r="AG6" s="51">
        <v>27.2</v>
      </c>
      <c r="AH6" s="51">
        <v>24.4</v>
      </c>
      <c r="AI6" s="51">
        <v>26.4</v>
      </c>
      <c r="AJ6" s="51"/>
      <c r="AK6" s="51"/>
      <c r="AL6" s="51"/>
      <c r="AM6" s="51"/>
      <c r="AN6" s="51"/>
      <c r="AO6" s="51"/>
      <c r="AP6" s="88">
        <f t="shared" si="1"/>
        <v>25</v>
      </c>
      <c r="AQ6" s="89">
        <f t="shared" si="2"/>
        <v>26.707999999999998</v>
      </c>
      <c r="AR6" s="89">
        <f>IFERROR(VLOOKUP(A6,Climatologia!A:U,9+$E$2,FALSE),"")</f>
        <v>26.40894902444402</v>
      </c>
      <c r="AS6" s="89">
        <f t="shared" si="3"/>
        <v>0.29905097555597848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>
        <v>27.6</v>
      </c>
      <c r="AC7" s="51">
        <v>28.3</v>
      </c>
      <c r="AD7" s="51">
        <v>27.7</v>
      </c>
      <c r="AE7" s="51">
        <v>24.8</v>
      </c>
      <c r="AF7" s="51">
        <v>26.4</v>
      </c>
      <c r="AG7" s="51">
        <v>27.4</v>
      </c>
      <c r="AH7" s="51">
        <v>25.5</v>
      </c>
      <c r="AI7" s="51">
        <v>26.4</v>
      </c>
      <c r="AJ7" s="51"/>
      <c r="AK7" s="51"/>
      <c r="AL7" s="51"/>
      <c r="AM7" s="51"/>
      <c r="AN7" s="51"/>
      <c r="AO7" s="51"/>
      <c r="AP7" s="88">
        <f t="shared" si="1"/>
        <v>25</v>
      </c>
      <c r="AQ7" s="89">
        <f t="shared" si="2"/>
        <v>27.24</v>
      </c>
      <c r="AR7" s="89">
        <f>IFERROR(VLOOKUP(A7,Climatologia!A:U,9+$E$2,FALSE),"")</f>
        <v>24.967211716722289</v>
      </c>
      <c r="AS7" s="89">
        <f t="shared" si="3"/>
        <v>2.2727882832777091</v>
      </c>
      <c r="AT7" s="90">
        <f t="shared" si="4"/>
        <v>24.8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4.1999999999999993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>
        <v>27</v>
      </c>
      <c r="AC8" s="51">
        <v>26.8</v>
      </c>
      <c r="AD8" s="51">
        <v>26.8</v>
      </c>
      <c r="AE8" s="51">
        <v>25</v>
      </c>
      <c r="AF8" s="51">
        <v>25.3</v>
      </c>
      <c r="AG8" s="51">
        <v>24.2</v>
      </c>
      <c r="AH8" s="51">
        <v>25</v>
      </c>
      <c r="AI8" s="51">
        <v>26</v>
      </c>
      <c r="AJ8" s="51"/>
      <c r="AK8" s="51"/>
      <c r="AL8" s="51"/>
      <c r="AM8" s="51"/>
      <c r="AN8" s="51"/>
      <c r="AO8" s="51"/>
      <c r="AP8" s="88">
        <f t="shared" si="1"/>
        <v>25</v>
      </c>
      <c r="AQ8" s="89">
        <f t="shared" si="2"/>
        <v>26.131999999999998</v>
      </c>
      <c r="AR8" s="89">
        <f>IFERROR(VLOOKUP(A8,Climatologia!A:U,9+$E$2,FALSE),"")</f>
        <v>25.731714029697901</v>
      </c>
      <c r="AS8" s="89">
        <f t="shared" si="3"/>
        <v>0.40028597030209667</v>
      </c>
      <c r="AT8" s="90">
        <f t="shared" si="4"/>
        <v>24.2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3.8000000000000007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>
        <v>26.5</v>
      </c>
      <c r="AC9" s="51">
        <v>25.7</v>
      </c>
      <c r="AD9" s="51">
        <v>25.2</v>
      </c>
      <c r="AE9" s="51">
        <v>23.7</v>
      </c>
      <c r="AF9" s="51">
        <v>26.6</v>
      </c>
      <c r="AG9" s="51">
        <v>26.1</v>
      </c>
      <c r="AH9" s="51">
        <v>25.1</v>
      </c>
      <c r="AI9" s="51">
        <v>25.9</v>
      </c>
      <c r="AJ9" s="51"/>
      <c r="AK9" s="51"/>
      <c r="AL9" s="51"/>
      <c r="AM9" s="51"/>
      <c r="AN9" s="51"/>
      <c r="AO9" s="51"/>
      <c r="AP9" s="88">
        <f t="shared" si="1"/>
        <v>25</v>
      </c>
      <c r="AQ9" s="89">
        <f t="shared" si="2"/>
        <v>26.016000000000005</v>
      </c>
      <c r="AR9" s="89">
        <f>IFERROR(VLOOKUP(A9,Climatologia!A:U,9+$E$2,FALSE),"")</f>
        <v>24.84616941928422</v>
      </c>
      <c r="AS9" s="89">
        <f t="shared" si="3"/>
        <v>1.1698305807157858</v>
      </c>
      <c r="AT9" s="90">
        <f t="shared" si="4"/>
        <v>23.7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2.6999999999999993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>
        <v>27.7</v>
      </c>
      <c r="AC10" s="51">
        <v>27.7</v>
      </c>
      <c r="AD10" s="51">
        <v>27.8</v>
      </c>
      <c r="AE10" s="51">
        <v>27.8</v>
      </c>
      <c r="AF10" s="51">
        <v>27</v>
      </c>
      <c r="AG10" s="51">
        <v>26.1</v>
      </c>
      <c r="AH10" s="51">
        <v>26.9</v>
      </c>
      <c r="AI10" s="51">
        <v>27.4</v>
      </c>
      <c r="AJ10" s="51"/>
      <c r="AK10" s="51"/>
      <c r="AL10" s="51"/>
      <c r="AM10" s="51"/>
      <c r="AN10" s="51"/>
      <c r="AO10" s="51"/>
      <c r="AP10" s="88">
        <f t="shared" si="1"/>
        <v>25</v>
      </c>
      <c r="AQ10" s="89">
        <f t="shared" si="2"/>
        <v>27.631999999999994</v>
      </c>
      <c r="AR10" s="89">
        <f>IFERROR(VLOOKUP(A10,Climatologia!A:U,9+$E$2,FALSE),"")</f>
        <v>25.91025682931615</v>
      </c>
      <c r="AS10" s="89">
        <f t="shared" si="3"/>
        <v>1.721743170683844</v>
      </c>
      <c r="AT10" s="90">
        <f t="shared" si="4"/>
        <v>26.1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5.9000000000000021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>
        <v>27.2</v>
      </c>
      <c r="AC11" s="51">
        <v>28</v>
      </c>
      <c r="AD11" s="51">
        <v>24.8</v>
      </c>
      <c r="AE11" s="51">
        <v>24</v>
      </c>
      <c r="AF11" s="51">
        <v>25.4</v>
      </c>
      <c r="AG11" s="51">
        <v>26.4</v>
      </c>
      <c r="AH11" s="51">
        <v>23.9</v>
      </c>
      <c r="AI11" s="51">
        <v>24.6</v>
      </c>
      <c r="AJ11" s="51"/>
      <c r="AK11" s="51"/>
      <c r="AL11" s="51"/>
      <c r="AM11" s="51"/>
      <c r="AN11" s="51"/>
      <c r="AO11" s="51"/>
      <c r="AP11" s="88">
        <f t="shared" si="1"/>
        <v>25</v>
      </c>
      <c r="AQ11" s="89">
        <f t="shared" si="2"/>
        <v>26.775999999999996</v>
      </c>
      <c r="AR11" s="89">
        <f>IFERROR(VLOOKUP(A11,Climatologia!A:U,9+$E$2,FALSE),"")</f>
        <v>24.65002483348788</v>
      </c>
      <c r="AS11" s="89">
        <f t="shared" si="3"/>
        <v>2.1259751665121165</v>
      </c>
      <c r="AT11" s="90">
        <f t="shared" si="4"/>
        <v>23.9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3.0999999999999979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>
        <v>27.1</v>
      </c>
      <c r="AC12" s="51">
        <v>22.9</v>
      </c>
      <c r="AD12" s="51">
        <v>26</v>
      </c>
      <c r="AE12" s="51">
        <v>24.4</v>
      </c>
      <c r="AF12" s="51">
        <v>26.4</v>
      </c>
      <c r="AG12" s="51">
        <v>25.1</v>
      </c>
      <c r="AH12" s="51">
        <v>24.3</v>
      </c>
      <c r="AI12" s="51">
        <v>25.7</v>
      </c>
      <c r="AJ12" s="51"/>
      <c r="AK12" s="51"/>
      <c r="AL12" s="51"/>
      <c r="AM12" s="51"/>
      <c r="AN12" s="51"/>
      <c r="AO12" s="51"/>
      <c r="AP12" s="88">
        <f t="shared" si="1"/>
        <v>25</v>
      </c>
      <c r="AQ12" s="89">
        <f t="shared" si="2"/>
        <v>25.552</v>
      </c>
      <c r="AR12" s="89">
        <f>IFERROR(VLOOKUP(A12,Climatologia!A:U,9+$E$2,FALSE),"")</f>
        <v>23.380527878729861</v>
      </c>
      <c r="AS12" s="89">
        <f t="shared" si="3"/>
        <v>2.1714721212701384</v>
      </c>
      <c r="AT12" s="90">
        <f t="shared" si="4"/>
        <v>22.9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3.0999999999999979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>
        <v>24.8</v>
      </c>
      <c r="AC13" s="51">
        <v>25</v>
      </c>
      <c r="AD13" s="51">
        <v>22.8</v>
      </c>
      <c r="AE13" s="51">
        <v>23</v>
      </c>
      <c r="AF13" s="51">
        <v>23.1</v>
      </c>
      <c r="AG13" s="51">
        <v>23.4</v>
      </c>
      <c r="AH13" s="51">
        <v>24</v>
      </c>
      <c r="AI13" s="51">
        <v>24.4</v>
      </c>
      <c r="AJ13" s="51"/>
      <c r="AK13" s="51"/>
      <c r="AL13" s="51"/>
      <c r="AM13" s="51"/>
      <c r="AN13" s="51"/>
      <c r="AO13" s="51"/>
      <c r="AP13" s="88">
        <f t="shared" si="1"/>
        <v>25</v>
      </c>
      <c r="AQ13" s="89">
        <f t="shared" si="2"/>
        <v>24.588000000000001</v>
      </c>
      <c r="AR13" s="89">
        <f>IFERROR(VLOOKUP(A13,Climatologia!A:U,9+$E$2,FALSE),"")</f>
        <v>23.41727263096562</v>
      </c>
      <c r="AS13" s="89">
        <f t="shared" si="3"/>
        <v>1.1707273690343811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2.6999999999999993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>
        <v>20.9</v>
      </c>
      <c r="AC14" s="51">
        <v>20</v>
      </c>
      <c r="AD14" s="51">
        <v>19.2</v>
      </c>
      <c r="AE14" s="51">
        <v>18.899999999999999</v>
      </c>
      <c r="AF14" s="51">
        <v>18.7</v>
      </c>
      <c r="AG14" s="51">
        <v>18.8</v>
      </c>
      <c r="AH14" s="51">
        <v>18.899999999999999</v>
      </c>
      <c r="AI14" s="51">
        <v>19.100000000000001</v>
      </c>
      <c r="AJ14" s="51"/>
      <c r="AK14" s="51"/>
      <c r="AL14" s="51"/>
      <c r="AM14" s="51"/>
      <c r="AN14" s="51"/>
      <c r="AO14" s="51"/>
      <c r="AP14" s="88">
        <f t="shared" si="1"/>
        <v>25</v>
      </c>
      <c r="AQ14" s="89">
        <f t="shared" si="2"/>
        <v>19.807999999999996</v>
      </c>
      <c r="AR14" s="89">
        <f>IFERROR(VLOOKUP(A14,Climatologia!A:U,9+$E$2,FALSE),"")</f>
        <v>18.607906136078171</v>
      </c>
      <c r="AS14" s="89">
        <f t="shared" si="3"/>
        <v>1.2000938639218255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>
        <v>25</v>
      </c>
      <c r="AC15" s="51">
        <v>22.8</v>
      </c>
      <c r="AD15" s="51">
        <v>23.1</v>
      </c>
      <c r="AE15" s="51">
        <v>22.6</v>
      </c>
      <c r="AF15" s="51">
        <v>23.8</v>
      </c>
      <c r="AG15" s="51">
        <v>24.5</v>
      </c>
      <c r="AH15" s="51">
        <v>24.5</v>
      </c>
      <c r="AI15" s="51">
        <v>24.2</v>
      </c>
      <c r="AJ15" s="51"/>
      <c r="AK15" s="51"/>
      <c r="AL15" s="51"/>
      <c r="AM15" s="51"/>
      <c r="AN15" s="51"/>
      <c r="AO15" s="51"/>
      <c r="AP15" s="88">
        <f t="shared" si="1"/>
        <v>25</v>
      </c>
      <c r="AQ15" s="89">
        <f t="shared" si="2"/>
        <v>24.691999999999997</v>
      </c>
      <c r="AR15" s="89">
        <f>IFERROR(VLOOKUP(A15,Climatologia!A:U,9+$E$2,FALSE),"")</f>
        <v>23.779123470522801</v>
      </c>
      <c r="AS15" s="89">
        <f t="shared" si="3"/>
        <v>0.91287652947719522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>
        <v>23.2</v>
      </c>
      <c r="AC16" s="51">
        <v>24</v>
      </c>
      <c r="AD16" s="51">
        <v>24.2</v>
      </c>
      <c r="AE16" s="51">
        <v>24.1</v>
      </c>
      <c r="AF16" s="51">
        <v>24.4</v>
      </c>
      <c r="AG16" s="51">
        <v>24.5</v>
      </c>
      <c r="AH16" s="51">
        <v>23.8</v>
      </c>
      <c r="AI16" s="51">
        <v>25.6</v>
      </c>
      <c r="AJ16" s="51"/>
      <c r="AK16" s="51"/>
      <c r="AL16" s="51"/>
      <c r="AM16" s="51"/>
      <c r="AN16" s="51"/>
      <c r="AO16" s="51"/>
      <c r="AP16" s="88">
        <f t="shared" si="1"/>
        <v>25</v>
      </c>
      <c r="AQ16" s="89">
        <f t="shared" si="2"/>
        <v>25.067999999999998</v>
      </c>
      <c r="AR16" s="89">
        <f>IFERROR(VLOOKUP(A16,Climatologia!A:U,9+$E$2,FALSE),"")</f>
        <v>23.317825682382139</v>
      </c>
      <c r="AS16" s="89">
        <f t="shared" si="3"/>
        <v>1.7501743176178586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>
        <v>19.7</v>
      </c>
      <c r="AC17" s="51">
        <v>20.6</v>
      </c>
      <c r="AD17" s="51">
        <v>18.600000000000001</v>
      </c>
      <c r="AE17" s="51">
        <v>18.2</v>
      </c>
      <c r="AF17" s="51">
        <v>19.3</v>
      </c>
      <c r="AG17" s="51">
        <v>16.2</v>
      </c>
      <c r="AH17" s="51">
        <v>17</v>
      </c>
      <c r="AI17" s="51">
        <v>17.5</v>
      </c>
      <c r="AJ17" s="51"/>
      <c r="AK17" s="51"/>
      <c r="AL17" s="51"/>
      <c r="AM17" s="51"/>
      <c r="AN17" s="51"/>
      <c r="AO17" s="51"/>
      <c r="AP17" s="88">
        <f t="shared" si="1"/>
        <v>25</v>
      </c>
      <c r="AQ17" s="89">
        <f t="shared" si="2"/>
        <v>18.507999999999996</v>
      </c>
      <c r="AR17" s="89">
        <f>IFERROR(VLOOKUP(A17,Climatologia!A:U,9+$E$2,FALSE),"")</f>
        <v>17.48384501297738</v>
      </c>
      <c r="AS17" s="89">
        <f t="shared" si="3"/>
        <v>1.0241549870226159</v>
      </c>
      <c r="AT17" s="90">
        <f t="shared" si="4"/>
        <v>16.2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5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>
        <v>11.8</v>
      </c>
      <c r="AC18" s="51">
        <v>13.3</v>
      </c>
      <c r="AD18" s="51">
        <v>13.1</v>
      </c>
      <c r="AE18" s="51">
        <v>12.7</v>
      </c>
      <c r="AF18" s="51">
        <v>10.6</v>
      </c>
      <c r="AG18" s="51">
        <v>13.4</v>
      </c>
      <c r="AH18" s="51">
        <v>12.4</v>
      </c>
      <c r="AI18" s="51">
        <v>11.8</v>
      </c>
      <c r="AJ18" s="51"/>
      <c r="AK18" s="51"/>
      <c r="AL18" s="51"/>
      <c r="AM18" s="51"/>
      <c r="AN18" s="51"/>
      <c r="AO18" s="51"/>
      <c r="AP18" s="88">
        <f t="shared" si="1"/>
        <v>25</v>
      </c>
      <c r="AQ18" s="89">
        <f t="shared" si="2"/>
        <v>11.835999999999999</v>
      </c>
      <c r="AR18" s="89">
        <f>IFERROR(VLOOKUP(A18,Climatologia!A:U,9+$E$2,FALSE),"")</f>
        <v>12.078935483870969</v>
      </c>
      <c r="AS18" s="89">
        <f t="shared" si="3"/>
        <v>-0.24293548387097097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>
        <v>19.899999999999999</v>
      </c>
      <c r="AC19" s="51">
        <v>19.899999999999999</v>
      </c>
      <c r="AD19" s="51">
        <v>18.399999999999999</v>
      </c>
      <c r="AE19" s="51">
        <v>18.2</v>
      </c>
      <c r="AF19" s="51">
        <v>18.399999999999999</v>
      </c>
      <c r="AG19" s="51">
        <v>19.3</v>
      </c>
      <c r="AH19" s="51">
        <v>19.2</v>
      </c>
      <c r="AI19" s="51">
        <v>17.8</v>
      </c>
      <c r="AJ19" s="51"/>
      <c r="AK19" s="51"/>
      <c r="AL19" s="51"/>
      <c r="AM19" s="51"/>
      <c r="AN19" s="51"/>
      <c r="AO19" s="51"/>
      <c r="AP19" s="88">
        <f t="shared" si="1"/>
        <v>25</v>
      </c>
      <c r="AQ19" s="89">
        <f t="shared" si="2"/>
        <v>19.035999999999998</v>
      </c>
      <c r="AR19" s="89">
        <f>IFERROR(VLOOKUP(A19,Climatologia!A:U,9+$E$2,FALSE),"")</f>
        <v>17.615136476426802</v>
      </c>
      <c r="AS19" s="89">
        <f t="shared" si="3"/>
        <v>1.4208635235731961</v>
      </c>
      <c r="AT19" s="90">
        <f t="shared" si="4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>
        <v>17.8</v>
      </c>
      <c r="AC20" s="51">
        <v>18.600000000000001</v>
      </c>
      <c r="AD20" s="51">
        <v>17.100000000000001</v>
      </c>
      <c r="AE20" s="51">
        <v>17.7</v>
      </c>
      <c r="AF20" s="51">
        <v>17.2</v>
      </c>
      <c r="AG20" s="51">
        <v>17.8</v>
      </c>
      <c r="AH20" s="51">
        <v>19.7</v>
      </c>
      <c r="AI20" s="51">
        <v>16.3</v>
      </c>
      <c r="AJ20" s="51"/>
      <c r="AK20" s="51"/>
      <c r="AL20" s="51"/>
      <c r="AM20" s="51"/>
      <c r="AN20" s="51"/>
      <c r="AO20" s="51"/>
      <c r="AP20" s="88">
        <f t="shared" si="1"/>
        <v>25</v>
      </c>
      <c r="AQ20" s="89">
        <f t="shared" si="2"/>
        <v>17.828000000000003</v>
      </c>
      <c r="AR20" s="89">
        <f>IFERROR(VLOOKUP(A20,Climatologia!A:U,9+$E$2,FALSE),"")</f>
        <v>16.97514080901178</v>
      </c>
      <c r="AS20" s="89">
        <f t="shared" si="3"/>
        <v>0.85285919098822305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>
        <v>21.2</v>
      </c>
      <c r="AC21" s="51">
        <v>22</v>
      </c>
      <c r="AD21" s="51">
        <v>20.399999999999999</v>
      </c>
      <c r="AE21" s="51">
        <v>19.2</v>
      </c>
      <c r="AF21" s="51">
        <v>19.600000000000001</v>
      </c>
      <c r="AG21" s="51">
        <v>20.100000000000001</v>
      </c>
      <c r="AH21" s="51">
        <v>19.399999999999999</v>
      </c>
      <c r="AI21" s="51">
        <v>19.8</v>
      </c>
      <c r="AJ21" s="51"/>
      <c r="AK21" s="51"/>
      <c r="AL21" s="51"/>
      <c r="AM21" s="51"/>
      <c r="AN21" s="51"/>
      <c r="AO21" s="51"/>
      <c r="AP21" s="88">
        <f t="shared" si="1"/>
        <v>25</v>
      </c>
      <c r="AQ21" s="89">
        <f t="shared" si="2"/>
        <v>20.555999999999997</v>
      </c>
      <c r="AR21" s="89">
        <f>IFERROR(VLOOKUP(A21,Climatologia!A:U,9+$E$2,FALSE),"")</f>
        <v>19.23867916144334</v>
      </c>
      <c r="AS21" s="89">
        <f t="shared" si="3"/>
        <v>1.3173208385566575</v>
      </c>
      <c r="AT21" s="90">
        <f t="shared" si="4"/>
        <v>19.2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4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>
        <v>11.9</v>
      </c>
      <c r="AC22" s="51">
        <v>10.199999999999999</v>
      </c>
      <c r="AD22" s="51">
        <v>10</v>
      </c>
      <c r="AE22" s="51">
        <v>9</v>
      </c>
      <c r="AF22" s="51">
        <v>9.8000000000000007</v>
      </c>
      <c r="AG22" s="51">
        <v>11.5</v>
      </c>
      <c r="AH22" s="51">
        <v>10.6</v>
      </c>
      <c r="AI22" s="51">
        <v>9</v>
      </c>
      <c r="AJ22" s="51"/>
      <c r="AK22" s="51"/>
      <c r="AL22" s="51"/>
      <c r="AM22" s="51"/>
      <c r="AN22" s="51"/>
      <c r="AO22" s="51"/>
      <c r="AP22" s="88">
        <f t="shared" si="1"/>
        <v>25</v>
      </c>
      <c r="AQ22" s="89">
        <f t="shared" si="2"/>
        <v>9.7240000000000002</v>
      </c>
      <c r="AR22" s="89">
        <f>IFERROR(VLOOKUP(A22,Climatologia!A:U,9+$E$2,FALSE),"")</f>
        <v>8.5669829725335838</v>
      </c>
      <c r="AS22" s="89">
        <f t="shared" si="3"/>
        <v>1.1570170274664164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>
        <v>20.8</v>
      </c>
      <c r="AC23" s="51">
        <v>19.5</v>
      </c>
      <c r="AD23" s="51">
        <v>19.7</v>
      </c>
      <c r="AE23" s="51">
        <v>20.7</v>
      </c>
      <c r="AF23" s="51">
        <v>18.7</v>
      </c>
      <c r="AG23" s="51">
        <v>19.100000000000001</v>
      </c>
      <c r="AH23" s="51">
        <v>19.3</v>
      </c>
      <c r="AI23" s="51">
        <v>16.600000000000001</v>
      </c>
      <c r="AJ23" s="51"/>
      <c r="AK23" s="51"/>
      <c r="AL23" s="51"/>
      <c r="AM23" s="51"/>
      <c r="AN23" s="51"/>
      <c r="AO23" s="51"/>
      <c r="AP23" s="88">
        <f t="shared" si="1"/>
        <v>25</v>
      </c>
      <c r="AQ23" s="89">
        <f t="shared" si="2"/>
        <v>19.352</v>
      </c>
      <c r="AR23" s="89">
        <f>IFERROR(VLOOKUP(A23,Climatologia!A:U,9+$E$2,FALSE),"")</f>
        <v>18.632546225180629</v>
      </c>
      <c r="AS23" s="89">
        <f t="shared" si="3"/>
        <v>0.71945377481937101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>
        <v>23</v>
      </c>
      <c r="AC24" s="51">
        <v>22.6</v>
      </c>
      <c r="AD24" s="51">
        <v>22.8</v>
      </c>
      <c r="AE24" s="51">
        <v>24.4</v>
      </c>
      <c r="AF24" s="51">
        <v>23.6</v>
      </c>
      <c r="AG24" s="51">
        <v>23.6</v>
      </c>
      <c r="AH24" s="51">
        <v>23.6</v>
      </c>
      <c r="AI24" s="51">
        <v>22</v>
      </c>
      <c r="AJ24" s="51"/>
      <c r="AK24" s="51"/>
      <c r="AL24" s="51"/>
      <c r="AM24" s="51"/>
      <c r="AN24" s="51"/>
      <c r="AO24" s="51"/>
      <c r="AP24" s="88">
        <f t="shared" si="1"/>
        <v>25</v>
      </c>
      <c r="AQ24" s="89">
        <f t="shared" si="2"/>
        <v>23.744</v>
      </c>
      <c r="AR24" s="89">
        <f>IFERROR(VLOOKUP(A24,Climatologia!A:U,9+$E$2,FALSE),"")</f>
        <v>22.755698924731181</v>
      </c>
      <c r="AS24" s="89">
        <f t="shared" si="3"/>
        <v>0.98830107526881861</v>
      </c>
      <c r="AT24" s="90">
        <f t="shared" si="4"/>
        <v>22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3.6000000000000014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>
        <v>17</v>
      </c>
      <c r="AC25" s="51">
        <v>13.2</v>
      </c>
      <c r="AD25" s="51">
        <v>13.2</v>
      </c>
      <c r="AE25" s="51">
        <v>13.2</v>
      </c>
      <c r="AF25" s="51">
        <v>14</v>
      </c>
      <c r="AG25" s="51">
        <v>14</v>
      </c>
      <c r="AH25" s="51">
        <v>14</v>
      </c>
      <c r="AI25" s="51">
        <v>14.2</v>
      </c>
      <c r="AJ25" s="51"/>
      <c r="AK25" s="51"/>
      <c r="AL25" s="51"/>
      <c r="AM25" s="51"/>
      <c r="AN25" s="51"/>
      <c r="AO25" s="51"/>
      <c r="AP25" s="88">
        <f t="shared" si="1"/>
        <v>25</v>
      </c>
      <c r="AQ25" s="89">
        <f t="shared" si="2"/>
        <v>14.799999999999997</v>
      </c>
      <c r="AR25" s="89">
        <f>IFERROR(VLOOKUP(A25,Climatologia!A:U,9+$E$2,FALSE),"")</f>
        <v>14.458778519342481</v>
      </c>
      <c r="AS25" s="89">
        <f t="shared" si="3"/>
        <v>0.34122148065751645</v>
      </c>
      <c r="AT25" s="90">
        <f t="shared" si="4"/>
        <v>13.2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3.1999999999999993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>
        <v>8</v>
      </c>
      <c r="AC26" s="51">
        <v>6.4</v>
      </c>
      <c r="AD26" s="51">
        <v>3</v>
      </c>
      <c r="AE26" s="51">
        <v>3.4</v>
      </c>
      <c r="AF26" s="51">
        <v>5.4</v>
      </c>
      <c r="AG26" s="51">
        <v>7.2</v>
      </c>
      <c r="AH26" s="51">
        <v>6.6</v>
      </c>
      <c r="AI26" s="51">
        <v>5.8</v>
      </c>
      <c r="AJ26" s="51"/>
      <c r="AK26" s="51"/>
      <c r="AL26" s="51"/>
      <c r="AM26" s="51"/>
      <c r="AN26" s="51"/>
      <c r="AO26" s="51"/>
      <c r="AP26" s="88">
        <f t="shared" si="1"/>
        <v>25</v>
      </c>
      <c r="AQ26" s="89">
        <f t="shared" si="2"/>
        <v>7.032</v>
      </c>
      <c r="AR26" s="89">
        <f>IFERROR(VLOOKUP(A26,Climatologia!A:U,9+$E$2,FALSE),"")</f>
        <v>5.5482835334279477</v>
      </c>
      <c r="AS26" s="89">
        <f t="shared" si="3"/>
        <v>1.4837164665720524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>
        <v>25.6</v>
      </c>
      <c r="AC27" s="51">
        <v>23.6</v>
      </c>
      <c r="AD27" s="51">
        <v>22.8</v>
      </c>
      <c r="AE27" s="51">
        <v>23.4</v>
      </c>
      <c r="AF27" s="51">
        <v>24</v>
      </c>
      <c r="AG27" s="51">
        <v>23.6</v>
      </c>
      <c r="AH27" s="51">
        <v>23.5</v>
      </c>
      <c r="AI27" s="51">
        <v>24</v>
      </c>
      <c r="AJ27" s="51"/>
      <c r="AK27" s="51"/>
      <c r="AL27" s="51"/>
      <c r="AM27" s="51"/>
      <c r="AN27" s="51"/>
      <c r="AO27" s="51"/>
      <c r="AP27" s="88">
        <f t="shared" si="1"/>
        <v>25</v>
      </c>
      <c r="AQ27" s="89">
        <f t="shared" si="2"/>
        <v>24.468000000000004</v>
      </c>
      <c r="AR27" s="89">
        <f>IFERROR(VLOOKUP(A27,Climatologia!A:U,9+$E$2,FALSE),"")</f>
        <v>23.205806451612911</v>
      </c>
      <c r="AS27" s="89">
        <f t="shared" si="3"/>
        <v>1.2621935483870921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>
        <v>25.3</v>
      </c>
      <c r="AC28" s="51">
        <v>23.9</v>
      </c>
      <c r="AD28" s="51">
        <v>23.1</v>
      </c>
      <c r="AE28" s="51">
        <v>22.6</v>
      </c>
      <c r="AF28" s="51">
        <v>24.3</v>
      </c>
      <c r="AG28" s="51">
        <v>23.2</v>
      </c>
      <c r="AH28" s="51">
        <v>23.3</v>
      </c>
      <c r="AI28" s="51">
        <v>24.5</v>
      </c>
      <c r="AJ28" s="51"/>
      <c r="AK28" s="51"/>
      <c r="AL28" s="51"/>
      <c r="AM28" s="51"/>
      <c r="AN28" s="51"/>
      <c r="AO28" s="51"/>
      <c r="AP28" s="88">
        <f t="shared" si="1"/>
        <v>25</v>
      </c>
      <c r="AQ28" s="89">
        <f t="shared" si="2"/>
        <v>23.491999999999997</v>
      </c>
      <c r="AR28" s="89">
        <f>IFERROR(VLOOKUP(A28,Climatologia!A:U,9+$E$2,FALSE),"")</f>
        <v>22.637933865990991</v>
      </c>
      <c r="AS28" s="89">
        <f t="shared" si="3"/>
        <v>0.85406613400900611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>
        <v>25.4</v>
      </c>
      <c r="AC29" s="51">
        <v>24.4</v>
      </c>
      <c r="AD29" s="51">
        <v>24.4</v>
      </c>
      <c r="AE29" s="51">
        <v>25</v>
      </c>
      <c r="AF29" s="51">
        <v>25.2</v>
      </c>
      <c r="AG29" s="51">
        <v>24.6</v>
      </c>
      <c r="AH29" s="51">
        <v>25.2</v>
      </c>
      <c r="AI29" s="51">
        <v>25.8</v>
      </c>
      <c r="AJ29" s="51"/>
      <c r="AK29" s="51"/>
      <c r="AL29" s="51"/>
      <c r="AM29" s="51"/>
      <c r="AN29" s="51"/>
      <c r="AO29" s="51"/>
      <c r="AP29" s="88">
        <f t="shared" si="1"/>
        <v>25</v>
      </c>
      <c r="AQ29" s="89">
        <f t="shared" si="2"/>
        <v>24.451999999999998</v>
      </c>
      <c r="AR29" s="89">
        <f>IFERROR(VLOOKUP(A29,Climatologia!A:U,9+$E$2,FALSE),"")</f>
        <v>23.3590368608799</v>
      </c>
      <c r="AS29" s="89">
        <f t="shared" si="3"/>
        <v>1.0929631391200978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>
        <v>21.7</v>
      </c>
      <c r="AC30" s="51">
        <v>20.8</v>
      </c>
      <c r="AD30" s="51">
        <v>21.6</v>
      </c>
      <c r="AE30" s="51">
        <v>19.8</v>
      </c>
      <c r="AF30" s="51">
        <v>21.1</v>
      </c>
      <c r="AG30" s="51">
        <v>22</v>
      </c>
      <c r="AH30" s="51">
        <v>20.100000000000001</v>
      </c>
      <c r="AI30" s="51">
        <v>19.600000000000001</v>
      </c>
      <c r="AJ30" s="51"/>
      <c r="AK30" s="51"/>
      <c r="AL30" s="51"/>
      <c r="AM30" s="51"/>
      <c r="AN30" s="51"/>
      <c r="AO30" s="51"/>
      <c r="AP30" s="88">
        <f t="shared" si="1"/>
        <v>25</v>
      </c>
      <c r="AQ30" s="89">
        <f t="shared" si="2"/>
        <v>21.076000000000004</v>
      </c>
      <c r="AR30" s="89">
        <f>IFERROR(VLOOKUP(A30,Climatologia!A:U,9+$E$2,FALSE),"")</f>
        <v>20.397956989247309</v>
      </c>
      <c r="AS30" s="89">
        <f t="shared" si="3"/>
        <v>0.67804301075269535</v>
      </c>
      <c r="AT30" s="90">
        <f t="shared" si="4"/>
        <v>19.600000000000001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>
        <v>22.7</v>
      </c>
      <c r="AC31" s="108">
        <v>23.2</v>
      </c>
      <c r="AD31" s="108">
        <v>23</v>
      </c>
      <c r="AE31" s="108">
        <v>23.3</v>
      </c>
      <c r="AF31" s="108">
        <v>23.9</v>
      </c>
      <c r="AG31" s="108">
        <v>22.2</v>
      </c>
      <c r="AH31" s="108">
        <v>24.5</v>
      </c>
      <c r="AI31" s="108">
        <v>23.6</v>
      </c>
      <c r="AJ31" s="108"/>
      <c r="AK31" s="108"/>
      <c r="AL31" s="108"/>
      <c r="AM31" s="108"/>
      <c r="AN31" s="108"/>
      <c r="AO31" s="108"/>
      <c r="AP31" s="88">
        <f t="shared" si="1"/>
        <v>25</v>
      </c>
      <c r="AQ31" s="89">
        <f t="shared" si="2"/>
        <v>23.135999999999999</v>
      </c>
      <c r="AR31" s="89">
        <f>IFERROR(VLOOKUP(A31,Climatologia!A:U,9+$E$2,FALSE),"")</f>
        <v>21.59281959378734</v>
      </c>
      <c r="AS31" s="89">
        <f t="shared" si="3"/>
        <v>1.5431804062126595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>
        <v>14.6</v>
      </c>
      <c r="AC32" s="51">
        <v>15</v>
      </c>
      <c r="AD32" s="51">
        <v>15.4</v>
      </c>
      <c r="AE32" s="51">
        <v>15.4</v>
      </c>
      <c r="AF32" s="51">
        <v>15</v>
      </c>
      <c r="AG32" s="51">
        <v>15</v>
      </c>
      <c r="AH32" s="51">
        <v>14.6</v>
      </c>
      <c r="AI32" s="51">
        <v>15</v>
      </c>
      <c r="AJ32" s="51"/>
      <c r="AK32" s="51"/>
      <c r="AL32" s="51"/>
      <c r="AM32" s="51"/>
      <c r="AN32" s="51"/>
      <c r="AO32" s="51"/>
      <c r="AP32" s="88">
        <f t="shared" si="1"/>
        <v>25</v>
      </c>
      <c r="AQ32" s="89">
        <f t="shared" si="2"/>
        <v>14.335999999999999</v>
      </c>
      <c r="AR32" s="89">
        <f>IFERROR(VLOOKUP(A32,Climatologia!A:U,9+$E$2,FALSE),"")</f>
        <v>13.441294802867381</v>
      </c>
      <c r="AS32" s="89">
        <f t="shared" si="3"/>
        <v>0.89470519713261787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>
        <v>16</v>
      </c>
      <c r="AC34" s="51">
        <v>16.8</v>
      </c>
      <c r="AD34" s="51">
        <v>16.399999999999999</v>
      </c>
      <c r="AE34" s="51">
        <v>16.399999999999999</v>
      </c>
      <c r="AF34" s="51">
        <v>15</v>
      </c>
      <c r="AG34" s="51">
        <v>16</v>
      </c>
      <c r="AH34" s="51">
        <v>15.8</v>
      </c>
      <c r="AI34" s="51">
        <v>15.6</v>
      </c>
      <c r="AJ34" s="51"/>
      <c r="AK34" s="51"/>
      <c r="AL34" s="51"/>
      <c r="AM34" s="51"/>
      <c r="AN34" s="51"/>
      <c r="AO34" s="51"/>
      <c r="AP34" s="88">
        <f t="shared" si="1"/>
        <v>25</v>
      </c>
      <c r="AQ34" s="89">
        <f t="shared" si="2"/>
        <v>15.552</v>
      </c>
      <c r="AR34" s="89">
        <f>IFERROR(VLOOKUP(A34,Climatologia!A:U,9+$E$2,FALSE),"")</f>
        <v>14.773956247682611</v>
      </c>
      <c r="AS34" s="89">
        <f t="shared" si="3"/>
        <v>0.77804375231738909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>
        <v>15</v>
      </c>
      <c r="AB35" s="51">
        <v>14.8</v>
      </c>
      <c r="AC35" s="51">
        <v>14.6</v>
      </c>
      <c r="AD35" s="51">
        <v>14.8</v>
      </c>
      <c r="AE35" s="51">
        <v>13.6</v>
      </c>
      <c r="AF35" s="51">
        <v>14</v>
      </c>
      <c r="AG35" s="51">
        <v>14.4</v>
      </c>
      <c r="AH35" s="51">
        <v>14.2</v>
      </c>
      <c r="AI35" s="51">
        <v>14.8</v>
      </c>
      <c r="AJ35" s="51"/>
      <c r="AK35" s="51"/>
      <c r="AL35" s="51"/>
      <c r="AM35" s="51"/>
      <c r="AN35" s="51"/>
      <c r="AO35" s="51"/>
      <c r="AP35" s="88">
        <f t="shared" si="1"/>
        <v>25</v>
      </c>
      <c r="AQ35" s="89">
        <f t="shared" si="2"/>
        <v>14.776000000000003</v>
      </c>
      <c r="AR35" s="89">
        <f>IFERROR(VLOOKUP(A35,Climatologia!A:U,9+$E$2,FALSE),"")</f>
        <v>13.253440860215051</v>
      </c>
      <c r="AS35" s="89">
        <f t="shared" si="3"/>
        <v>1.5225591397849527</v>
      </c>
      <c r="AT35" s="90">
        <f t="shared" si="4"/>
        <v>13.6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4.4000000000000004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>
        <v>18</v>
      </c>
      <c r="AC36" s="51">
        <v>19.399999999999999</v>
      </c>
      <c r="AD36" s="51">
        <v>20.2</v>
      </c>
      <c r="AE36" s="51">
        <v>20</v>
      </c>
      <c r="AF36" s="51">
        <v>20</v>
      </c>
      <c r="AG36" s="51">
        <v>19.8</v>
      </c>
      <c r="AH36" s="51">
        <v>20.399999999999999</v>
      </c>
      <c r="AI36" s="51">
        <v>18</v>
      </c>
      <c r="AJ36" s="51"/>
      <c r="AK36" s="51"/>
      <c r="AL36" s="51"/>
      <c r="AM36" s="51"/>
      <c r="AN36" s="51"/>
      <c r="AO36" s="51"/>
      <c r="AP36" s="88">
        <f t="shared" si="1"/>
        <v>25</v>
      </c>
      <c r="AQ36" s="89">
        <f t="shared" si="2"/>
        <v>19.2</v>
      </c>
      <c r="AR36" s="89">
        <f>IFERROR(VLOOKUP(A36,Climatologia!A:U,9+$E$2,FALSE),"")</f>
        <v>19.581162337847541</v>
      </c>
      <c r="AS36" s="89">
        <f t="shared" si="3"/>
        <v>-0.38116233784754172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>
        <v>7.8</v>
      </c>
      <c r="AC37" s="51">
        <v>9.4</v>
      </c>
      <c r="AD37" s="51">
        <v>8.1999999999999993</v>
      </c>
      <c r="AE37" s="51">
        <v>7.8</v>
      </c>
      <c r="AF37" s="51">
        <v>5.6</v>
      </c>
      <c r="AG37" s="51">
        <v>8.1999999999999993</v>
      </c>
      <c r="AH37" s="51">
        <v>9.1999999999999993</v>
      </c>
      <c r="AI37" s="51">
        <v>6</v>
      </c>
      <c r="AJ37" s="51"/>
      <c r="AK37" s="51"/>
      <c r="AL37" s="51"/>
      <c r="AM37" s="51"/>
      <c r="AN37" s="51"/>
      <c r="AO37" s="51"/>
      <c r="AP37" s="88">
        <f t="shared" si="1"/>
        <v>25</v>
      </c>
      <c r="AQ37" s="89">
        <f t="shared" si="2"/>
        <v>8.9839999999999982</v>
      </c>
      <c r="AR37" s="89">
        <f>IFERROR(VLOOKUP(A37,Climatologia!A:U,9+$E$2,FALSE),"")</f>
        <v>9.3349769585253455</v>
      </c>
      <c r="AS37" s="89">
        <f t="shared" si="3"/>
        <v>-0.35097695852534727</v>
      </c>
      <c r="AT37" s="90">
        <f t="shared" si="4"/>
        <v>5.6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>
        <v>18</v>
      </c>
      <c r="AC38" s="51">
        <v>18.2</v>
      </c>
      <c r="AD38" s="51">
        <v>16.2</v>
      </c>
      <c r="AE38" s="51">
        <v>16.2</v>
      </c>
      <c r="AF38" s="51">
        <v>16.399999999999999</v>
      </c>
      <c r="AG38" s="51">
        <v>15.8</v>
      </c>
      <c r="AH38" s="51">
        <v>16.2</v>
      </c>
      <c r="AI38" s="51">
        <v>16.2</v>
      </c>
      <c r="AJ38" s="51"/>
      <c r="AK38" s="51"/>
      <c r="AL38" s="51"/>
      <c r="AM38" s="51"/>
      <c r="AN38" s="51"/>
      <c r="AO38" s="51"/>
      <c r="AP38" s="88">
        <f t="shared" si="1"/>
        <v>25</v>
      </c>
      <c r="AQ38" s="89">
        <f t="shared" si="2"/>
        <v>16.991999999999997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15.8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1.8000000000000007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>
        <v>20.6</v>
      </c>
      <c r="AC39" s="51">
        <v>20.6</v>
      </c>
      <c r="AD39" s="51">
        <v>18.8</v>
      </c>
      <c r="AE39" s="51">
        <v>18.2</v>
      </c>
      <c r="AF39" s="51">
        <v>19</v>
      </c>
      <c r="AG39" s="51">
        <v>18.2</v>
      </c>
      <c r="AH39" s="51">
        <v>17.600000000000001</v>
      </c>
      <c r="AI39" s="51"/>
      <c r="AJ39" s="51"/>
      <c r="AK39" s="51"/>
      <c r="AL39" s="51"/>
      <c r="AM39" s="51"/>
      <c r="AN39" s="51"/>
      <c r="AO39" s="51"/>
      <c r="AP39" s="88">
        <f t="shared" si="1"/>
        <v>24</v>
      </c>
      <c r="AQ39" s="89">
        <f t="shared" si="2"/>
        <v>19.100000000000001</v>
      </c>
      <c r="AR39" s="89">
        <f>IFERROR(VLOOKUP(A39,Climatologia!A:U,9+$E$2,FALSE),"")</f>
        <v>17.20506668314588</v>
      </c>
      <c r="AS39" s="89">
        <f t="shared" si="3"/>
        <v>1.8949333168541216</v>
      </c>
      <c r="AT39" s="90">
        <f t="shared" si="4"/>
        <v>17.600000000000001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6.4000000000000021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>
        <v>14.9</v>
      </c>
      <c r="AC40" s="51">
        <v>14.6</v>
      </c>
      <c r="AD40" s="51">
        <v>15.4</v>
      </c>
      <c r="AE40" s="51">
        <v>15</v>
      </c>
      <c r="AF40" s="51">
        <v>14.2</v>
      </c>
      <c r="AG40" s="51">
        <v>14</v>
      </c>
      <c r="AH40" s="51">
        <v>14.8</v>
      </c>
      <c r="AI40" s="51">
        <v>15.2</v>
      </c>
      <c r="AJ40" s="51"/>
      <c r="AK40" s="51"/>
      <c r="AL40" s="51"/>
      <c r="AM40" s="51"/>
      <c r="AN40" s="51"/>
      <c r="AO40" s="51"/>
      <c r="AP40" s="88">
        <f t="shared" si="1"/>
        <v>25</v>
      </c>
      <c r="AQ40" s="89">
        <f t="shared" si="2"/>
        <v>14.483999999999998</v>
      </c>
      <c r="AR40" s="89">
        <f>IFERROR(VLOOKUP(A40,Climatologia!A:U,9+$E$2,FALSE),"")</f>
        <v>12.94546489563567</v>
      </c>
      <c r="AS40" s="89">
        <f t="shared" si="3"/>
        <v>1.5385351043643283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>
        <v>26.8</v>
      </c>
      <c r="AC41" s="51">
        <v>25</v>
      </c>
      <c r="AD41" s="51">
        <v>25</v>
      </c>
      <c r="AE41" s="51">
        <v>24</v>
      </c>
      <c r="AF41" s="51">
        <v>25</v>
      </c>
      <c r="AG41" s="51">
        <v>24.8</v>
      </c>
      <c r="AH41" s="51">
        <v>23.2</v>
      </c>
      <c r="AI41" s="51">
        <v>23.8</v>
      </c>
      <c r="AJ41" s="51"/>
      <c r="AK41" s="51"/>
      <c r="AL41" s="51"/>
      <c r="AM41" s="51"/>
      <c r="AN41" s="51"/>
      <c r="AO41" s="51"/>
      <c r="AP41" s="88">
        <f t="shared" si="1"/>
        <v>25</v>
      </c>
      <c r="AQ41" s="89">
        <f t="shared" si="2"/>
        <v>24.856000000000005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>
        <v>27.2</v>
      </c>
      <c r="AC42" s="51">
        <v>25</v>
      </c>
      <c r="AD42" s="51">
        <v>25.2</v>
      </c>
      <c r="AE42" s="51">
        <v>24.2</v>
      </c>
      <c r="AF42" s="51">
        <v>26.6</v>
      </c>
      <c r="AG42" s="51">
        <v>25.4</v>
      </c>
      <c r="AH42" s="51">
        <v>22.2</v>
      </c>
      <c r="AI42" s="51">
        <v>26.4</v>
      </c>
      <c r="AJ42" s="51"/>
      <c r="AK42" s="51"/>
      <c r="AL42" s="51"/>
      <c r="AM42" s="51"/>
      <c r="AN42" s="51"/>
      <c r="AO42" s="51"/>
      <c r="AP42" s="88">
        <f t="shared" si="1"/>
        <v>24</v>
      </c>
      <c r="AQ42" s="89">
        <f t="shared" si="2"/>
        <v>25.691666666666666</v>
      </c>
      <c r="AR42" s="89">
        <f>IFERROR(VLOOKUP(A42,Climatologia!A:U,9+$E$2,FALSE),"")</f>
        <v>24.432895496420521</v>
      </c>
      <c r="AS42" s="89">
        <f t="shared" si="3"/>
        <v>1.2587711702461455</v>
      </c>
      <c r="AT42" s="90">
        <f t="shared" si="4"/>
        <v>22.2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>
        <v>22.2</v>
      </c>
      <c r="AC43" s="51">
        <v>23.3</v>
      </c>
      <c r="AD43" s="51">
        <v>22.5</v>
      </c>
      <c r="AE43" s="51">
        <v>24.4</v>
      </c>
      <c r="AF43" s="51">
        <v>24</v>
      </c>
      <c r="AG43" s="51">
        <v>25.6</v>
      </c>
      <c r="AH43" s="51">
        <v>24.4</v>
      </c>
      <c r="AI43" s="51">
        <v>24.2</v>
      </c>
      <c r="AJ43" s="51"/>
      <c r="AK43" s="51"/>
      <c r="AL43" s="51"/>
      <c r="AM43" s="51"/>
      <c r="AN43" s="51"/>
      <c r="AO43" s="51"/>
      <c r="AP43" s="88">
        <f t="shared" si="1"/>
        <v>25</v>
      </c>
      <c r="AQ43" s="89">
        <f t="shared" si="2"/>
        <v>24.355999999999998</v>
      </c>
      <c r="AR43" s="89">
        <f>IFERROR(VLOOKUP(A43,Climatologia!A:U,9+$E$2,FALSE),"")</f>
        <v>23.70475716371773</v>
      </c>
      <c r="AS43" s="89">
        <f t="shared" si="3"/>
        <v>0.6512428362822682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>
        <v>25.4</v>
      </c>
      <c r="AC44" s="51">
        <v>24.2</v>
      </c>
      <c r="AD44" s="51">
        <v>24.4</v>
      </c>
      <c r="AE44" s="51">
        <v>25</v>
      </c>
      <c r="AF44" s="51">
        <v>25</v>
      </c>
      <c r="AG44" s="51">
        <v>24.4</v>
      </c>
      <c r="AH44" s="51">
        <v>24</v>
      </c>
      <c r="AI44" s="51">
        <v>24.6</v>
      </c>
      <c r="AJ44" s="51"/>
      <c r="AK44" s="51"/>
      <c r="AL44" s="51"/>
      <c r="AM44" s="51"/>
      <c r="AN44" s="51"/>
      <c r="AO44" s="51"/>
      <c r="AP44" s="88">
        <f t="shared" si="1"/>
        <v>25</v>
      </c>
      <c r="AQ44" s="89">
        <f t="shared" si="2"/>
        <v>24.68</v>
      </c>
      <c r="AR44" s="89">
        <f>IFERROR(VLOOKUP(A44,Climatologia!A:U,9+$E$2,FALSE),"")</f>
        <v>23.278211411491501</v>
      </c>
      <c r="AS44" s="89">
        <f t="shared" si="3"/>
        <v>1.4017885885084986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>
        <v>27</v>
      </c>
      <c r="AC47" s="51">
        <v>23.2</v>
      </c>
      <c r="AD47" s="51">
        <v>24</v>
      </c>
      <c r="AE47" s="51">
        <v>24.2</v>
      </c>
      <c r="AF47" s="51">
        <v>25</v>
      </c>
      <c r="AG47" s="51">
        <v>24.8</v>
      </c>
      <c r="AH47" s="51">
        <v>24.6</v>
      </c>
      <c r="AI47" s="51">
        <v>25.6</v>
      </c>
      <c r="AJ47" s="51"/>
      <c r="AK47" s="51"/>
      <c r="AL47" s="51"/>
      <c r="AM47" s="51"/>
      <c r="AN47" s="51"/>
      <c r="AO47" s="51"/>
      <c r="AP47" s="88">
        <f t="shared" si="1"/>
        <v>25</v>
      </c>
      <c r="AQ47" s="89">
        <f t="shared" si="2"/>
        <v>25.215999999999998</v>
      </c>
      <c r="AR47" s="89">
        <f>IFERROR(VLOOKUP(A47,Climatologia!A:U,9+$E$2,FALSE),"")</f>
        <v>23.077912101041139</v>
      </c>
      <c r="AS47" s="89">
        <f t="shared" si="3"/>
        <v>2.1380878989588581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>
        <v>26.6</v>
      </c>
      <c r="AC51" s="51">
        <v>23</v>
      </c>
      <c r="AD51" s="51">
        <v>25</v>
      </c>
      <c r="AE51" s="51">
        <v>23.8</v>
      </c>
      <c r="AF51" s="51">
        <v>24.2</v>
      </c>
      <c r="AG51" s="51">
        <v>24.4</v>
      </c>
      <c r="AH51" s="51">
        <v>24</v>
      </c>
      <c r="AI51" s="51">
        <v>24.6</v>
      </c>
      <c r="AJ51" s="51"/>
      <c r="AK51" s="51"/>
      <c r="AL51" s="51"/>
      <c r="AM51" s="51"/>
      <c r="AN51" s="51"/>
      <c r="AO51" s="51"/>
      <c r="AP51" s="88">
        <f t="shared" si="1"/>
        <v>25</v>
      </c>
      <c r="AQ51" s="89">
        <f t="shared" si="2"/>
        <v>25.015999999999998</v>
      </c>
      <c r="AR51" s="89">
        <f>IFERROR(VLOOKUP(A51,Climatologia!A:U,9+$E$2,FALSE),"")</f>
        <v>23.209114934289129</v>
      </c>
      <c r="AS51" s="89">
        <f t="shared" si="3"/>
        <v>1.806885065710869</v>
      </c>
      <c r="AT51" s="90">
        <f t="shared" si="4"/>
        <v>22.8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>
        <v>27.4</v>
      </c>
      <c r="AC52" s="51">
        <v>23.2</v>
      </c>
      <c r="AD52" s="51">
        <v>25.2</v>
      </c>
      <c r="AE52" s="51">
        <v>25</v>
      </c>
      <c r="AF52" s="51">
        <v>23.2</v>
      </c>
      <c r="AG52" s="51">
        <v>23.6</v>
      </c>
      <c r="AH52" s="51">
        <v>24</v>
      </c>
      <c r="AI52" s="51">
        <v>23.2</v>
      </c>
      <c r="AJ52" s="51"/>
      <c r="AK52" s="51"/>
      <c r="AL52" s="51"/>
      <c r="AM52" s="51"/>
      <c r="AN52" s="51"/>
      <c r="AO52" s="51"/>
      <c r="AP52" s="88">
        <f t="shared" si="1"/>
        <v>25</v>
      </c>
      <c r="AQ52" s="89">
        <f t="shared" si="2"/>
        <v>25.032000000000004</v>
      </c>
      <c r="AR52" s="89">
        <f>IFERROR(VLOOKUP(A52,Climatologia!A:U,9+$E$2,FALSE),"")</f>
        <v>22.730537765699061</v>
      </c>
      <c r="AS52" s="89">
        <f t="shared" si="3"/>
        <v>2.3014622343009421</v>
      </c>
      <c r="AT52" s="90">
        <f t="shared" si="4"/>
        <v>23.2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4.8000000000000007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>
        <v>24.8</v>
      </c>
      <c r="AC53" s="51">
        <v>26.2</v>
      </c>
      <c r="AD53" s="51">
        <v>26.4</v>
      </c>
      <c r="AE53" s="51">
        <v>24.4</v>
      </c>
      <c r="AF53" s="51">
        <v>25.4</v>
      </c>
      <c r="AG53" s="51">
        <v>24.2</v>
      </c>
      <c r="AH53" s="51">
        <v>25.4</v>
      </c>
      <c r="AI53" s="51">
        <v>25</v>
      </c>
      <c r="AJ53" s="51"/>
      <c r="AK53" s="51"/>
      <c r="AL53" s="51"/>
      <c r="AM53" s="51"/>
      <c r="AN53" s="51"/>
      <c r="AO53" s="51"/>
      <c r="AP53" s="88">
        <f t="shared" si="1"/>
        <v>20</v>
      </c>
      <c r="AQ53" s="89">
        <f t="shared" si="2"/>
        <v>25.169999999999995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4.8000000000000007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>
        <v>23.4</v>
      </c>
      <c r="AC54" s="51">
        <v>24.2</v>
      </c>
      <c r="AD54" s="51">
        <v>23.6</v>
      </c>
      <c r="AE54" s="51">
        <v>23.2</v>
      </c>
      <c r="AF54" s="51">
        <v>21</v>
      </c>
      <c r="AG54" s="51">
        <v>20.8</v>
      </c>
      <c r="AH54" s="51">
        <v>20.2</v>
      </c>
      <c r="AI54" s="51">
        <v>22</v>
      </c>
      <c r="AJ54" s="51"/>
      <c r="AK54" s="51"/>
      <c r="AL54" s="51"/>
      <c r="AM54" s="51"/>
      <c r="AN54" s="51"/>
      <c r="AO54" s="51"/>
      <c r="AP54" s="88">
        <f t="shared" si="1"/>
        <v>25</v>
      </c>
      <c r="AQ54" s="89">
        <f t="shared" si="2"/>
        <v>22.995999999999999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20.2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0.19999999999999929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>
        <v>24.4</v>
      </c>
      <c r="AC57" s="51">
        <v>24.6</v>
      </c>
      <c r="AD57" s="51">
        <v>25</v>
      </c>
      <c r="AE57" s="51">
        <v>23.8</v>
      </c>
      <c r="AF57" s="51">
        <v>24.2</v>
      </c>
      <c r="AG57" s="51">
        <v>24</v>
      </c>
      <c r="AH57" s="51">
        <v>24.6</v>
      </c>
      <c r="AI57" s="51">
        <v>25.8</v>
      </c>
      <c r="AJ57" s="51"/>
      <c r="AK57" s="51"/>
      <c r="AL57" s="51"/>
      <c r="AM57" s="51"/>
      <c r="AN57" s="51"/>
      <c r="AO57" s="51"/>
      <c r="AP57" s="88">
        <f t="shared" si="1"/>
        <v>25</v>
      </c>
      <c r="AQ57" s="89">
        <f t="shared" si="2"/>
        <v>24.888000000000002</v>
      </c>
      <c r="AR57" s="89">
        <f>IFERROR(VLOOKUP(A57,Climatologia!A:U,9+$E$2,FALSE),"")</f>
        <v>23.929337221065921</v>
      </c>
      <c r="AS57" s="89">
        <f t="shared" si="3"/>
        <v>0.95866277893408025</v>
      </c>
      <c r="AT57" s="90">
        <f t="shared" si="4"/>
        <v>23.8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5.8000000000000007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>
        <v>20.6</v>
      </c>
      <c r="AC58" s="51">
        <v>22.4</v>
      </c>
      <c r="AD58" s="51">
        <v>21.8</v>
      </c>
      <c r="AE58" s="51">
        <v>22.4</v>
      </c>
      <c r="AF58" s="51">
        <v>23.6</v>
      </c>
      <c r="AG58" s="51">
        <v>22.6</v>
      </c>
      <c r="AH58" s="51">
        <v>21.8</v>
      </c>
      <c r="AI58" s="51"/>
      <c r="AJ58" s="51"/>
      <c r="AK58" s="51"/>
      <c r="AL58" s="51"/>
      <c r="AM58" s="51"/>
      <c r="AN58" s="51"/>
      <c r="AO58" s="51"/>
      <c r="AP58" s="88">
        <f t="shared" si="1"/>
        <v>24</v>
      </c>
      <c r="AQ58" s="89">
        <f t="shared" si="2"/>
        <v>22.708333333333332</v>
      </c>
      <c r="AR58" s="89">
        <f>IFERROR(VLOOKUP(A58,Climatologia!A:U,9+$E$2,FALSE),"")</f>
        <v>21.121835024190759</v>
      </c>
      <c r="AS58" s="89">
        <f t="shared" si="3"/>
        <v>1.5864983091425735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>
        <v>21.6</v>
      </c>
      <c r="AC60" s="51">
        <v>22.6</v>
      </c>
      <c r="AD60" s="51">
        <v>23</v>
      </c>
      <c r="AE60" s="51">
        <v>22.2</v>
      </c>
      <c r="AF60" s="51">
        <v>22.4</v>
      </c>
      <c r="AG60" s="51">
        <v>23.2</v>
      </c>
      <c r="AH60" s="51">
        <v>21.4</v>
      </c>
      <c r="AI60" s="51">
        <v>22.6</v>
      </c>
      <c r="AJ60" s="51"/>
      <c r="AK60" s="51"/>
      <c r="AL60" s="51"/>
      <c r="AM60" s="51"/>
      <c r="AN60" s="51"/>
      <c r="AO60" s="51"/>
      <c r="AP60" s="88">
        <f t="shared" si="1"/>
        <v>25</v>
      </c>
      <c r="AQ60" s="89">
        <f t="shared" si="2"/>
        <v>22.32</v>
      </c>
      <c r="AR60" s="89">
        <f>IFERROR(VLOOKUP(A60,Climatologia!A:U,9+$E$2,FALSE),"")</f>
        <v>21.335368281215381</v>
      </c>
      <c r="AS60" s="89">
        <f t="shared" si="3"/>
        <v>0.98463171878461964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>
        <v>22.4</v>
      </c>
      <c r="AC63" s="51">
        <v>22.6</v>
      </c>
      <c r="AD63" s="51">
        <v>22.8</v>
      </c>
      <c r="AE63" s="51">
        <v>23.4</v>
      </c>
      <c r="AF63" s="51">
        <v>22.6</v>
      </c>
      <c r="AG63" s="51">
        <v>21</v>
      </c>
      <c r="AH63" s="51">
        <v>21.2</v>
      </c>
      <c r="AI63" s="51">
        <v>22.6</v>
      </c>
      <c r="AJ63" s="51"/>
      <c r="AK63" s="51"/>
      <c r="AL63" s="51"/>
      <c r="AM63" s="51"/>
      <c r="AN63" s="51"/>
      <c r="AO63" s="51"/>
      <c r="AP63" s="88">
        <f t="shared" si="1"/>
        <v>17</v>
      </c>
      <c r="AQ63" s="89">
        <f t="shared" si="2"/>
        <v>22.458823529411767</v>
      </c>
      <c r="AR63" s="89">
        <f>IFERROR(VLOOKUP(A63,Climatologia!A:U,9+$E$2,FALSE),"")</f>
        <v>22.124788357434191</v>
      </c>
      <c r="AS63" s="89">
        <f t="shared" si="3"/>
        <v>0.33403517197757537</v>
      </c>
      <c r="AT63" s="90">
        <f t="shared" si="4"/>
        <v>21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2.1999999999999993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>
        <v>22.2</v>
      </c>
      <c r="AC64" s="51">
        <v>23</v>
      </c>
      <c r="AD64" s="51">
        <v>22.4</v>
      </c>
      <c r="AE64" s="51">
        <v>22.2</v>
      </c>
      <c r="AF64" s="51">
        <v>22.2</v>
      </c>
      <c r="AG64" s="51">
        <v>23</v>
      </c>
      <c r="AH64" s="51">
        <v>20.6</v>
      </c>
      <c r="AI64" s="51">
        <v>23.4</v>
      </c>
      <c r="AJ64" s="51"/>
      <c r="AK64" s="51"/>
      <c r="AL64" s="51"/>
      <c r="AM64" s="51"/>
      <c r="AN64" s="51"/>
      <c r="AO64" s="51"/>
      <c r="AP64" s="88">
        <f t="shared" si="1"/>
        <v>25</v>
      </c>
      <c r="AQ64" s="89">
        <f t="shared" si="2"/>
        <v>22.591999999999999</v>
      </c>
      <c r="AR64" s="89">
        <f>IFERROR(VLOOKUP(A64,Climatologia!A:U,9+$E$2,FALSE),"")</f>
        <v>21.690749245193071</v>
      </c>
      <c r="AS64" s="89">
        <f t="shared" si="3"/>
        <v>0.90125075480692729</v>
      </c>
      <c r="AT64" s="90">
        <f t="shared" si="4"/>
        <v>20.6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3.2000000000000028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>
        <v>22.2</v>
      </c>
      <c r="AC65" s="51">
        <v>22</v>
      </c>
      <c r="AD65" s="51">
        <v>22</v>
      </c>
      <c r="AE65" s="51">
        <v>21.8</v>
      </c>
      <c r="AF65" s="51">
        <v>23.2</v>
      </c>
      <c r="AG65" s="51">
        <v>21.8</v>
      </c>
      <c r="AH65" s="51">
        <v>20.8</v>
      </c>
      <c r="AI65" s="51">
        <v>21.2</v>
      </c>
      <c r="AJ65" s="51"/>
      <c r="AK65" s="51"/>
      <c r="AL65" s="51"/>
      <c r="AM65" s="51"/>
      <c r="AN65" s="51"/>
      <c r="AO65" s="51"/>
      <c r="AP65" s="88">
        <f t="shared" si="1"/>
        <v>25</v>
      </c>
      <c r="AQ65" s="89">
        <f t="shared" si="2"/>
        <v>22.2</v>
      </c>
      <c r="AR65" s="89">
        <f>IFERROR(VLOOKUP(A65,Climatologia!A:U,9+$E$2,FALSE),"")</f>
        <v>21.403540366427119</v>
      </c>
      <c r="AS65" s="89">
        <f t="shared" si="3"/>
        <v>0.79645963357287997</v>
      </c>
      <c r="AT65" s="90">
        <f t="shared" si="4"/>
        <v>20.8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>
        <v>20.2</v>
      </c>
      <c r="AC67" s="51">
        <v>20</v>
      </c>
      <c r="AD67" s="51">
        <v>20.8</v>
      </c>
      <c r="AE67" s="51">
        <v>19</v>
      </c>
      <c r="AF67" s="51">
        <v>21</v>
      </c>
      <c r="AG67" s="51">
        <v>19.399999999999999</v>
      </c>
      <c r="AH67" s="51">
        <v>18.399999999999999</v>
      </c>
      <c r="AI67" s="51">
        <v>19.399999999999999</v>
      </c>
      <c r="AJ67" s="51"/>
      <c r="AK67" s="51"/>
      <c r="AL67" s="51"/>
      <c r="AM67" s="51"/>
      <c r="AN67" s="51"/>
      <c r="AO67" s="51"/>
      <c r="AP67" s="88">
        <f t="shared" si="1"/>
        <v>25</v>
      </c>
      <c r="AQ67" s="89">
        <f t="shared" si="2"/>
        <v>20.107999999999997</v>
      </c>
      <c r="AR67" s="89">
        <f>IFERROR(VLOOKUP(A67,Climatologia!A:U,9+$E$2,FALSE),"")</f>
        <v>21.093190044711658</v>
      </c>
      <c r="AS67" s="89">
        <f t="shared" si="3"/>
        <v>-0.98519004471166127</v>
      </c>
      <c r="AT67" s="90">
        <f t="shared" si="4"/>
        <v>18.399999999999999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2.0999999999999979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>
        <v>22</v>
      </c>
      <c r="AC68" s="51">
        <v>21</v>
      </c>
      <c r="AD68" s="51">
        <v>20.8</v>
      </c>
      <c r="AE68" s="51">
        <v>20.6</v>
      </c>
      <c r="AF68" s="51">
        <v>21.8</v>
      </c>
      <c r="AG68" s="51">
        <v>20.8</v>
      </c>
      <c r="AH68" s="51">
        <v>19.399999999999999</v>
      </c>
      <c r="AI68" s="51">
        <v>21.6</v>
      </c>
      <c r="AJ68" s="51"/>
      <c r="AK68" s="51"/>
      <c r="AL68" s="51"/>
      <c r="AM68" s="51"/>
      <c r="AN68" s="51"/>
      <c r="AO68" s="51"/>
      <c r="AP68" s="88">
        <f t="shared" si="1"/>
        <v>25</v>
      </c>
      <c r="AQ68" s="89">
        <f t="shared" si="2"/>
        <v>20.892000000000003</v>
      </c>
      <c r="AR68" s="89">
        <f>IFERROR(VLOOKUP(A68,Climatologia!A:U,9+$E$2,FALSE),"")</f>
        <v>20.820880569459899</v>
      </c>
      <c r="AS68" s="89">
        <f t="shared" si="3"/>
        <v>7.1119430540104389E-2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>
        <v>22.4</v>
      </c>
      <c r="AC69" s="51"/>
      <c r="AD69" s="51"/>
      <c r="AE69" s="51">
        <v>21.8</v>
      </c>
      <c r="AF69" s="51">
        <v>22.4</v>
      </c>
      <c r="AG69" s="51">
        <v>22</v>
      </c>
      <c r="AH69" s="51">
        <v>21.2</v>
      </c>
      <c r="AI69" s="51">
        <v>22</v>
      </c>
      <c r="AJ69" s="51"/>
      <c r="AK69" s="51"/>
      <c r="AL69" s="51"/>
      <c r="AM69" s="51"/>
      <c r="AN69" s="51"/>
      <c r="AO69" s="51"/>
      <c r="AP69" s="88">
        <f t="shared" ref="AP69:AP132" si="6">COUNTIF(K69:AO69,"&gt;0")</f>
        <v>21</v>
      </c>
      <c r="AQ69" s="89">
        <f t="shared" ref="AQ69:AQ132" si="7">IF(AP69&gt;14,AVERAGE(K69:AO69),"")</f>
        <v>22.485714285714284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1.7063863106674546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>
        <v>23.3</v>
      </c>
      <c r="AC70" s="51">
        <v>23.2</v>
      </c>
      <c r="AD70" s="51">
        <v>22.1</v>
      </c>
      <c r="AE70" s="51">
        <v>22.3</v>
      </c>
      <c r="AF70" s="51">
        <v>23</v>
      </c>
      <c r="AG70" s="51">
        <v>23.1</v>
      </c>
      <c r="AH70" s="51">
        <v>21.3</v>
      </c>
      <c r="AI70" s="51">
        <v>23.1</v>
      </c>
      <c r="AJ70" s="51"/>
      <c r="AK70" s="51"/>
      <c r="AL70" s="51"/>
      <c r="AM70" s="51"/>
      <c r="AN70" s="51"/>
      <c r="AO70" s="51"/>
      <c r="AP70" s="88">
        <f t="shared" si="6"/>
        <v>25</v>
      </c>
      <c r="AQ70" s="89">
        <f t="shared" si="7"/>
        <v>22.92</v>
      </c>
      <c r="AR70" s="89">
        <f>IFERROR(VLOOKUP(A70,Climatologia!A:U,9+$E$2,FALSE),"")</f>
        <v>22.364932118308101</v>
      </c>
      <c r="AS70" s="89">
        <f t="shared" si="8"/>
        <v>0.55506788169190102</v>
      </c>
      <c r="AT70" s="90">
        <f t="shared" si="9"/>
        <v>21.3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5.5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>
        <v>23.1</v>
      </c>
      <c r="AC71" s="51">
        <v>22.2</v>
      </c>
      <c r="AD71" s="51">
        <v>22.3</v>
      </c>
      <c r="AE71" s="51">
        <v>23</v>
      </c>
      <c r="AF71" s="51">
        <v>23.2</v>
      </c>
      <c r="AG71" s="51">
        <v>23.2</v>
      </c>
      <c r="AH71" s="51">
        <v>22.2</v>
      </c>
      <c r="AI71" s="51">
        <v>23</v>
      </c>
      <c r="AJ71" s="51"/>
      <c r="AK71" s="51"/>
      <c r="AL71" s="51"/>
      <c r="AM71" s="51"/>
      <c r="AN71" s="51"/>
      <c r="AO71" s="51"/>
      <c r="AP71" s="88">
        <f t="shared" si="6"/>
        <v>25</v>
      </c>
      <c r="AQ71" s="89">
        <f t="shared" si="7"/>
        <v>22.868000000000006</v>
      </c>
      <c r="AR71" s="89">
        <f>IFERROR(VLOOKUP(A71,Climatologia!A:U,9+$E$2,FALSE),"")</f>
        <v>21.655481553578049</v>
      </c>
      <c r="AS71" s="89">
        <f t="shared" si="8"/>
        <v>1.2125184464219565</v>
      </c>
      <c r="AT71" s="90">
        <f t="shared" si="9"/>
        <v>22.2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>
        <v>21.8</v>
      </c>
      <c r="AC72" s="51"/>
      <c r="AD72" s="51">
        <v>21.4</v>
      </c>
      <c r="AE72" s="51">
        <v>21.2</v>
      </c>
      <c r="AF72" s="51">
        <v>21.2</v>
      </c>
      <c r="AG72" s="51">
        <v>21.2</v>
      </c>
      <c r="AH72" s="51">
        <v>19.399999999999999</v>
      </c>
      <c r="AI72" s="51">
        <v>21</v>
      </c>
      <c r="AJ72" s="51"/>
      <c r="AK72" s="51"/>
      <c r="AL72" s="51"/>
      <c r="AM72" s="51"/>
      <c r="AN72" s="51"/>
      <c r="AO72" s="51"/>
      <c r="AP72" s="88">
        <f t="shared" si="6"/>
        <v>22</v>
      </c>
      <c r="AQ72" s="89">
        <f t="shared" si="7"/>
        <v>21.34090909090909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19.399999999999999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0.19999999999999929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>
        <v>18</v>
      </c>
      <c r="AC73" s="51">
        <v>17</v>
      </c>
      <c r="AD73" s="51">
        <v>17</v>
      </c>
      <c r="AE73" s="51">
        <v>18.2</v>
      </c>
      <c r="AF73" s="51">
        <v>18.2</v>
      </c>
      <c r="AG73" s="51">
        <v>18.2</v>
      </c>
      <c r="AH73" s="51">
        <v>14.4</v>
      </c>
      <c r="AI73" s="51">
        <v>18</v>
      </c>
      <c r="AJ73" s="51"/>
      <c r="AK73" s="51"/>
      <c r="AL73" s="51"/>
      <c r="AM73" s="51"/>
      <c r="AN73" s="51"/>
      <c r="AO73" s="51"/>
      <c r="AP73" s="88">
        <f t="shared" si="6"/>
        <v>24</v>
      </c>
      <c r="AQ73" s="89">
        <f t="shared" si="7"/>
        <v>17.258333333333329</v>
      </c>
      <c r="AR73" s="89">
        <f>IFERROR(VLOOKUP(A73,Climatologia!A:U,9+$E$2,FALSE),"")</f>
        <v>16.31980835849356</v>
      </c>
      <c r="AS73" s="89">
        <f t="shared" si="8"/>
        <v>0.93852497483976904</v>
      </c>
      <c r="AT73" s="90">
        <f t="shared" si="9"/>
        <v>14.4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1.5999999999999996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>
        <v>12.8</v>
      </c>
      <c r="AC74" s="51">
        <v>13</v>
      </c>
      <c r="AD74" s="51">
        <v>13</v>
      </c>
      <c r="AE74" s="51">
        <v>12.2</v>
      </c>
      <c r="AF74" s="51">
        <v>11.6</v>
      </c>
      <c r="AG74" s="51">
        <v>13.6</v>
      </c>
      <c r="AH74" s="51">
        <v>11.8</v>
      </c>
      <c r="AI74" s="51">
        <v>9.8000000000000007</v>
      </c>
      <c r="AJ74" s="51"/>
      <c r="AK74" s="51"/>
      <c r="AL74" s="51"/>
      <c r="AM74" s="51"/>
      <c r="AN74" s="51"/>
      <c r="AO74" s="51"/>
      <c r="AP74" s="88">
        <f t="shared" si="6"/>
        <v>25</v>
      </c>
      <c r="AQ74" s="89">
        <f t="shared" si="7"/>
        <v>12.328000000000001</v>
      </c>
      <c r="AR74" s="89">
        <f>IFERROR(VLOOKUP(A74,Climatologia!A:U,9+$E$2,FALSE),"")</f>
        <v>11.80563736724846</v>
      </c>
      <c r="AS74" s="89">
        <f t="shared" si="8"/>
        <v>0.52236263275154116</v>
      </c>
      <c r="AT74" s="90">
        <f t="shared" si="9"/>
        <v>9.8000000000000007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1.8000000000000007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>
        <v>16</v>
      </c>
      <c r="AC75" s="51">
        <v>15.2</v>
      </c>
      <c r="AD75" s="51">
        <v>17</v>
      </c>
      <c r="AE75" s="51">
        <v>15.2</v>
      </c>
      <c r="AF75" s="51">
        <v>14.8</v>
      </c>
      <c r="AG75" s="51">
        <v>16.2</v>
      </c>
      <c r="AH75" s="51">
        <v>15.7</v>
      </c>
      <c r="AI75" s="51">
        <v>13</v>
      </c>
      <c r="AJ75" s="51"/>
      <c r="AK75" s="51"/>
      <c r="AL75" s="51"/>
      <c r="AM75" s="51"/>
      <c r="AN75" s="51"/>
      <c r="AO75" s="51"/>
      <c r="AP75" s="88">
        <f t="shared" si="6"/>
        <v>25</v>
      </c>
      <c r="AQ75" s="89">
        <f t="shared" si="7"/>
        <v>16.291999999999998</v>
      </c>
      <c r="AR75" s="89">
        <f>IFERROR(VLOOKUP(A75,Climatologia!A:U,9+$E$2,FALSE),"")</f>
        <v>15.64745715221115</v>
      </c>
      <c r="AS75" s="89">
        <f t="shared" si="8"/>
        <v>0.64454284778884841</v>
      </c>
      <c r="AT75" s="90">
        <f t="shared" si="9"/>
        <v>13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2.5999999999999996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>
        <v>15.4</v>
      </c>
      <c r="AC76" s="51">
        <v>16.8</v>
      </c>
      <c r="AD76" s="51">
        <v>17</v>
      </c>
      <c r="AE76" s="51">
        <v>16.2</v>
      </c>
      <c r="AF76" s="51">
        <v>17.2</v>
      </c>
      <c r="AG76" s="51">
        <v>18</v>
      </c>
      <c r="AH76" s="51">
        <v>16.8</v>
      </c>
      <c r="AI76" s="51">
        <v>16.2</v>
      </c>
      <c r="AJ76" s="51"/>
      <c r="AK76" s="51"/>
      <c r="AL76" s="51"/>
      <c r="AM76" s="51"/>
      <c r="AN76" s="51"/>
      <c r="AO76" s="51"/>
      <c r="AP76" s="88">
        <f t="shared" si="6"/>
        <v>25</v>
      </c>
      <c r="AQ76" s="89">
        <f t="shared" si="7"/>
        <v>16.807999999999996</v>
      </c>
      <c r="AR76" s="89">
        <f>IFERROR(VLOOKUP(A76,Climatologia!A:U,9+$E$2,FALSE),"")</f>
        <v>18.21514905534578</v>
      </c>
      <c r="AS76" s="89">
        <f t="shared" si="8"/>
        <v>-1.4071490553457835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>
        <v>23.8</v>
      </c>
      <c r="AC77" s="51">
        <v>24</v>
      </c>
      <c r="AD77" s="51">
        <v>23.8</v>
      </c>
      <c r="AE77" s="51">
        <v>24.8</v>
      </c>
      <c r="AF77" s="51">
        <v>24.4</v>
      </c>
      <c r="AG77" s="51">
        <v>25.4</v>
      </c>
      <c r="AH77" s="51">
        <v>24.6</v>
      </c>
      <c r="AI77" s="51">
        <v>23.2</v>
      </c>
      <c r="AJ77" s="51"/>
      <c r="AK77" s="51"/>
      <c r="AL77" s="51"/>
      <c r="AM77" s="51"/>
      <c r="AN77" s="51"/>
      <c r="AO77" s="51"/>
      <c r="AP77" s="88">
        <f t="shared" si="6"/>
        <v>25</v>
      </c>
      <c r="AQ77" s="89">
        <f t="shared" si="7"/>
        <v>25.504000000000001</v>
      </c>
      <c r="AR77" s="89">
        <f>IFERROR(VLOOKUP(A77,Climatologia!A:U,9+$E$2,FALSE),"")</f>
        <v>23.98594554377442</v>
      </c>
      <c r="AS77" s="89">
        <f t="shared" si="8"/>
        <v>1.5180544562255811</v>
      </c>
      <c r="AT77" s="90">
        <f t="shared" si="9"/>
        <v>23.2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3.8000000000000007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>
        <v>24.2</v>
      </c>
      <c r="X78" s="51">
        <v>25.2</v>
      </c>
      <c r="Y78" s="51">
        <v>25</v>
      </c>
      <c r="Z78" s="111">
        <v>25.2</v>
      </c>
      <c r="AA78" s="51">
        <v>25</v>
      </c>
      <c r="AB78" s="51">
        <v>23.6</v>
      </c>
      <c r="AC78" s="51">
        <v>23.6</v>
      </c>
      <c r="AD78" s="51">
        <v>24</v>
      </c>
      <c r="AE78" s="51">
        <v>24.4</v>
      </c>
      <c r="AF78" s="51">
        <v>25</v>
      </c>
      <c r="AG78" s="51">
        <v>27</v>
      </c>
      <c r="AH78" s="51">
        <v>23.6</v>
      </c>
      <c r="AI78" s="51">
        <v>22.4</v>
      </c>
      <c r="AJ78" s="51"/>
      <c r="AK78" s="51"/>
      <c r="AL78" s="51"/>
      <c r="AM78" s="51"/>
      <c r="AN78" s="51"/>
      <c r="AO78" s="51"/>
      <c r="AP78" s="88">
        <f t="shared" si="6"/>
        <v>24</v>
      </c>
      <c r="AQ78" s="89">
        <f t="shared" si="7"/>
        <v>24.383333333333336</v>
      </c>
      <c r="AR78" s="89">
        <f>IFERROR(VLOOKUP(A78,Climatologia!A:U,9+$E$2,FALSE),"")</f>
        <v>23.030800614819611</v>
      </c>
      <c r="AS78" s="89">
        <f t="shared" si="8"/>
        <v>1.352532718513725</v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>
        <v>14.8</v>
      </c>
      <c r="Y79" s="51">
        <v>14.8</v>
      </c>
      <c r="Z79" s="111">
        <v>14.6</v>
      </c>
      <c r="AA79" s="51">
        <v>14.4</v>
      </c>
      <c r="AB79" s="51">
        <v>15.8</v>
      </c>
      <c r="AC79" s="51">
        <v>14.4</v>
      </c>
      <c r="AD79" s="51">
        <v>14.6</v>
      </c>
      <c r="AE79" s="51">
        <v>14.4</v>
      </c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21</v>
      </c>
      <c r="AQ79" s="89">
        <f t="shared" si="7"/>
        <v>14.980952380952379</v>
      </c>
      <c r="AR79" s="89">
        <f>IFERROR(VLOOKUP(A79,Climatologia!A:U,9+$E$2,FALSE),"")</f>
        <v>15.20904351496088</v>
      </c>
      <c r="AS79" s="89">
        <f t="shared" si="8"/>
        <v>-0.22809113400850123</v>
      </c>
      <c r="AT79" s="90">
        <f t="shared" si="9"/>
        <v>13.6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>
        <v>22.2</v>
      </c>
      <c r="AC81" s="51">
        <v>22.8</v>
      </c>
      <c r="AD81" s="51">
        <v>22.6</v>
      </c>
      <c r="AE81" s="51">
        <v>22.8</v>
      </c>
      <c r="AF81" s="51">
        <v>23.2</v>
      </c>
      <c r="AG81" s="51">
        <v>24</v>
      </c>
      <c r="AH81" s="51">
        <v>23.6</v>
      </c>
      <c r="AI81" s="51">
        <v>23.2</v>
      </c>
      <c r="AJ81" s="51"/>
      <c r="AK81" s="51"/>
      <c r="AL81" s="51"/>
      <c r="AM81" s="51"/>
      <c r="AN81" s="51"/>
      <c r="AO81" s="51"/>
      <c r="AP81" s="88">
        <f t="shared" si="6"/>
        <v>23</v>
      </c>
      <c r="AQ81" s="89">
        <f t="shared" si="7"/>
        <v>22.869565217391305</v>
      </c>
      <c r="AR81" s="89">
        <f>IFERROR(VLOOKUP(A81,Climatologia!A:U,9+$E$2,FALSE),"")</f>
        <v>21.607376978198339</v>
      </c>
      <c r="AS81" s="89">
        <f t="shared" si="8"/>
        <v>1.262188239192966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>
        <v>26.8</v>
      </c>
      <c r="AD83" s="51">
        <v>27.2</v>
      </c>
      <c r="AE83" s="51">
        <v>26.2</v>
      </c>
      <c r="AF83" s="51">
        <v>27.2</v>
      </c>
      <c r="AG83" s="51">
        <v>27.8</v>
      </c>
      <c r="AH83" s="51">
        <v>27</v>
      </c>
      <c r="AI83" s="51">
        <v>26</v>
      </c>
      <c r="AJ83" s="51"/>
      <c r="AK83" s="51"/>
      <c r="AL83" s="51"/>
      <c r="AM83" s="51"/>
      <c r="AN83" s="51"/>
      <c r="AO83" s="51"/>
      <c r="AP83" s="88">
        <f t="shared" si="6"/>
        <v>20</v>
      </c>
      <c r="AQ83" s="89">
        <f t="shared" si="7"/>
        <v>26.669999999999995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>
        <v>26.2</v>
      </c>
      <c r="AA84" s="51">
        <v>26</v>
      </c>
      <c r="AB84" s="51">
        <v>26.6</v>
      </c>
      <c r="AC84" s="51">
        <v>25.8</v>
      </c>
      <c r="AD84" s="51">
        <v>26.4</v>
      </c>
      <c r="AE84" s="51">
        <v>26.8</v>
      </c>
      <c r="AF84" s="51">
        <v>25.6</v>
      </c>
      <c r="AG84" s="51">
        <v>26.6</v>
      </c>
      <c r="AH84" s="51">
        <v>27</v>
      </c>
      <c r="AI84" s="51">
        <v>26.6</v>
      </c>
      <c r="AJ84" s="51"/>
      <c r="AK84" s="51"/>
      <c r="AL84" s="51"/>
      <c r="AM84" s="51"/>
      <c r="AN84" s="51"/>
      <c r="AO84" s="51"/>
      <c r="AP84" s="88">
        <f t="shared" si="6"/>
        <v>25</v>
      </c>
      <c r="AQ84" s="89">
        <f t="shared" si="7"/>
        <v>26.231999999999999</v>
      </c>
      <c r="AR84" s="89">
        <f>IFERROR(VLOOKUP(A84,Climatologia!A:U,9+$E$2,FALSE),"")</f>
        <v>23.66046866958937</v>
      </c>
      <c r="AS84" s="89">
        <f t="shared" si="8"/>
        <v>2.5715313304106289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>
        <v>25</v>
      </c>
      <c r="AC85" s="51">
        <v>25.2</v>
      </c>
      <c r="AD85" s="51">
        <v>24.4</v>
      </c>
      <c r="AE85" s="51">
        <v>25.2</v>
      </c>
      <c r="AF85" s="51">
        <v>25.6</v>
      </c>
      <c r="AG85" s="51">
        <v>25.6</v>
      </c>
      <c r="AH85" s="51">
        <v>25.6</v>
      </c>
      <c r="AI85" s="51">
        <v>25.2</v>
      </c>
      <c r="AJ85" s="51"/>
      <c r="AK85" s="51"/>
      <c r="AL85" s="51"/>
      <c r="AM85" s="51"/>
      <c r="AN85" s="51"/>
      <c r="AO85" s="51"/>
      <c r="AP85" s="88">
        <f t="shared" si="6"/>
        <v>25</v>
      </c>
      <c r="AQ85" s="89">
        <f t="shared" si="7"/>
        <v>25.184000000000005</v>
      </c>
      <c r="AR85" s="89">
        <f>IFERROR(VLOOKUP(A85,Climatologia!A:U,9+$E$2,FALSE),"")</f>
        <v>23.305497603590929</v>
      </c>
      <c r="AS85" s="89">
        <f t="shared" si="8"/>
        <v>1.8785023964090755</v>
      </c>
      <c r="AT85" s="90">
        <f t="shared" si="9"/>
        <v>24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5.1999999999999993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>
        <v>20.399999999999999</v>
      </c>
      <c r="AC86" s="51">
        <v>22.6</v>
      </c>
      <c r="AD86" s="51">
        <v>22</v>
      </c>
      <c r="AE86" s="51">
        <v>20</v>
      </c>
      <c r="AF86" s="51">
        <v>19.8</v>
      </c>
      <c r="AG86" s="51">
        <v>21</v>
      </c>
      <c r="AH86" s="51">
        <v>20.8</v>
      </c>
      <c r="AI86" s="51">
        <v>20.399999999999999</v>
      </c>
      <c r="AJ86" s="51"/>
      <c r="AK86" s="51"/>
      <c r="AL86" s="51"/>
      <c r="AM86" s="51"/>
      <c r="AN86" s="51"/>
      <c r="AO86" s="51"/>
      <c r="AP86" s="88">
        <f t="shared" si="6"/>
        <v>25</v>
      </c>
      <c r="AQ86" s="89">
        <f t="shared" si="7"/>
        <v>21.423999999999999</v>
      </c>
      <c r="AR86" s="89">
        <f>IFERROR(VLOOKUP(A86,Climatologia!A:U,9+$E$2,FALSE),"")</f>
        <v>22.830460829493081</v>
      </c>
      <c r="AS86" s="89">
        <f t="shared" si="8"/>
        <v>-1.4064608294930814</v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3.8000000000000007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>
        <v>29</v>
      </c>
      <c r="AC87" s="51">
        <v>28.8</v>
      </c>
      <c r="AD87" s="51">
        <v>27.2</v>
      </c>
      <c r="AE87" s="51">
        <v>24.2</v>
      </c>
      <c r="AF87" s="51">
        <v>24.2</v>
      </c>
      <c r="AG87" s="51">
        <v>26.6</v>
      </c>
      <c r="AH87" s="51">
        <v>24.6</v>
      </c>
      <c r="AI87" s="51">
        <v>25.4</v>
      </c>
      <c r="AJ87" s="51"/>
      <c r="AK87" s="51"/>
      <c r="AL87" s="51"/>
      <c r="AM87" s="51"/>
      <c r="AN87" s="51"/>
      <c r="AO87" s="51"/>
      <c r="AP87" s="88">
        <f t="shared" si="6"/>
        <v>23</v>
      </c>
      <c r="AQ87" s="89">
        <f t="shared" si="7"/>
        <v>26.669565217391309</v>
      </c>
      <c r="AR87" s="89">
        <f>IFERROR(VLOOKUP(A87,Climatologia!A:U,9+$E$2,FALSE),"")</f>
        <v>23.82157476757439</v>
      </c>
      <c r="AS87" s="89">
        <f t="shared" si="8"/>
        <v>2.8479904498169191</v>
      </c>
      <c r="AT87" s="90">
        <f t="shared" si="9"/>
        <v>24.2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>
        <v>27.8</v>
      </c>
      <c r="AC88" s="51">
        <v>28.4</v>
      </c>
      <c r="AD88" s="51"/>
      <c r="AE88" s="51"/>
      <c r="AF88" s="51"/>
      <c r="AG88" s="51">
        <v>26.6</v>
      </c>
      <c r="AH88" s="51">
        <v>24.4</v>
      </c>
      <c r="AI88" s="51">
        <v>25.4</v>
      </c>
      <c r="AJ88" s="51"/>
      <c r="AK88" s="51"/>
      <c r="AL88" s="51"/>
      <c r="AM88" s="51"/>
      <c r="AN88" s="51"/>
      <c r="AO88" s="51"/>
      <c r="AP88" s="88">
        <f t="shared" si="6"/>
        <v>22</v>
      </c>
      <c r="AQ88" s="89">
        <f t="shared" si="7"/>
        <v>27.072727272727278</v>
      </c>
      <c r="AR88" s="89">
        <f>IFERROR(VLOOKUP(A88,Climatologia!A:U,9+$E$2,FALSE),"")</f>
        <v>23.447051220933311</v>
      </c>
      <c r="AS88" s="89">
        <f t="shared" si="8"/>
        <v>3.6256760517939668</v>
      </c>
      <c r="AT88" s="90">
        <f t="shared" si="9"/>
        <v>24.4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8.3999999999999986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26.4</v>
      </c>
      <c r="L89" s="116">
        <v>26</v>
      </c>
      <c r="M89" s="116">
        <v>26.2</v>
      </c>
      <c r="N89" s="116">
        <v>26.2</v>
      </c>
      <c r="O89" s="116">
        <v>26.4</v>
      </c>
      <c r="P89" s="116">
        <v>25.4</v>
      </c>
      <c r="Q89" s="116">
        <v>25.6</v>
      </c>
      <c r="R89" s="116">
        <v>26.6</v>
      </c>
      <c r="S89" s="116">
        <v>25.2</v>
      </c>
      <c r="T89" s="116">
        <v>24.8</v>
      </c>
      <c r="U89" s="116">
        <v>24.4</v>
      </c>
      <c r="V89" s="116">
        <v>28</v>
      </c>
      <c r="W89" s="116">
        <v>25</v>
      </c>
      <c r="X89" s="116">
        <v>25</v>
      </c>
      <c r="Y89" s="116">
        <v>24.2</v>
      </c>
      <c r="Z89" s="117">
        <v>26.2</v>
      </c>
      <c r="AA89" s="116">
        <v>25.6</v>
      </c>
      <c r="AB89" s="116">
        <v>25.2</v>
      </c>
      <c r="AC89" s="116">
        <v>25</v>
      </c>
      <c r="AD89" s="116"/>
      <c r="AE89" s="116">
        <v>25.2</v>
      </c>
      <c r="AF89" s="116">
        <v>25</v>
      </c>
      <c r="AG89" s="116"/>
      <c r="AH89" s="116"/>
      <c r="AI89" s="116">
        <v>26</v>
      </c>
      <c r="AJ89" s="116"/>
      <c r="AK89" s="116"/>
      <c r="AL89" s="116"/>
      <c r="AM89" s="116"/>
      <c r="AN89" s="116"/>
      <c r="AO89" s="116"/>
      <c r="AP89" s="88">
        <f t="shared" si="6"/>
        <v>22</v>
      </c>
      <c r="AQ89" s="89">
        <f t="shared" si="7"/>
        <v>25.618181818181814</v>
      </c>
      <c r="AR89" s="89">
        <f>IFERROR(VLOOKUP(A89,Climatologia!A:U,9+$E$2,FALSE),"")</f>
        <v>22.923826107655049</v>
      </c>
      <c r="AS89" s="89">
        <f t="shared" si="8"/>
        <v>2.6943557105267644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17.600000000000001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33811</v>
      </c>
      <c r="AW89" s="92">
        <f t="shared" si="10"/>
        <v>6.5999999999999979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13.8</v>
      </c>
      <c r="L90" s="51">
        <v>12</v>
      </c>
      <c r="M90" s="51">
        <v>12</v>
      </c>
      <c r="N90" s="51">
        <v>11.4</v>
      </c>
      <c r="O90" s="51">
        <v>11.4</v>
      </c>
      <c r="P90" s="51">
        <v>12.2</v>
      </c>
      <c r="Q90" s="51">
        <v>11.2</v>
      </c>
      <c r="R90" s="51">
        <v>14</v>
      </c>
      <c r="S90" s="51">
        <v>13</v>
      </c>
      <c r="T90" s="51">
        <v>14.2</v>
      </c>
      <c r="U90" s="51">
        <v>13.2</v>
      </c>
      <c r="V90" s="51">
        <v>11.4</v>
      </c>
      <c r="W90" s="51">
        <v>14</v>
      </c>
      <c r="X90" s="51">
        <v>12.4</v>
      </c>
      <c r="Y90" s="51">
        <v>12.4</v>
      </c>
      <c r="Z90" s="111">
        <v>13</v>
      </c>
      <c r="AA90" s="51"/>
      <c r="AB90" s="51">
        <v>13</v>
      </c>
      <c r="AC90" s="51">
        <v>12.8</v>
      </c>
      <c r="AD90" s="51">
        <v>12.8</v>
      </c>
      <c r="AE90" s="51">
        <v>12</v>
      </c>
      <c r="AF90" s="51">
        <v>10.4</v>
      </c>
      <c r="AG90" s="51">
        <v>13.6</v>
      </c>
      <c r="AH90" s="51">
        <v>11.8</v>
      </c>
      <c r="AI90" s="51">
        <v>9.1999999999999993</v>
      </c>
      <c r="AJ90" s="51"/>
      <c r="AK90" s="51"/>
      <c r="AL90" s="51"/>
      <c r="AM90" s="51"/>
      <c r="AN90" s="51"/>
      <c r="AO90" s="51"/>
      <c r="AP90" s="88">
        <f t="shared" si="6"/>
        <v>24</v>
      </c>
      <c r="AQ90" s="89">
        <f t="shared" si="7"/>
        <v>12.383333333333335</v>
      </c>
      <c r="AR90" s="89">
        <f>IFERROR(VLOOKUP(A90,Climatologia!A:U,9+$E$2,FALSE),"")</f>
        <v>11.21</v>
      </c>
      <c r="AS90" s="89">
        <f t="shared" si="8"/>
        <v>1.1733333333333338</v>
      </c>
      <c r="AT90" s="90">
        <f t="shared" si="9"/>
        <v>9.1999999999999993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4.4000000000000004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90" s="92">
        <f t="shared" si="10"/>
        <v>4.7999999999999989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17.399999999999999</v>
      </c>
      <c r="L91" s="51">
        <v>18</v>
      </c>
      <c r="M91" s="51">
        <v>17.600000000000001</v>
      </c>
      <c r="N91" s="51">
        <v>17.399999999999999</v>
      </c>
      <c r="O91" s="51">
        <v>17.2</v>
      </c>
      <c r="P91" s="51">
        <v>17.399999999999999</v>
      </c>
      <c r="Q91" s="51">
        <v>18</v>
      </c>
      <c r="R91" s="51">
        <v>18.399999999999999</v>
      </c>
      <c r="S91" s="51">
        <v>19</v>
      </c>
      <c r="T91" s="51">
        <v>17</v>
      </c>
      <c r="U91" s="51">
        <v>18.399999999999999</v>
      </c>
      <c r="V91" s="51">
        <v>17.399999999999999</v>
      </c>
      <c r="W91" s="51">
        <v>17.2</v>
      </c>
      <c r="X91" s="51">
        <v>18</v>
      </c>
      <c r="Y91" s="51">
        <v>18.2</v>
      </c>
      <c r="Z91" s="111">
        <v>18.399999999999999</v>
      </c>
      <c r="AA91" s="51">
        <v>18.600000000000001</v>
      </c>
      <c r="AB91" s="51">
        <v>19</v>
      </c>
      <c r="AC91" s="51">
        <v>18</v>
      </c>
      <c r="AD91" s="51">
        <v>17.399999999999999</v>
      </c>
      <c r="AE91" s="51">
        <v>17.2</v>
      </c>
      <c r="AF91" s="51">
        <v>18.399999999999999</v>
      </c>
      <c r="AG91" s="51">
        <v>18</v>
      </c>
      <c r="AH91" s="51">
        <v>17.399999999999999</v>
      </c>
      <c r="AI91" s="51">
        <v>18</v>
      </c>
      <c r="AJ91" s="51"/>
      <c r="AK91" s="51"/>
      <c r="AL91" s="51"/>
      <c r="AM91" s="51"/>
      <c r="AN91" s="51"/>
      <c r="AO91" s="51"/>
      <c r="AP91" s="88">
        <f t="shared" si="6"/>
        <v>25</v>
      </c>
      <c r="AQ91" s="89">
        <f t="shared" si="7"/>
        <v>17.88</v>
      </c>
      <c r="AR91" s="89">
        <f>IFERROR(VLOOKUP(A91,Climatologia!A:U,9+$E$2,FALSE),"")</f>
        <v>17.613159782779519</v>
      </c>
      <c r="AS91" s="89">
        <f t="shared" si="8"/>
        <v>0.26684021722048001</v>
      </c>
      <c r="AT91" s="90">
        <f t="shared" si="9"/>
        <v>17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1" s="92">
        <f t="shared" si="10"/>
        <v>2.8000000000000007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10.4</v>
      </c>
      <c r="L92" s="51">
        <v>10.6</v>
      </c>
      <c r="M92" s="51">
        <v>11.6</v>
      </c>
      <c r="N92" s="51">
        <v>11.8</v>
      </c>
      <c r="O92" s="51">
        <v>11.8</v>
      </c>
      <c r="P92" s="51">
        <v>11.6</v>
      </c>
      <c r="Q92" s="51">
        <v>11.6</v>
      </c>
      <c r="R92" s="51">
        <v>11.6</v>
      </c>
      <c r="S92" s="51">
        <v>11.4</v>
      </c>
      <c r="T92" s="51">
        <v>11.6</v>
      </c>
      <c r="U92" s="51">
        <v>11.4</v>
      </c>
      <c r="V92" s="51">
        <v>12.4</v>
      </c>
      <c r="W92" s="51">
        <v>10.4</v>
      </c>
      <c r="X92" s="51">
        <v>10.4</v>
      </c>
      <c r="Y92" s="51">
        <v>10.8</v>
      </c>
      <c r="Z92" s="111">
        <v>10.199999999999999</v>
      </c>
      <c r="AA92" s="51">
        <v>10.4</v>
      </c>
      <c r="AB92" s="51">
        <v>9.6</v>
      </c>
      <c r="AC92" s="51">
        <v>9.8000000000000007</v>
      </c>
      <c r="AD92" s="51">
        <v>10.6</v>
      </c>
      <c r="AE92" s="51">
        <v>9.8000000000000007</v>
      </c>
      <c r="AF92" s="51">
        <v>9.6</v>
      </c>
      <c r="AG92" s="51">
        <v>9.6</v>
      </c>
      <c r="AH92" s="51">
        <v>11.6</v>
      </c>
      <c r="AI92" s="51"/>
      <c r="AJ92" s="51"/>
      <c r="AK92" s="51"/>
      <c r="AL92" s="51"/>
      <c r="AM92" s="51"/>
      <c r="AN92" s="51"/>
      <c r="AO92" s="51"/>
      <c r="AP92" s="88">
        <f t="shared" si="6"/>
        <v>24</v>
      </c>
      <c r="AQ92" s="89">
        <f t="shared" si="7"/>
        <v>10.858333333333334</v>
      </c>
      <c r="AR92" s="89">
        <f>IFERROR(VLOOKUP(A92,Climatologia!A:U,9+$E$2,FALSE),"")</f>
        <v>11.47881802826185</v>
      </c>
      <c r="AS92" s="89">
        <f t="shared" si="8"/>
        <v>-0.62048469492851588</v>
      </c>
      <c r="AT92" s="90">
        <f t="shared" si="9"/>
        <v>9.6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5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2" s="92">
        <f t="shared" si="10"/>
        <v>4.5999999999999996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10.6</v>
      </c>
      <c r="L93" s="51">
        <v>10</v>
      </c>
      <c r="M93" s="51">
        <v>10.6</v>
      </c>
      <c r="N93" s="51">
        <v>10.6</v>
      </c>
      <c r="O93" s="51">
        <v>9.6</v>
      </c>
      <c r="P93" s="51">
        <v>11</v>
      </c>
      <c r="Q93" s="51">
        <v>11.2</v>
      </c>
      <c r="R93" s="51">
        <v>11</v>
      </c>
      <c r="S93" s="51">
        <v>11.2</v>
      </c>
      <c r="T93" s="51">
        <v>10.199999999999999</v>
      </c>
      <c r="U93" s="51">
        <v>9.6</v>
      </c>
      <c r="V93" s="51">
        <v>9.8000000000000007</v>
      </c>
      <c r="W93" s="51">
        <v>9</v>
      </c>
      <c r="X93" s="51">
        <v>9.6</v>
      </c>
      <c r="Y93" s="51">
        <v>11.6</v>
      </c>
      <c r="Z93" s="111">
        <v>10.8</v>
      </c>
      <c r="AA93" s="51">
        <v>10.199999999999999</v>
      </c>
      <c r="AB93" s="51">
        <v>8.1999999999999993</v>
      </c>
      <c r="AC93" s="51">
        <v>10.6</v>
      </c>
      <c r="AD93" s="51">
        <v>11</v>
      </c>
      <c r="AE93" s="51">
        <v>9.8000000000000007</v>
      </c>
      <c r="AF93" s="51">
        <v>10.199999999999999</v>
      </c>
      <c r="AG93" s="51">
        <v>11</v>
      </c>
      <c r="AH93" s="51">
        <v>11</v>
      </c>
      <c r="AI93" s="51">
        <v>4.8</v>
      </c>
      <c r="AJ93" s="51"/>
      <c r="AK93" s="51"/>
      <c r="AL93" s="51"/>
      <c r="AM93" s="51"/>
      <c r="AN93" s="51"/>
      <c r="AO93" s="51"/>
      <c r="AP93" s="88">
        <f t="shared" si="6"/>
        <v>25</v>
      </c>
      <c r="AQ93" s="89">
        <f t="shared" si="7"/>
        <v>10.128</v>
      </c>
      <c r="AR93" s="89">
        <f>IFERROR(VLOOKUP(A93,Climatologia!A:U,9+$E$2,FALSE),"")</f>
        <v>8.9015099398191726</v>
      </c>
      <c r="AS93" s="89">
        <f t="shared" si="8"/>
        <v>1.2264900601808275</v>
      </c>
      <c r="AT93" s="90">
        <f t="shared" si="9"/>
        <v>4.8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-1.4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3" s="92">
        <f t="shared" si="10"/>
        <v>6.1999999999999993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10.516628421304731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-0.6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</v>
      </c>
      <c r="L96" s="51">
        <v>5.8</v>
      </c>
      <c r="M96" s="51">
        <v>7</v>
      </c>
      <c r="N96" s="51">
        <v>10</v>
      </c>
      <c r="O96" s="51">
        <v>8</v>
      </c>
      <c r="P96" s="51">
        <v>9</v>
      </c>
      <c r="Q96" s="51">
        <v>7.8</v>
      </c>
      <c r="R96" s="51">
        <v>8.8000000000000007</v>
      </c>
      <c r="S96" s="51">
        <v>9.1999999999999993</v>
      </c>
      <c r="T96" s="51">
        <v>8.1999999999999993</v>
      </c>
      <c r="U96" s="51">
        <v>6</v>
      </c>
      <c r="V96" s="51">
        <v>10.199999999999999</v>
      </c>
      <c r="W96" s="51">
        <v>6.8</v>
      </c>
      <c r="X96" s="51">
        <v>6</v>
      </c>
      <c r="Y96" s="51">
        <v>10.8</v>
      </c>
      <c r="Z96" s="111">
        <v>5</v>
      </c>
      <c r="AA96" s="51">
        <v>6.4</v>
      </c>
      <c r="AB96" s="51">
        <v>6</v>
      </c>
      <c r="AC96" s="51">
        <v>10.8</v>
      </c>
      <c r="AD96" s="51">
        <v>10.4</v>
      </c>
      <c r="AE96" s="51">
        <v>8</v>
      </c>
      <c r="AF96" s="51">
        <v>6.6</v>
      </c>
      <c r="AG96" s="51">
        <v>7</v>
      </c>
      <c r="AH96" s="51">
        <v>7.2</v>
      </c>
      <c r="AI96" s="51">
        <v>3</v>
      </c>
      <c r="AJ96" s="51"/>
      <c r="AK96" s="51"/>
      <c r="AL96" s="51"/>
      <c r="AM96" s="51"/>
      <c r="AN96" s="51"/>
      <c r="AO96" s="51"/>
      <c r="AP96" s="88">
        <f t="shared" si="6"/>
        <v>25</v>
      </c>
      <c r="AQ96" s="89">
        <f t="shared" si="7"/>
        <v>7.72</v>
      </c>
      <c r="AR96" s="89">
        <f>IFERROR(VLOOKUP(A96,Climatologia!A:U,9+$E$2,FALSE),"")</f>
        <v>7.2926861266282854</v>
      </c>
      <c r="AS96" s="89">
        <f t="shared" si="8"/>
        <v>0.42731387337171434</v>
      </c>
      <c r="AT96" s="90">
        <f t="shared" si="9"/>
        <v>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1.2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6" s="92">
        <f t="shared" si="10"/>
        <v>1.8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8.9</v>
      </c>
      <c r="L97" s="51">
        <v>9</v>
      </c>
      <c r="M97" s="51">
        <v>9.4</v>
      </c>
      <c r="N97" s="51">
        <v>9</v>
      </c>
      <c r="O97" s="51">
        <v>8</v>
      </c>
      <c r="P97" s="51">
        <v>8.4</v>
      </c>
      <c r="Q97" s="51">
        <v>8</v>
      </c>
      <c r="R97" s="51">
        <v>7.8</v>
      </c>
      <c r="S97" s="51"/>
      <c r="T97" s="51">
        <v>8.6</v>
      </c>
      <c r="U97" s="51">
        <v>9.1999999999999993</v>
      </c>
      <c r="V97" s="51">
        <v>11.4</v>
      </c>
      <c r="W97" s="51">
        <v>7.2</v>
      </c>
      <c r="X97" s="51">
        <v>6.3</v>
      </c>
      <c r="Y97" s="51">
        <v>8.8000000000000007</v>
      </c>
      <c r="Z97" s="111">
        <v>7</v>
      </c>
      <c r="AA97" s="51">
        <v>8.4</v>
      </c>
      <c r="AB97" s="51">
        <v>9</v>
      </c>
      <c r="AC97" s="51">
        <v>8</v>
      </c>
      <c r="AD97" s="51">
        <v>9.6</v>
      </c>
      <c r="AE97" s="51">
        <v>9</v>
      </c>
      <c r="AF97" s="51">
        <v>7</v>
      </c>
      <c r="AG97" s="51">
        <v>7.4</v>
      </c>
      <c r="AH97" s="51">
        <v>7</v>
      </c>
      <c r="AI97" s="51">
        <v>9.1999999999999993</v>
      </c>
      <c r="AJ97" s="51"/>
      <c r="AK97" s="51"/>
      <c r="AL97" s="51"/>
      <c r="AM97" s="51"/>
      <c r="AN97" s="51"/>
      <c r="AO97" s="51"/>
      <c r="AP97" s="88">
        <f t="shared" si="6"/>
        <v>24</v>
      </c>
      <c r="AQ97" s="89">
        <f t="shared" si="7"/>
        <v>8.4</v>
      </c>
      <c r="AR97" s="89">
        <f>IFERROR(VLOOKUP(A97,Climatologia!A:U,9+$E$2,FALSE),"")</f>
        <v>8.3150202936469455</v>
      </c>
      <c r="AS97" s="89">
        <f t="shared" si="8"/>
        <v>8.4979706353054851E-2</v>
      </c>
      <c r="AT97" s="90">
        <f t="shared" si="9"/>
        <v>6.3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7" s="92">
        <f t="shared" si="10"/>
        <v>2.6999999999999997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/>
      <c r="L98" s="51"/>
      <c r="M98" s="51"/>
      <c r="N98" s="51">
        <v>6.2</v>
      </c>
      <c r="O98" s="51">
        <v>9.6</v>
      </c>
      <c r="P98" s="51">
        <v>12.8</v>
      </c>
      <c r="Q98" s="51">
        <v>9.4</v>
      </c>
      <c r="R98" s="51">
        <v>9.6</v>
      </c>
      <c r="S98" s="51">
        <v>10.199999999999999</v>
      </c>
      <c r="T98" s="51">
        <v>8.6</v>
      </c>
      <c r="U98" s="51">
        <v>5.2</v>
      </c>
      <c r="V98" s="51">
        <v>9.4</v>
      </c>
      <c r="W98" s="51">
        <v>5.2</v>
      </c>
      <c r="X98" s="51">
        <v>8.6</v>
      </c>
      <c r="Y98" s="51">
        <v>12.8</v>
      </c>
      <c r="Z98" s="111">
        <v>4.2</v>
      </c>
      <c r="AA98" s="51">
        <v>5.8</v>
      </c>
      <c r="AB98" s="51">
        <v>5.4</v>
      </c>
      <c r="AC98" s="51"/>
      <c r="AD98" s="51"/>
      <c r="AE98" s="51">
        <v>9.8000000000000007</v>
      </c>
      <c r="AF98" s="51">
        <v>8.1999999999999993</v>
      </c>
      <c r="AG98" s="51">
        <v>10</v>
      </c>
      <c r="AH98" s="51">
        <v>5</v>
      </c>
      <c r="AI98" s="51">
        <v>3</v>
      </c>
      <c r="AJ98" s="51"/>
      <c r="AK98" s="51"/>
      <c r="AL98" s="51"/>
      <c r="AM98" s="51"/>
      <c r="AN98" s="51"/>
      <c r="AO98" s="51"/>
      <c r="AP98" s="88">
        <f t="shared" si="6"/>
        <v>20</v>
      </c>
      <c r="AQ98" s="89">
        <f t="shared" si="7"/>
        <v>7.95</v>
      </c>
      <c r="AR98" s="89">
        <f>IFERROR(VLOOKUP(A98,Climatologia!A:U,9+$E$2,FALSE),"")</f>
        <v>6.6085478664622164</v>
      </c>
      <c r="AS98" s="89">
        <f t="shared" si="8"/>
        <v>1.3414521335377838</v>
      </c>
      <c r="AT98" s="90">
        <f t="shared" si="9"/>
        <v>3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-1.4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4.4000000000000004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</v>
      </c>
      <c r="L99" s="51">
        <v>7.2</v>
      </c>
      <c r="M99" s="51">
        <v>10.199999999999999</v>
      </c>
      <c r="N99" s="51"/>
      <c r="O99" s="51">
        <v>10.199999999999999</v>
      </c>
      <c r="P99" s="51">
        <v>10</v>
      </c>
      <c r="Q99" s="51">
        <v>10.199999999999999</v>
      </c>
      <c r="R99" s="51">
        <v>10.199999999999999</v>
      </c>
      <c r="S99" s="51">
        <v>9.8000000000000007</v>
      </c>
      <c r="T99" s="51">
        <v>8.8000000000000007</v>
      </c>
      <c r="U99" s="51"/>
      <c r="V99" s="51"/>
      <c r="W99" s="51"/>
      <c r="X99" s="51">
        <v>6.4</v>
      </c>
      <c r="Y99" s="51">
        <v>10.4</v>
      </c>
      <c r="Z99" s="111">
        <v>7.8</v>
      </c>
      <c r="AA99" s="51">
        <v>8.6</v>
      </c>
      <c r="AB99" s="51">
        <v>6.4</v>
      </c>
      <c r="AC99" s="51">
        <v>10.199999999999999</v>
      </c>
      <c r="AD99" s="51">
        <v>11</v>
      </c>
      <c r="AE99" s="51">
        <v>9.1999999999999993</v>
      </c>
      <c r="AF99" s="51">
        <v>10.199999999999999</v>
      </c>
      <c r="AG99" s="51">
        <v>10.4</v>
      </c>
      <c r="AH99" s="51">
        <v>9.1999999999999993</v>
      </c>
      <c r="AI99" s="51">
        <v>5</v>
      </c>
      <c r="AJ99" s="51"/>
      <c r="AK99" s="51"/>
      <c r="AL99" s="51"/>
      <c r="AM99" s="51"/>
      <c r="AN99" s="51"/>
      <c r="AO99" s="51"/>
      <c r="AP99" s="88">
        <f t="shared" si="6"/>
        <v>21</v>
      </c>
      <c r="AQ99" s="89">
        <f t="shared" si="7"/>
        <v>9.1142857142857139</v>
      </c>
      <c r="AR99" s="89">
        <f>IFERROR(VLOOKUP(A99,Climatologia!A:U,9+$E$2,FALSE),"")</f>
        <v>8.6035988588983976</v>
      </c>
      <c r="AS99" s="89">
        <f t="shared" si="8"/>
        <v>0.51068685538731629</v>
      </c>
      <c r="AT99" s="90">
        <f t="shared" si="9"/>
        <v>5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1.8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9" s="92">
        <f t="shared" si="10"/>
        <v>3.2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9.6</v>
      </c>
      <c r="L100" s="51">
        <v>7.8</v>
      </c>
      <c r="M100" s="51">
        <v>9</v>
      </c>
      <c r="N100" s="51">
        <v>8</v>
      </c>
      <c r="O100" s="51">
        <v>8.1999999999999993</v>
      </c>
      <c r="P100" s="51"/>
      <c r="Q100" s="51">
        <v>9</v>
      </c>
      <c r="R100" s="51">
        <v>9.1999999999999993</v>
      </c>
      <c r="S100" s="51">
        <v>8.8000000000000007</v>
      </c>
      <c r="T100" s="51">
        <v>9.4</v>
      </c>
      <c r="U100" s="51">
        <v>8</v>
      </c>
      <c r="V100" s="51">
        <v>8.8000000000000007</v>
      </c>
      <c r="W100" s="51">
        <v>5.2</v>
      </c>
      <c r="X100" s="51">
        <v>5.2</v>
      </c>
      <c r="Y100" s="51">
        <v>10.199999999999999</v>
      </c>
      <c r="Z100" s="111">
        <v>7.2</v>
      </c>
      <c r="AA100" s="51">
        <v>8.1999999999999993</v>
      </c>
      <c r="AB100" s="51">
        <v>8.1999999999999993</v>
      </c>
      <c r="AC100" s="51">
        <v>8</v>
      </c>
      <c r="AD100" s="51">
        <v>7.8</v>
      </c>
      <c r="AE100" s="51">
        <v>7.6</v>
      </c>
      <c r="AF100" s="51">
        <v>6.6</v>
      </c>
      <c r="AG100" s="51">
        <v>7</v>
      </c>
      <c r="AH100" s="51">
        <v>9.1999999999999993</v>
      </c>
      <c r="AI100" s="51">
        <v>5.6</v>
      </c>
      <c r="AJ100" s="51"/>
      <c r="AK100" s="51"/>
      <c r="AL100" s="51"/>
      <c r="AM100" s="51"/>
      <c r="AN100" s="51"/>
      <c r="AO100" s="51"/>
      <c r="AP100" s="88">
        <f t="shared" si="6"/>
        <v>24</v>
      </c>
      <c r="AQ100" s="89">
        <f t="shared" si="7"/>
        <v>7.9916666666666663</v>
      </c>
      <c r="AR100" s="89">
        <f>IFERROR(VLOOKUP(A100,Climatologia!A:U,9+$E$2,FALSE),"")</f>
        <v>7.1380787981158749</v>
      </c>
      <c r="AS100" s="89">
        <f t="shared" si="8"/>
        <v>0.85358786855079138</v>
      </c>
      <c r="AT100" s="90">
        <f t="shared" si="9"/>
        <v>5.2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17.58747112704102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12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10.726671292953201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5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12.2</v>
      </c>
      <c r="L103" s="51">
        <v>12</v>
      </c>
      <c r="M103" s="51">
        <v>12</v>
      </c>
      <c r="N103" s="51">
        <v>12</v>
      </c>
      <c r="O103" s="51">
        <v>12.4</v>
      </c>
      <c r="P103" s="51">
        <v>12</v>
      </c>
      <c r="Q103" s="51"/>
      <c r="R103" s="51"/>
      <c r="S103" s="51">
        <v>12</v>
      </c>
      <c r="T103" s="51">
        <v>12.6</v>
      </c>
      <c r="U103" s="51">
        <v>10.8</v>
      </c>
      <c r="V103" s="51">
        <v>12</v>
      </c>
      <c r="W103" s="51">
        <v>11</v>
      </c>
      <c r="X103" s="51">
        <v>11.2</v>
      </c>
      <c r="Y103" s="51">
        <v>12</v>
      </c>
      <c r="Z103" s="111">
        <v>11</v>
      </c>
      <c r="AA103" s="51">
        <v>11.2</v>
      </c>
      <c r="AB103" s="51">
        <v>11</v>
      </c>
      <c r="AC103" s="51">
        <v>14</v>
      </c>
      <c r="AD103" s="51">
        <v>14</v>
      </c>
      <c r="AE103" s="51">
        <v>14.8</v>
      </c>
      <c r="AF103" s="51">
        <v>11.2</v>
      </c>
      <c r="AG103" s="51">
        <v>12.8</v>
      </c>
      <c r="AH103" s="51">
        <v>10.199999999999999</v>
      </c>
      <c r="AI103" s="51">
        <v>11</v>
      </c>
      <c r="AJ103" s="51"/>
      <c r="AK103" s="51"/>
      <c r="AL103" s="51"/>
      <c r="AM103" s="51"/>
      <c r="AN103" s="51"/>
      <c r="AO103" s="51"/>
      <c r="AP103" s="88">
        <f t="shared" si="6"/>
        <v>23</v>
      </c>
      <c r="AQ103" s="89">
        <f t="shared" si="7"/>
        <v>11.973913043478261</v>
      </c>
      <c r="AR103" s="89">
        <f>IFERROR(VLOOKUP(A103,Climatologia!A:U,9+$E$2,FALSE),"")</f>
        <v>11.27595769595214</v>
      </c>
      <c r="AS103" s="89">
        <f t="shared" si="8"/>
        <v>0.69795534752612021</v>
      </c>
      <c r="AT103" s="90">
        <f t="shared" si="9"/>
        <v>10.199999999999999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3" s="92">
        <f t="shared" si="10"/>
        <v>3.5999999999999996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7.8</v>
      </c>
      <c r="L104" s="109">
        <v>3.6</v>
      </c>
      <c r="M104" s="51"/>
      <c r="N104" s="51">
        <v>7</v>
      </c>
      <c r="O104" s="51"/>
      <c r="P104" s="51">
        <v>7.2</v>
      </c>
      <c r="Q104" s="51">
        <v>6.8</v>
      </c>
      <c r="R104" s="51">
        <v>7.4</v>
      </c>
      <c r="S104" s="51"/>
      <c r="T104" s="51"/>
      <c r="U104" s="51">
        <v>3.2</v>
      </c>
      <c r="V104" s="51"/>
      <c r="W104" s="51"/>
      <c r="X104" s="51">
        <v>4.2</v>
      </c>
      <c r="Y104" s="51">
        <v>7.2</v>
      </c>
      <c r="Z104" s="111">
        <v>1.4</v>
      </c>
      <c r="AA104" s="51">
        <v>2</v>
      </c>
      <c r="AB104" s="51">
        <v>3</v>
      </c>
      <c r="AC104" s="51">
        <v>7.8</v>
      </c>
      <c r="AD104" s="51">
        <v>8.6</v>
      </c>
      <c r="AE104" s="51">
        <v>6.2</v>
      </c>
      <c r="AF104" s="51">
        <v>3.8</v>
      </c>
      <c r="AG104" s="51">
        <v>8.8000000000000007</v>
      </c>
      <c r="AH104" s="51">
        <v>3</v>
      </c>
      <c r="AI104" s="51"/>
      <c r="AJ104" s="51"/>
      <c r="AK104" s="51"/>
      <c r="AL104" s="51"/>
      <c r="AM104" s="51"/>
      <c r="AN104" s="51"/>
      <c r="AO104" s="51"/>
      <c r="AP104" s="88">
        <f t="shared" si="6"/>
        <v>18</v>
      </c>
      <c r="AQ104" s="89">
        <f t="shared" si="7"/>
        <v>5.5</v>
      </c>
      <c r="AR104" s="89">
        <f>IFERROR(VLOOKUP(A104,Climatologia!A:U,9+$E$2,FALSE),"")</f>
        <v>5.4140939864595783</v>
      </c>
      <c r="AS104" s="89">
        <f t="shared" si="8"/>
        <v>8.5906013540421711E-2</v>
      </c>
      <c r="AT104" s="90">
        <f t="shared" si="9"/>
        <v>1.4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4" s="92">
        <f t="shared" si="10"/>
        <v>2.4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4.2</v>
      </c>
      <c r="L105" s="51">
        <v>4.2</v>
      </c>
      <c r="M105" s="51">
        <v>6.8</v>
      </c>
      <c r="N105" s="51">
        <v>8.1999999999999993</v>
      </c>
      <c r="O105" s="51">
        <v>8.1999999999999993</v>
      </c>
      <c r="P105" s="51">
        <v>8</v>
      </c>
      <c r="Q105" s="51">
        <v>7.6</v>
      </c>
      <c r="R105" s="51">
        <v>9.1999999999999993</v>
      </c>
      <c r="S105" s="51">
        <v>9</v>
      </c>
      <c r="T105" s="51">
        <v>6.4</v>
      </c>
      <c r="U105" s="51">
        <v>4.4000000000000004</v>
      </c>
      <c r="V105" s="51">
        <v>4.2</v>
      </c>
      <c r="W105" s="51">
        <v>4.2</v>
      </c>
      <c r="X105" s="51">
        <v>4.8</v>
      </c>
      <c r="Y105" s="51">
        <v>10</v>
      </c>
      <c r="Z105" s="111">
        <v>5.2</v>
      </c>
      <c r="AA105" s="51">
        <v>5.2</v>
      </c>
      <c r="AB105" s="51">
        <v>4.2</v>
      </c>
      <c r="AC105" s="51">
        <v>8.4</v>
      </c>
      <c r="AD105" s="51">
        <v>5.5</v>
      </c>
      <c r="AE105" s="51">
        <v>8</v>
      </c>
      <c r="AF105" s="51">
        <v>6.4</v>
      </c>
      <c r="AG105" s="51">
        <v>9.8000000000000007</v>
      </c>
      <c r="AH105" s="51">
        <v>4.4000000000000004</v>
      </c>
      <c r="AI105" s="51">
        <v>1.6</v>
      </c>
      <c r="AJ105" s="51"/>
      <c r="AK105" s="51"/>
      <c r="AL105" s="51"/>
      <c r="AM105" s="51"/>
      <c r="AN105" s="51"/>
      <c r="AO105" s="51"/>
      <c r="AP105" s="88">
        <f t="shared" si="6"/>
        <v>25</v>
      </c>
      <c r="AQ105" s="89">
        <f t="shared" si="7"/>
        <v>6.3240000000000016</v>
      </c>
      <c r="AR105" s="89">
        <f>IFERROR(VLOOKUP(A105,Climatologia!A:U,9+$E$2,FALSE),"")</f>
        <v>6.7483058935476308</v>
      </c>
      <c r="AS105" s="89">
        <f t="shared" si="8"/>
        <v>-0.42430589354762915</v>
      </c>
      <c r="AT105" s="90">
        <f t="shared" si="9"/>
        <v>1.6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-1.4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5" s="92">
        <f t="shared" si="10"/>
        <v>3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11.2</v>
      </c>
      <c r="L106" s="51">
        <v>11.4</v>
      </c>
      <c r="M106" s="51">
        <v>11.2</v>
      </c>
      <c r="N106" s="51">
        <v>11</v>
      </c>
      <c r="O106" s="51">
        <v>11.2</v>
      </c>
      <c r="P106" s="51">
        <v>11.2</v>
      </c>
      <c r="Q106" s="51">
        <v>11</v>
      </c>
      <c r="R106" s="51">
        <v>11.8</v>
      </c>
      <c r="S106" s="51">
        <v>12.6</v>
      </c>
      <c r="T106" s="51">
        <v>11.2</v>
      </c>
      <c r="U106" s="51">
        <v>10.4</v>
      </c>
      <c r="V106" s="51">
        <v>11.4</v>
      </c>
      <c r="W106" s="51">
        <v>9.8000000000000007</v>
      </c>
      <c r="X106" s="51">
        <v>11.4</v>
      </c>
      <c r="Y106" s="51">
        <v>11.4</v>
      </c>
      <c r="Z106" s="111">
        <v>10.6</v>
      </c>
      <c r="AA106" s="51">
        <v>10.6</v>
      </c>
      <c r="AB106" s="51">
        <v>10.4</v>
      </c>
      <c r="AC106" s="51">
        <v>10.6</v>
      </c>
      <c r="AD106" s="51">
        <v>10.4</v>
      </c>
      <c r="AE106" s="51">
        <v>11</v>
      </c>
      <c r="AF106" s="51">
        <v>11</v>
      </c>
      <c r="AG106" s="51">
        <v>11.2</v>
      </c>
      <c r="AH106" s="51">
        <v>10.199999999999999</v>
      </c>
      <c r="AI106" s="51">
        <v>9</v>
      </c>
      <c r="AJ106" s="51"/>
      <c r="AK106" s="51"/>
      <c r="AL106" s="51"/>
      <c r="AM106" s="51"/>
      <c r="AN106" s="51"/>
      <c r="AO106" s="51"/>
      <c r="AP106" s="88">
        <f t="shared" si="6"/>
        <v>25</v>
      </c>
      <c r="AQ106" s="89">
        <f t="shared" si="7"/>
        <v>10.927999999999999</v>
      </c>
      <c r="AR106" s="89">
        <f>IFERROR(VLOOKUP(A106,Climatologia!A:U,9+$E$2,FALSE),"")</f>
        <v>10.11868743047831</v>
      </c>
      <c r="AS106" s="89">
        <f t="shared" si="8"/>
        <v>0.80931256952168873</v>
      </c>
      <c r="AT106" s="90">
        <f t="shared" si="9"/>
        <v>9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4.2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6" s="92">
        <f t="shared" si="10"/>
        <v>4.8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14.2</v>
      </c>
      <c r="L107" s="51">
        <v>14</v>
      </c>
      <c r="M107" s="51">
        <v>14.2</v>
      </c>
      <c r="N107" s="51">
        <v>14.6</v>
      </c>
      <c r="O107" s="51">
        <v>14.2</v>
      </c>
      <c r="P107" s="51">
        <v>13.2</v>
      </c>
      <c r="Q107" s="51">
        <v>14.8</v>
      </c>
      <c r="R107" s="51">
        <v>14.8</v>
      </c>
      <c r="S107" s="51">
        <v>15.6</v>
      </c>
      <c r="T107" s="51">
        <v>13</v>
      </c>
      <c r="U107" s="51">
        <v>13.6</v>
      </c>
      <c r="V107" s="51">
        <v>13.2</v>
      </c>
      <c r="W107" s="51">
        <v>12.8</v>
      </c>
      <c r="X107" s="51">
        <v>14</v>
      </c>
      <c r="Y107" s="51">
        <v>14.4</v>
      </c>
      <c r="Z107" s="111">
        <v>14.8</v>
      </c>
      <c r="AA107" s="51">
        <v>15</v>
      </c>
      <c r="AB107" s="51">
        <v>15.2</v>
      </c>
      <c r="AC107" s="51">
        <v>14</v>
      </c>
      <c r="AD107" s="51">
        <v>15.8</v>
      </c>
      <c r="AE107" s="51">
        <v>14.6</v>
      </c>
      <c r="AF107" s="51">
        <v>14.2</v>
      </c>
      <c r="AG107" s="51">
        <v>14</v>
      </c>
      <c r="AH107" s="51">
        <v>13.2</v>
      </c>
      <c r="AI107" s="51">
        <v>12.6</v>
      </c>
      <c r="AJ107" s="51"/>
      <c r="AK107" s="51"/>
      <c r="AL107" s="51"/>
      <c r="AM107" s="51"/>
      <c r="AN107" s="51"/>
      <c r="AO107" s="51"/>
      <c r="AP107" s="88">
        <f t="shared" si="6"/>
        <v>25</v>
      </c>
      <c r="AQ107" s="89">
        <f t="shared" si="7"/>
        <v>14.160000000000002</v>
      </c>
      <c r="AR107" s="89">
        <f>IFERROR(VLOOKUP(A107,Climatologia!A:U,9+$E$2,FALSE),"")</f>
        <v>13.701938132316331</v>
      </c>
      <c r="AS107" s="89">
        <f t="shared" si="8"/>
        <v>0.45806186768367141</v>
      </c>
      <c r="AT107" s="90">
        <f t="shared" si="9"/>
        <v>12.6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7" s="92">
        <f t="shared" si="10"/>
        <v>5.3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12.4</v>
      </c>
      <c r="L108" s="51">
        <v>11.4</v>
      </c>
      <c r="M108" s="51">
        <v>13</v>
      </c>
      <c r="N108" s="51">
        <v>12.8</v>
      </c>
      <c r="O108" s="51">
        <v>13.6</v>
      </c>
      <c r="P108" s="51">
        <v>13.2</v>
      </c>
      <c r="Q108" s="51">
        <v>14.1</v>
      </c>
      <c r="R108" s="51">
        <v>12.6</v>
      </c>
      <c r="S108" s="51">
        <v>13.8</v>
      </c>
      <c r="T108" s="51">
        <v>11.8</v>
      </c>
      <c r="U108" s="51">
        <v>11.4</v>
      </c>
      <c r="V108" s="51">
        <v>12.6</v>
      </c>
      <c r="W108" s="51">
        <v>12</v>
      </c>
      <c r="X108" s="51">
        <v>10.8</v>
      </c>
      <c r="Y108" s="51">
        <v>13.2</v>
      </c>
      <c r="Z108" s="111">
        <v>13.8</v>
      </c>
      <c r="AA108" s="51">
        <v>11.4</v>
      </c>
      <c r="AB108" s="51">
        <v>9.8000000000000007</v>
      </c>
      <c r="AC108" s="51">
        <v>12</v>
      </c>
      <c r="AD108" s="51">
        <v>13.6</v>
      </c>
      <c r="AE108" s="51">
        <v>12.8</v>
      </c>
      <c r="AF108" s="51">
        <v>13.6</v>
      </c>
      <c r="AG108" s="51">
        <v>13</v>
      </c>
      <c r="AH108" s="51">
        <v>12.2</v>
      </c>
      <c r="AI108" s="51">
        <v>9</v>
      </c>
      <c r="AJ108" s="51"/>
      <c r="AK108" s="51"/>
      <c r="AL108" s="51"/>
      <c r="AM108" s="51"/>
      <c r="AN108" s="51"/>
      <c r="AO108" s="51"/>
      <c r="AP108" s="88">
        <f t="shared" si="6"/>
        <v>25</v>
      </c>
      <c r="AQ108" s="89">
        <f t="shared" si="7"/>
        <v>12.396000000000001</v>
      </c>
      <c r="AR108" s="89">
        <f>IFERROR(VLOOKUP(A108,Climatologia!A:U,9+$E$2,FALSE),"")</f>
        <v>11.932798761909369</v>
      </c>
      <c r="AS108" s="89">
        <f t="shared" si="8"/>
        <v>0.46320123809063141</v>
      </c>
      <c r="AT108" s="90">
        <f t="shared" si="9"/>
        <v>9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6.2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8" s="92">
        <f t="shared" si="10"/>
        <v>2.8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14.6</v>
      </c>
      <c r="L109" s="51">
        <v>14.8</v>
      </c>
      <c r="M109" s="51">
        <v>14.4</v>
      </c>
      <c r="N109" s="51">
        <v>14.6</v>
      </c>
      <c r="O109" s="51">
        <v>14</v>
      </c>
      <c r="P109" s="51">
        <v>13.2</v>
      </c>
      <c r="Q109" s="51">
        <v>15</v>
      </c>
      <c r="R109" s="51">
        <v>14.4</v>
      </c>
      <c r="S109" s="51">
        <v>16.399999999999999</v>
      </c>
      <c r="T109" s="51">
        <v>13</v>
      </c>
      <c r="U109" s="51">
        <v>14</v>
      </c>
      <c r="V109" s="51">
        <v>15.4</v>
      </c>
      <c r="W109" s="51">
        <v>13.4</v>
      </c>
      <c r="X109" s="51">
        <v>14</v>
      </c>
      <c r="Y109" s="51">
        <v>15.2</v>
      </c>
      <c r="Z109" s="111">
        <v>15.4</v>
      </c>
      <c r="AA109" s="51">
        <v>15.8</v>
      </c>
      <c r="AB109" s="51">
        <v>16</v>
      </c>
      <c r="AC109" s="51">
        <v>14.6</v>
      </c>
      <c r="AD109" s="51">
        <v>15.8</v>
      </c>
      <c r="AE109" s="51">
        <v>14</v>
      </c>
      <c r="AF109" s="51">
        <v>14.6</v>
      </c>
      <c r="AG109" s="51">
        <v>14.2</v>
      </c>
      <c r="AH109" s="51">
        <v>13</v>
      </c>
      <c r="AI109" s="51">
        <v>12.8</v>
      </c>
      <c r="AJ109" s="51"/>
      <c r="AK109" s="51"/>
      <c r="AL109" s="51"/>
      <c r="AM109" s="51"/>
      <c r="AN109" s="51"/>
      <c r="AO109" s="51"/>
      <c r="AP109" s="88">
        <f t="shared" si="6"/>
        <v>25</v>
      </c>
      <c r="AQ109" s="89">
        <f t="shared" si="7"/>
        <v>14.504000000000003</v>
      </c>
      <c r="AR109" s="89">
        <f>IFERROR(VLOOKUP(A109,Climatologia!A:U,9+$E$2,FALSE),"")</f>
        <v>13.551301836348379</v>
      </c>
      <c r="AS109" s="89">
        <f t="shared" si="8"/>
        <v>0.95269816365162363</v>
      </c>
      <c r="AT109" s="90">
        <f t="shared" si="9"/>
        <v>12.8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9" s="92">
        <f t="shared" si="10"/>
        <v>3.4000000000000004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15.2</v>
      </c>
      <c r="L110" s="51">
        <v>15.6</v>
      </c>
      <c r="M110" s="51">
        <v>15.4</v>
      </c>
      <c r="N110" s="51">
        <v>15.8</v>
      </c>
      <c r="O110" s="51">
        <v>15.8</v>
      </c>
      <c r="P110" s="51">
        <v>15.4</v>
      </c>
      <c r="Q110" s="51">
        <v>15.4</v>
      </c>
      <c r="R110" s="51">
        <v>15.6</v>
      </c>
      <c r="S110" s="51">
        <v>16.600000000000001</v>
      </c>
      <c r="T110" s="51">
        <v>14.6</v>
      </c>
      <c r="U110" s="51">
        <v>14.6</v>
      </c>
      <c r="V110" s="51">
        <v>16.2</v>
      </c>
      <c r="W110" s="51">
        <v>14.2</v>
      </c>
      <c r="X110" s="51">
        <v>15.2</v>
      </c>
      <c r="Y110" s="51">
        <v>15.2</v>
      </c>
      <c r="Z110" s="111">
        <v>16.8</v>
      </c>
      <c r="AA110" s="51">
        <v>16.8</v>
      </c>
      <c r="AB110" s="51">
        <v>16.399999999999999</v>
      </c>
      <c r="AC110" s="51">
        <v>15.6</v>
      </c>
      <c r="AD110" s="51">
        <v>16.399999999999999</v>
      </c>
      <c r="AE110" s="51">
        <v>15.6</v>
      </c>
      <c r="AF110" s="51">
        <v>16.2</v>
      </c>
      <c r="AG110" s="51">
        <v>14.8</v>
      </c>
      <c r="AH110" s="51">
        <v>13.6</v>
      </c>
      <c r="AI110" s="51">
        <v>15</v>
      </c>
      <c r="AJ110" s="51"/>
      <c r="AK110" s="51"/>
      <c r="AL110" s="51"/>
      <c r="AM110" s="51"/>
      <c r="AN110" s="51"/>
      <c r="AO110" s="51"/>
      <c r="AP110" s="88">
        <f t="shared" si="6"/>
        <v>25</v>
      </c>
      <c r="AQ110" s="89">
        <f t="shared" si="7"/>
        <v>15.52</v>
      </c>
      <c r="AR110" s="89">
        <f>IFERROR(VLOOKUP(A110,Climatologia!A:U,9+$E$2,FALSE),"")</f>
        <v>13.61231765453679</v>
      </c>
      <c r="AS110" s="89">
        <f t="shared" si="8"/>
        <v>1.9076823454632095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10" s="92">
        <f t="shared" si="10"/>
        <v>5.6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18.2</v>
      </c>
      <c r="L111" s="51">
        <v>18.399999999999999</v>
      </c>
      <c r="M111" s="51">
        <v>17.600000000000001</v>
      </c>
      <c r="N111" s="51">
        <v>18.2</v>
      </c>
      <c r="O111" s="51"/>
      <c r="P111" s="51"/>
      <c r="Q111" s="51">
        <v>19.2</v>
      </c>
      <c r="R111" s="51">
        <v>17.8</v>
      </c>
      <c r="S111" s="51">
        <v>19.600000000000001</v>
      </c>
      <c r="T111" s="51">
        <v>16.600000000000001</v>
      </c>
      <c r="U111" s="51">
        <v>18</v>
      </c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>
        <v>16.2</v>
      </c>
      <c r="AI111" s="51">
        <v>18.2</v>
      </c>
      <c r="AJ111" s="51"/>
      <c r="AK111" s="51"/>
      <c r="AL111" s="51"/>
      <c r="AM111" s="51"/>
      <c r="AN111" s="51"/>
      <c r="AO111" s="51"/>
      <c r="AP111" s="88">
        <f t="shared" si="6"/>
        <v>11</v>
      </c>
      <c r="AQ111" s="89" t="str">
        <f t="shared" si="7"/>
        <v/>
      </c>
      <c r="AR111" s="89">
        <f>IFERROR(VLOOKUP(A111,Climatologia!A:U,9+$E$2,FALSE),"")</f>
        <v>16.896189639584598</v>
      </c>
      <c r="AS111" s="89" t="str">
        <f t="shared" si="8"/>
        <v/>
      </c>
      <c r="AT111" s="90">
        <f t="shared" si="9"/>
        <v>16.2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1" s="92">
        <f t="shared" si="10"/>
        <v>5.1999999999999993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22.4</v>
      </c>
      <c r="L112" s="51">
        <v>22.8</v>
      </c>
      <c r="M112" s="51">
        <v>22.8</v>
      </c>
      <c r="N112" s="51">
        <v>23.2</v>
      </c>
      <c r="O112" s="51">
        <v>22.1</v>
      </c>
      <c r="P112" s="51">
        <v>22.8</v>
      </c>
      <c r="Q112" s="51">
        <v>22.8</v>
      </c>
      <c r="R112" s="51">
        <v>23.4</v>
      </c>
      <c r="S112" s="51">
        <v>23.8</v>
      </c>
      <c r="T112" s="51">
        <v>21.8</v>
      </c>
      <c r="U112" s="51">
        <v>22</v>
      </c>
      <c r="V112" s="51">
        <v>22.4</v>
      </c>
      <c r="W112" s="51">
        <v>22.2</v>
      </c>
      <c r="X112" s="51">
        <v>24.2</v>
      </c>
      <c r="Y112" s="51">
        <v>24</v>
      </c>
      <c r="Z112" s="111">
        <v>24</v>
      </c>
      <c r="AA112" s="51">
        <v>24.4</v>
      </c>
      <c r="AB112" s="51">
        <v>24.4</v>
      </c>
      <c r="AC112" s="51">
        <v>22.6</v>
      </c>
      <c r="AD112" s="51">
        <v>21.9</v>
      </c>
      <c r="AE112" s="51">
        <v>22.6</v>
      </c>
      <c r="AF112" s="51">
        <v>23.6</v>
      </c>
      <c r="AG112" s="51">
        <v>23.2</v>
      </c>
      <c r="AH112" s="51">
        <v>21</v>
      </c>
      <c r="AI112" s="51">
        <v>23.2</v>
      </c>
      <c r="AJ112" s="51"/>
      <c r="AK112" s="51"/>
      <c r="AL112" s="51"/>
      <c r="AM112" s="51"/>
      <c r="AN112" s="51"/>
      <c r="AO112" s="51"/>
      <c r="AP112" s="88">
        <f t="shared" si="6"/>
        <v>25</v>
      </c>
      <c r="AQ112" s="89">
        <f t="shared" si="7"/>
        <v>22.944000000000006</v>
      </c>
      <c r="AR112" s="89">
        <f>IFERROR(VLOOKUP(A112,Climatologia!A:U,9+$E$2,FALSE),"")</f>
        <v>22.231405456385989</v>
      </c>
      <c r="AS112" s="89">
        <f t="shared" si="8"/>
        <v>0.71259454361401708</v>
      </c>
      <c r="AT112" s="90">
        <f t="shared" si="9"/>
        <v>21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16.5</v>
      </c>
      <c r="L113" s="51">
        <v>14.8</v>
      </c>
      <c r="M113" s="51">
        <v>16.8</v>
      </c>
      <c r="N113" s="51">
        <v>14.6</v>
      </c>
      <c r="O113" s="51">
        <v>16</v>
      </c>
      <c r="P113" s="51">
        <v>14.6</v>
      </c>
      <c r="Q113" s="51">
        <v>14.4</v>
      </c>
      <c r="R113" s="51">
        <v>14.8</v>
      </c>
      <c r="S113" s="51">
        <v>14.6</v>
      </c>
      <c r="T113" s="51"/>
      <c r="U113" s="51">
        <v>15.8</v>
      </c>
      <c r="V113" s="51">
        <v>14.6</v>
      </c>
      <c r="W113" s="51">
        <v>14.4</v>
      </c>
      <c r="X113" s="51">
        <v>14.2</v>
      </c>
      <c r="Y113" s="51">
        <v>14.2</v>
      </c>
      <c r="Z113" s="111">
        <v>15.4</v>
      </c>
      <c r="AA113" s="51">
        <v>14.6</v>
      </c>
      <c r="AB113" s="51">
        <v>14.4</v>
      </c>
      <c r="AC113" s="51">
        <v>14.6</v>
      </c>
      <c r="AD113" s="51">
        <v>16.5</v>
      </c>
      <c r="AE113" s="51">
        <v>15.6</v>
      </c>
      <c r="AF113" s="51">
        <v>14.2</v>
      </c>
      <c r="AG113" s="51">
        <v>14.6</v>
      </c>
      <c r="AH113" s="51">
        <v>16.5</v>
      </c>
      <c r="AI113" s="51"/>
      <c r="AJ113" s="51"/>
      <c r="AK113" s="51"/>
      <c r="AL113" s="51"/>
      <c r="AM113" s="51"/>
      <c r="AN113" s="51"/>
      <c r="AO113" s="51"/>
      <c r="AP113" s="88">
        <f t="shared" si="6"/>
        <v>23</v>
      </c>
      <c r="AQ113" s="89">
        <f t="shared" si="7"/>
        <v>15.073913043478262</v>
      </c>
      <c r="AR113" s="89">
        <f>IFERROR(VLOOKUP(A113,Climatologia!A:U,9+$E$2,FALSE),"")</f>
        <v>15.22725499231951</v>
      </c>
      <c r="AS113" s="89">
        <f t="shared" si="8"/>
        <v>-0.15334194884124841</v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9.8000000000000007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3" s="92">
        <f t="shared" si="10"/>
        <v>4.3999999999999986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19</v>
      </c>
      <c r="M114" s="51">
        <v>19.2</v>
      </c>
      <c r="N114" s="51">
        <v>19.600000000000001</v>
      </c>
      <c r="O114" s="51">
        <v>18.600000000000001</v>
      </c>
      <c r="P114" s="51">
        <v>19.2</v>
      </c>
      <c r="Q114" s="51">
        <v>20.8</v>
      </c>
      <c r="R114" s="51">
        <v>19.600000000000001</v>
      </c>
      <c r="S114" s="51">
        <v>19</v>
      </c>
      <c r="T114" s="51">
        <v>18.600000000000001</v>
      </c>
      <c r="U114" s="51">
        <v>19</v>
      </c>
      <c r="V114" s="51">
        <v>19.600000000000001</v>
      </c>
      <c r="W114" s="51">
        <v>18.8</v>
      </c>
      <c r="X114" s="51">
        <v>20.6</v>
      </c>
      <c r="Y114" s="51">
        <v>20.399999999999999</v>
      </c>
      <c r="Z114" s="111">
        <v>20.6</v>
      </c>
      <c r="AA114" s="51">
        <v>21.2</v>
      </c>
      <c r="AB114" s="51">
        <v>21</v>
      </c>
      <c r="AC114" s="51">
        <v>18.600000000000001</v>
      </c>
      <c r="AD114" s="51">
        <v>19</v>
      </c>
      <c r="AE114" s="51">
        <v>18.8</v>
      </c>
      <c r="AF114" s="51">
        <v>24</v>
      </c>
      <c r="AG114" s="51">
        <v>19.8</v>
      </c>
      <c r="AH114" s="51">
        <v>17.8</v>
      </c>
      <c r="AI114" s="51">
        <v>19.399999999999999</v>
      </c>
      <c r="AJ114" s="51"/>
      <c r="AK114" s="51"/>
      <c r="AL114" s="51"/>
      <c r="AM114" s="51"/>
      <c r="AN114" s="51"/>
      <c r="AO114" s="51"/>
      <c r="AP114" s="88">
        <f t="shared" si="6"/>
        <v>25</v>
      </c>
      <c r="AQ114" s="89">
        <f t="shared" si="7"/>
        <v>19.672000000000001</v>
      </c>
      <c r="AR114" s="89">
        <f>IFERROR(VLOOKUP(A114,Climatologia!A:U,9+$E$2,FALSE),"")</f>
        <v>21.8744421098889</v>
      </c>
      <c r="AS114" s="89">
        <f t="shared" si="8"/>
        <v>-2.2024421098888993</v>
      </c>
      <c r="AT114" s="90">
        <f t="shared" si="9"/>
        <v>17.8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17.8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22.4</v>
      </c>
      <c r="L115" s="51">
        <v>22</v>
      </c>
      <c r="M115" s="51">
        <v>22.8</v>
      </c>
      <c r="N115" s="51">
        <v>23</v>
      </c>
      <c r="O115" s="51">
        <v>22.2</v>
      </c>
      <c r="P115" s="51">
        <v>22.4</v>
      </c>
      <c r="Q115" s="51">
        <v>23.8</v>
      </c>
      <c r="R115" s="51">
        <v>23.4</v>
      </c>
      <c r="S115" s="51">
        <v>22.8</v>
      </c>
      <c r="T115" s="51">
        <v>23</v>
      </c>
      <c r="U115" s="51">
        <v>23.4</v>
      </c>
      <c r="V115" s="51">
        <v>23.2</v>
      </c>
      <c r="W115" s="51">
        <v>22.8</v>
      </c>
      <c r="X115" s="51">
        <v>24</v>
      </c>
      <c r="Y115" s="51">
        <v>23.6</v>
      </c>
      <c r="Z115" s="111">
        <v>22.8</v>
      </c>
      <c r="AA115" s="51">
        <v>23.8</v>
      </c>
      <c r="AB115" s="51">
        <v>25</v>
      </c>
      <c r="AC115" s="51">
        <v>22.4</v>
      </c>
      <c r="AD115" s="51">
        <v>21.6</v>
      </c>
      <c r="AE115" s="51">
        <v>23</v>
      </c>
      <c r="AF115" s="51">
        <v>23.2</v>
      </c>
      <c r="AG115" s="51">
        <v>23</v>
      </c>
      <c r="AH115" s="51">
        <v>21.4</v>
      </c>
      <c r="AI115" s="51">
        <v>24</v>
      </c>
      <c r="AJ115" s="51"/>
      <c r="AK115" s="51"/>
      <c r="AL115" s="51"/>
      <c r="AM115" s="51"/>
      <c r="AN115" s="51"/>
      <c r="AO115" s="51"/>
      <c r="AP115" s="88">
        <f t="shared" si="6"/>
        <v>25</v>
      </c>
      <c r="AQ115" s="89">
        <f t="shared" si="7"/>
        <v>23.000000000000004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21.4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19.399999999999999</v>
      </c>
      <c r="L116" s="51">
        <v>19.2</v>
      </c>
      <c r="M116" s="51">
        <v>20.2</v>
      </c>
      <c r="N116" s="51">
        <v>19.600000000000001</v>
      </c>
      <c r="O116" s="51">
        <v>20.399999999999999</v>
      </c>
      <c r="P116" s="51">
        <v>21.4</v>
      </c>
      <c r="Q116" s="51">
        <v>20.2</v>
      </c>
      <c r="R116" s="51">
        <v>19.399999999999999</v>
      </c>
      <c r="S116" s="51">
        <v>20.2</v>
      </c>
      <c r="T116" s="51">
        <v>20.2</v>
      </c>
      <c r="U116" s="51">
        <v>21.6</v>
      </c>
      <c r="V116" s="51">
        <v>19.2</v>
      </c>
      <c r="W116" s="51">
        <v>20.399999999999999</v>
      </c>
      <c r="X116" s="51">
        <v>19.2</v>
      </c>
      <c r="Y116" s="51">
        <v>20.2</v>
      </c>
      <c r="Z116" s="111">
        <v>21.4</v>
      </c>
      <c r="AA116" s="51">
        <v>22.4</v>
      </c>
      <c r="AB116" s="51">
        <v>20.2</v>
      </c>
      <c r="AC116" s="51">
        <v>21.2</v>
      </c>
      <c r="AD116" s="51">
        <v>20.399999999999999</v>
      </c>
      <c r="AE116" s="51">
        <v>19.2</v>
      </c>
      <c r="AF116" s="51">
        <v>22.6</v>
      </c>
      <c r="AG116" s="51">
        <v>19.2</v>
      </c>
      <c r="AH116" s="51">
        <v>20.2</v>
      </c>
      <c r="AI116" s="51">
        <v>21.4</v>
      </c>
      <c r="AJ116" s="51"/>
      <c r="AK116" s="51"/>
      <c r="AL116" s="51"/>
      <c r="AM116" s="51"/>
      <c r="AN116" s="51"/>
      <c r="AO116" s="51"/>
      <c r="AP116" s="88">
        <f t="shared" si="6"/>
        <v>25</v>
      </c>
      <c r="AQ116" s="89">
        <f t="shared" si="7"/>
        <v>20.359999999999992</v>
      </c>
      <c r="AR116" s="89">
        <f>IFERROR(VLOOKUP(A116,Climatologia!A:U,9+$E$2,FALSE),"")</f>
        <v>18.265873654442618</v>
      </c>
      <c r="AS116" s="89">
        <f t="shared" si="8"/>
        <v>2.094126345557374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16.100000000000001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6" s="92">
        <f t="shared" si="10"/>
        <v>3.0999999999999979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/>
      <c r="L117" s="51">
        <v>22</v>
      </c>
      <c r="M117" s="51">
        <v>22.4</v>
      </c>
      <c r="N117" s="51">
        <v>23</v>
      </c>
      <c r="O117" s="51">
        <v>20.8</v>
      </c>
      <c r="P117" s="51">
        <v>23</v>
      </c>
      <c r="Q117" s="51"/>
      <c r="R117" s="51"/>
      <c r="S117" s="51">
        <v>20</v>
      </c>
      <c r="T117" s="51">
        <v>20</v>
      </c>
      <c r="U117" s="51">
        <v>23.2</v>
      </c>
      <c r="V117" s="51">
        <v>23.2</v>
      </c>
      <c r="W117" s="51">
        <v>22</v>
      </c>
      <c r="X117" s="51">
        <v>22.4</v>
      </c>
      <c r="Y117" s="51">
        <v>24.4</v>
      </c>
      <c r="Z117" s="111">
        <v>24.4</v>
      </c>
      <c r="AA117" s="51">
        <v>24.2</v>
      </c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14</v>
      </c>
      <c r="AQ117" s="89" t="str">
        <f t="shared" si="7"/>
        <v/>
      </c>
      <c r="AR117" s="89">
        <f>IFERROR(VLOOKUP(A117,Climatologia!A:U,9+$E$2,FALSE),"")</f>
        <v>22.029592386602399</v>
      </c>
      <c r="AS117" s="89" t="str">
        <f t="shared" si="8"/>
        <v/>
      </c>
      <c r="AT117" s="90">
        <f t="shared" si="9"/>
        <v>20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7" s="92">
        <f t="shared" si="10"/>
        <v>1.1999999999999993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21.674986479595521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13.2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9.1999999999999993</v>
      </c>
      <c r="L119" s="51">
        <v>10.4</v>
      </c>
      <c r="M119" s="51">
        <v>9.6</v>
      </c>
      <c r="N119" s="51">
        <v>8.6</v>
      </c>
      <c r="O119" s="51">
        <v>7</v>
      </c>
      <c r="P119" s="51">
        <v>6.2</v>
      </c>
      <c r="Q119" s="51">
        <v>7.6</v>
      </c>
      <c r="R119" s="51">
        <v>10</v>
      </c>
      <c r="S119" s="51">
        <v>8.4</v>
      </c>
      <c r="T119" s="51">
        <v>9.6</v>
      </c>
      <c r="U119" s="51">
        <v>9</v>
      </c>
      <c r="V119" s="51">
        <v>7.6</v>
      </c>
      <c r="W119" s="51">
        <v>9.4</v>
      </c>
      <c r="X119" s="51">
        <v>8.1999999999999993</v>
      </c>
      <c r="Y119" s="51">
        <v>7</v>
      </c>
      <c r="Z119" s="111">
        <v>10</v>
      </c>
      <c r="AA119" s="51">
        <v>10.6</v>
      </c>
      <c r="AB119" s="51">
        <v>9.1999999999999993</v>
      </c>
      <c r="AC119" s="51">
        <v>5.8</v>
      </c>
      <c r="AD119" s="51">
        <v>6.4</v>
      </c>
      <c r="AE119" s="51">
        <v>5.2</v>
      </c>
      <c r="AF119" s="51">
        <v>4</v>
      </c>
      <c r="AG119" s="51">
        <v>8.4</v>
      </c>
      <c r="AH119" s="51">
        <v>7.6</v>
      </c>
      <c r="AI119" s="51">
        <v>7.6</v>
      </c>
      <c r="AJ119" s="51"/>
      <c r="AK119" s="51"/>
      <c r="AL119" s="51"/>
      <c r="AM119" s="51"/>
      <c r="AN119" s="51"/>
      <c r="AO119" s="51"/>
      <c r="AP119" s="88">
        <f t="shared" si="6"/>
        <v>25</v>
      </c>
      <c r="AQ119" s="89">
        <f t="shared" si="7"/>
        <v>8.1039999999999992</v>
      </c>
      <c r="AR119" s="89">
        <f>IFERROR(VLOOKUP(A119,Climatologia!A:U,9+$E$2,FALSE),"")</f>
        <v>6.6382228524164031</v>
      </c>
      <c r="AS119" s="89">
        <f t="shared" si="8"/>
        <v>1.4657771475835961</v>
      </c>
      <c r="AT119" s="90">
        <f t="shared" si="9"/>
        <v>4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-1.8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9" s="92">
        <f t="shared" si="10"/>
        <v>5.8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19.276408602150539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13.3</v>
      </c>
      <c r="L121" s="51">
        <v>12.7</v>
      </c>
      <c r="M121" s="51">
        <v>11.5</v>
      </c>
      <c r="N121" s="51">
        <v>12.1</v>
      </c>
      <c r="O121" s="51">
        <v>11.7</v>
      </c>
      <c r="P121" s="51">
        <v>12.8</v>
      </c>
      <c r="Q121" s="51">
        <v>13.5</v>
      </c>
      <c r="R121" s="51">
        <v>12.9</v>
      </c>
      <c r="S121" s="51">
        <v>13.2</v>
      </c>
      <c r="T121" s="51">
        <v>11.5</v>
      </c>
      <c r="U121" s="51">
        <v>12.3</v>
      </c>
      <c r="V121" s="51"/>
      <c r="W121" s="51">
        <v>11.7</v>
      </c>
      <c r="X121" s="51">
        <v>12.3</v>
      </c>
      <c r="Y121" s="51">
        <v>11.5</v>
      </c>
      <c r="Z121" s="111">
        <v>12.7</v>
      </c>
      <c r="AA121" s="51">
        <v>13.7</v>
      </c>
      <c r="AB121" s="51">
        <v>13</v>
      </c>
      <c r="AC121" s="51">
        <v>11.7</v>
      </c>
      <c r="AD121" s="51">
        <v>12.4</v>
      </c>
      <c r="AE121" s="51">
        <v>13</v>
      </c>
      <c r="AF121" s="51">
        <v>10.3</v>
      </c>
      <c r="AG121" s="51">
        <v>10.9</v>
      </c>
      <c r="AH121" s="51">
        <v>11.7</v>
      </c>
      <c r="AI121" s="51">
        <v>10.4</v>
      </c>
      <c r="AJ121" s="51"/>
      <c r="AK121" s="51"/>
      <c r="AL121" s="51"/>
      <c r="AM121" s="51"/>
      <c r="AN121" s="51"/>
      <c r="AO121" s="51"/>
      <c r="AP121" s="88">
        <f t="shared" si="6"/>
        <v>24</v>
      </c>
      <c r="AQ121" s="89">
        <f t="shared" si="7"/>
        <v>12.199999999999996</v>
      </c>
      <c r="AR121" s="89">
        <f>IFERROR(VLOOKUP(A121,Climatologia!A:U,9+$E$2,FALSE),"")</f>
        <v>11.282109879431809</v>
      </c>
      <c r="AS121" s="89">
        <f t="shared" si="8"/>
        <v>0.91789012056818642</v>
      </c>
      <c r="AT121" s="90">
        <f t="shared" si="9"/>
        <v>10.3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2.5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1" s="92">
        <f t="shared" si="10"/>
        <v>7.8000000000000007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13.328919783739719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8.5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10.199999999999999</v>
      </c>
      <c r="L123" s="51">
        <v>10</v>
      </c>
      <c r="M123" s="51">
        <v>9.8000000000000007</v>
      </c>
      <c r="N123" s="51">
        <v>9.6</v>
      </c>
      <c r="O123" s="51">
        <v>9.6</v>
      </c>
      <c r="P123" s="51">
        <v>10</v>
      </c>
      <c r="Q123" s="51">
        <v>10.199999999999999</v>
      </c>
      <c r="R123" s="51">
        <v>9.6</v>
      </c>
      <c r="S123" s="51">
        <v>10.4</v>
      </c>
      <c r="T123" s="51">
        <v>10.199999999999999</v>
      </c>
      <c r="U123" s="51">
        <v>9.4</v>
      </c>
      <c r="V123" s="51">
        <v>8.6</v>
      </c>
      <c r="W123" s="51">
        <v>6</v>
      </c>
      <c r="X123" s="51">
        <v>9</v>
      </c>
      <c r="Y123" s="51">
        <v>9.4</v>
      </c>
      <c r="Z123" s="111">
        <v>10</v>
      </c>
      <c r="AA123" s="51">
        <v>10</v>
      </c>
      <c r="AB123" s="51">
        <v>9.6</v>
      </c>
      <c r="AC123" s="51">
        <v>9.1999999999999993</v>
      </c>
      <c r="AD123" s="51">
        <v>8.1999999999999993</v>
      </c>
      <c r="AE123" s="51">
        <v>8.4</v>
      </c>
      <c r="AF123" s="51">
        <v>7.2</v>
      </c>
      <c r="AG123" s="51">
        <v>8.8000000000000007</v>
      </c>
      <c r="AH123" s="51">
        <v>9</v>
      </c>
      <c r="AI123" s="51">
        <v>6.4</v>
      </c>
      <c r="AJ123" s="51"/>
      <c r="AK123" s="51"/>
      <c r="AL123" s="51"/>
      <c r="AM123" s="51"/>
      <c r="AN123" s="51"/>
      <c r="AO123" s="51"/>
      <c r="AP123" s="88">
        <f t="shared" si="6"/>
        <v>25</v>
      </c>
      <c r="AQ123" s="89">
        <f t="shared" si="7"/>
        <v>9.152000000000001</v>
      </c>
      <c r="AR123" s="89">
        <f>IFERROR(VLOOKUP(A123,Climatologia!A:U,9+$E$2,FALSE),"")</f>
        <v>8.088075663695717</v>
      </c>
      <c r="AS123" s="89">
        <f t="shared" si="8"/>
        <v>1.0639243363042841</v>
      </c>
      <c r="AT123" s="90">
        <f t="shared" si="9"/>
        <v>6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0.8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3" s="92">
        <f t="shared" si="10"/>
        <v>5.2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20.704813297844161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16.5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23.186679533131141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13.6</v>
      </c>
      <c r="L126" s="51">
        <v>13.4</v>
      </c>
      <c r="M126" s="51">
        <v>12.5</v>
      </c>
      <c r="N126" s="51">
        <v>11.2</v>
      </c>
      <c r="O126" s="51">
        <v>12.5</v>
      </c>
      <c r="P126" s="51">
        <v>12.8</v>
      </c>
      <c r="Q126" s="51">
        <v>13.4</v>
      </c>
      <c r="R126" s="51">
        <v>13.9</v>
      </c>
      <c r="S126" s="51">
        <v>12.4</v>
      </c>
      <c r="T126" s="51">
        <v>14.2</v>
      </c>
      <c r="U126" s="51">
        <v>14.2</v>
      </c>
      <c r="V126" s="51">
        <v>12.6</v>
      </c>
      <c r="W126" s="51">
        <v>12.5</v>
      </c>
      <c r="X126" s="51">
        <v>12.3</v>
      </c>
      <c r="Y126" s="51">
        <v>13.2</v>
      </c>
      <c r="Z126" s="111">
        <v>14.3</v>
      </c>
      <c r="AA126" s="51">
        <v>14.2</v>
      </c>
      <c r="AB126" s="51">
        <v>13.3</v>
      </c>
      <c r="AC126" s="51">
        <v>11.4</v>
      </c>
      <c r="AD126" s="51">
        <v>10.3</v>
      </c>
      <c r="AE126" s="51">
        <v>10.8</v>
      </c>
      <c r="AF126" s="51">
        <v>11.2</v>
      </c>
      <c r="AG126" s="51">
        <v>13.6</v>
      </c>
      <c r="AH126" s="51">
        <v>12.8</v>
      </c>
      <c r="AI126" s="51">
        <v>11.7</v>
      </c>
      <c r="AJ126" s="51"/>
      <c r="AK126" s="51"/>
      <c r="AL126" s="51"/>
      <c r="AM126" s="51"/>
      <c r="AN126" s="51"/>
      <c r="AO126" s="51"/>
      <c r="AP126" s="88">
        <f t="shared" si="6"/>
        <v>25</v>
      </c>
      <c r="AQ126" s="89">
        <f t="shared" si="7"/>
        <v>12.732000000000001</v>
      </c>
      <c r="AR126" s="89">
        <f>IFERROR(VLOOKUP(A126,Climatologia!A:U,9+$E$2,FALSE),"")</f>
        <v>11.599107526881721</v>
      </c>
      <c r="AS126" s="89">
        <f t="shared" si="8"/>
        <v>1.1328924731182806</v>
      </c>
      <c r="AT126" s="90">
        <f t="shared" si="9"/>
        <v>10.3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5.4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6" s="92">
        <f t="shared" si="10"/>
        <v>4.9000000000000004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15.2</v>
      </c>
      <c r="L127" s="51">
        <v>13.6</v>
      </c>
      <c r="M127" s="51">
        <v>14.2</v>
      </c>
      <c r="N127" s="51">
        <v>13.2</v>
      </c>
      <c r="O127" s="51">
        <v>13.6</v>
      </c>
      <c r="P127" s="51">
        <v>15.4</v>
      </c>
      <c r="Q127" s="51">
        <v>15</v>
      </c>
      <c r="R127" s="51">
        <v>15.2</v>
      </c>
      <c r="S127" s="51">
        <v>14.4</v>
      </c>
      <c r="T127" s="51">
        <v>15.6</v>
      </c>
      <c r="U127" s="51">
        <v>15.4</v>
      </c>
      <c r="V127" s="51">
        <v>13.6</v>
      </c>
      <c r="W127" s="51">
        <v>14.4</v>
      </c>
      <c r="X127" s="51">
        <v>13.8</v>
      </c>
      <c r="Y127" s="51">
        <v>14.2</v>
      </c>
      <c r="Z127" s="111">
        <v>15.2</v>
      </c>
      <c r="AA127" s="51">
        <v>15.6</v>
      </c>
      <c r="AB127" s="51">
        <v>16</v>
      </c>
      <c r="AC127" s="51">
        <v>13.4</v>
      </c>
      <c r="AD127" s="51">
        <v>12.4</v>
      </c>
      <c r="AE127" s="51">
        <v>12.6</v>
      </c>
      <c r="AF127" s="51">
        <v>13.2</v>
      </c>
      <c r="AG127" s="51">
        <v>14.6</v>
      </c>
      <c r="AH127" s="51">
        <v>14.4</v>
      </c>
      <c r="AI127" s="51">
        <v>14</v>
      </c>
      <c r="AJ127" s="51"/>
      <c r="AK127" s="51"/>
      <c r="AL127" s="51"/>
      <c r="AM127" s="51"/>
      <c r="AN127" s="51"/>
      <c r="AO127" s="51"/>
      <c r="AP127" s="88">
        <f t="shared" si="6"/>
        <v>25</v>
      </c>
      <c r="AQ127" s="89">
        <f t="shared" si="7"/>
        <v>14.327999999999999</v>
      </c>
      <c r="AR127" s="89">
        <f>IFERROR(VLOOKUP(A127,Climatologia!A:U,9+$E$2,FALSE),"")</f>
        <v>13.19300778642936</v>
      </c>
      <c r="AS127" s="89">
        <f t="shared" si="8"/>
        <v>1.134992213570639</v>
      </c>
      <c r="AT127" s="90">
        <f t="shared" si="9"/>
        <v>12.4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7" s="92">
        <f t="shared" si="10"/>
        <v>4.2000000000000011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15.06265897802605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12</v>
      </c>
      <c r="L129" s="51">
        <v>11.4</v>
      </c>
      <c r="M129" s="51">
        <v>10.8</v>
      </c>
      <c r="N129" s="51">
        <v>11.4</v>
      </c>
      <c r="O129" s="51">
        <v>11.2</v>
      </c>
      <c r="P129" s="51">
        <v>12.4</v>
      </c>
      <c r="Q129" s="51">
        <v>11.8</v>
      </c>
      <c r="R129" s="51">
        <v>12.2</v>
      </c>
      <c r="S129" s="51">
        <v>11.6</v>
      </c>
      <c r="T129" s="51">
        <v>11.4</v>
      </c>
      <c r="U129" s="51">
        <v>11.6</v>
      </c>
      <c r="V129" s="51">
        <v>9.8000000000000007</v>
      </c>
      <c r="W129" s="51">
        <v>10.9</v>
      </c>
      <c r="X129" s="51">
        <v>10</v>
      </c>
      <c r="Y129" s="51">
        <v>11.8</v>
      </c>
      <c r="Z129" s="111">
        <v>12.1</v>
      </c>
      <c r="AA129" s="51">
        <v>11.1</v>
      </c>
      <c r="AB129" s="51">
        <v>10</v>
      </c>
      <c r="AC129" s="51">
        <v>9</v>
      </c>
      <c r="AD129" s="51">
        <v>8.6999999999999993</v>
      </c>
      <c r="AE129" s="51">
        <v>9.4</v>
      </c>
      <c r="AF129" s="51">
        <v>9.1999999999999993</v>
      </c>
      <c r="AG129" s="51">
        <v>10.4</v>
      </c>
      <c r="AH129" s="51">
        <v>10.5</v>
      </c>
      <c r="AI129" s="51">
        <v>10.3</v>
      </c>
      <c r="AJ129" s="51"/>
      <c r="AK129" s="51"/>
      <c r="AL129" s="51"/>
      <c r="AM129" s="51"/>
      <c r="AN129" s="51"/>
      <c r="AO129" s="51"/>
      <c r="AP129" s="88">
        <f t="shared" si="6"/>
        <v>25</v>
      </c>
      <c r="AQ129" s="89">
        <f t="shared" si="7"/>
        <v>10.84</v>
      </c>
      <c r="AR129" s="89">
        <f>IFERROR(VLOOKUP(A129,Climatologia!A:U,9+$E$2,FALSE),"")</f>
        <v>9.339817613927293</v>
      </c>
      <c r="AS129" s="89">
        <f t="shared" si="8"/>
        <v>1.5001823860727068</v>
      </c>
      <c r="AT129" s="90">
        <f t="shared" si="9"/>
        <v>8.6999999999999993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4.5999999999999996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9" s="92">
        <f t="shared" si="10"/>
        <v>4.0999999999999996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12</v>
      </c>
      <c r="L130" s="51"/>
      <c r="M130" s="51">
        <v>11.6</v>
      </c>
      <c r="N130" s="51">
        <v>11</v>
      </c>
      <c r="O130" s="51">
        <v>10.8</v>
      </c>
      <c r="P130" s="51">
        <v>10.199999999999999</v>
      </c>
      <c r="Q130" s="51">
        <v>10</v>
      </c>
      <c r="R130" s="51">
        <v>10.4</v>
      </c>
      <c r="S130" s="51">
        <v>11</v>
      </c>
      <c r="T130" s="51">
        <v>13.4</v>
      </c>
      <c r="U130" s="51">
        <v>13.8</v>
      </c>
      <c r="V130" s="51">
        <v>12.8</v>
      </c>
      <c r="W130" s="51">
        <v>12.4</v>
      </c>
      <c r="X130" s="51">
        <v>10.4</v>
      </c>
      <c r="Y130" s="51">
        <v>11</v>
      </c>
      <c r="Z130" s="111">
        <v>10.199999999999999</v>
      </c>
      <c r="AA130" s="51">
        <v>11.8</v>
      </c>
      <c r="AB130" s="51">
        <v>12.2</v>
      </c>
      <c r="AC130" s="51">
        <v>11.6</v>
      </c>
      <c r="AD130" s="51">
        <v>10.4</v>
      </c>
      <c r="AE130" s="51">
        <v>11.2</v>
      </c>
      <c r="AF130" s="51">
        <v>10</v>
      </c>
      <c r="AG130" s="51">
        <v>11</v>
      </c>
      <c r="AH130" s="51">
        <v>10.6</v>
      </c>
      <c r="AI130" s="51"/>
      <c r="AJ130" s="51"/>
      <c r="AK130" s="51"/>
      <c r="AL130" s="51"/>
      <c r="AM130" s="51"/>
      <c r="AN130" s="51"/>
      <c r="AO130" s="51"/>
      <c r="AP130" s="88">
        <f t="shared" si="6"/>
        <v>23</v>
      </c>
      <c r="AQ130" s="89">
        <f t="shared" si="7"/>
        <v>11.295652173913044</v>
      </c>
      <c r="AR130" s="89">
        <f>IFERROR(VLOOKUP(A130,Climatologia!A:U,9+$E$2,FALSE),"")</f>
        <v>10.61877774246517</v>
      </c>
      <c r="AS130" s="89">
        <f t="shared" si="8"/>
        <v>0.67687443144787451</v>
      </c>
      <c r="AT130" s="90">
        <f t="shared" si="9"/>
        <v>10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30" s="92">
        <f t="shared" si="10"/>
        <v>4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17.2</v>
      </c>
      <c r="L131" s="51">
        <v>16.399999999999999</v>
      </c>
      <c r="M131" s="51">
        <v>15.8</v>
      </c>
      <c r="N131" s="51">
        <v>15.4</v>
      </c>
      <c r="O131" s="51">
        <v>15.8</v>
      </c>
      <c r="P131" s="51">
        <v>16.399999999999999</v>
      </c>
      <c r="Q131" s="51">
        <v>17</v>
      </c>
      <c r="R131" s="51">
        <v>16.8</v>
      </c>
      <c r="S131" s="51">
        <v>16</v>
      </c>
      <c r="T131" s="51">
        <v>17.2</v>
      </c>
      <c r="U131" s="51">
        <v>16</v>
      </c>
      <c r="V131" s="51">
        <v>15</v>
      </c>
      <c r="W131" s="51">
        <v>15.2</v>
      </c>
      <c r="X131" s="51">
        <v>16.399999999999999</v>
      </c>
      <c r="Y131" s="51">
        <v>17</v>
      </c>
      <c r="Z131" s="111">
        <v>17.8</v>
      </c>
      <c r="AA131" s="51">
        <v>17</v>
      </c>
      <c r="AB131" s="51">
        <v>16.399999999999999</v>
      </c>
      <c r="AC131" s="51">
        <v>15.2</v>
      </c>
      <c r="AD131" s="51">
        <v>14.8</v>
      </c>
      <c r="AE131" s="51">
        <v>15</v>
      </c>
      <c r="AF131" s="51">
        <v>14.8</v>
      </c>
      <c r="AG131" s="51">
        <v>15</v>
      </c>
      <c r="AH131" s="51">
        <v>14.6</v>
      </c>
      <c r="AI131" s="51">
        <v>16</v>
      </c>
      <c r="AJ131" s="51"/>
      <c r="AK131" s="51"/>
      <c r="AL131" s="51"/>
      <c r="AM131" s="51"/>
      <c r="AN131" s="51"/>
      <c r="AO131" s="51"/>
      <c r="AP131" s="88">
        <f t="shared" si="6"/>
        <v>25</v>
      </c>
      <c r="AQ131" s="89">
        <f t="shared" si="7"/>
        <v>16.007999999999999</v>
      </c>
      <c r="AR131" s="89">
        <f>IFERROR(VLOOKUP(A131,Climatologia!A:U,9+$E$2,FALSE),"")</f>
        <v>14.704271801089879</v>
      </c>
      <c r="AS131" s="89">
        <f t="shared" si="8"/>
        <v>1.3037281989101199</v>
      </c>
      <c r="AT131" s="90">
        <f t="shared" si="9"/>
        <v>14.6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1" s="92">
        <f t="shared" si="10"/>
        <v>3.5999999999999996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>
        <v>4.2</v>
      </c>
      <c r="AG132" s="51">
        <v>6</v>
      </c>
      <c r="AH132" s="51">
        <v>6.4</v>
      </c>
      <c r="AI132" s="51">
        <v>4.5999999999999996</v>
      </c>
      <c r="AJ132" s="51"/>
      <c r="AK132" s="51"/>
      <c r="AL132" s="51"/>
      <c r="AM132" s="51"/>
      <c r="AN132" s="51"/>
      <c r="AO132" s="51"/>
      <c r="AP132" s="88">
        <f t="shared" si="6"/>
        <v>4</v>
      </c>
      <c r="AQ132" s="89" t="str">
        <f t="shared" si="7"/>
        <v/>
      </c>
      <c r="AR132" s="89">
        <f>IFERROR(VLOOKUP(A132,Climatologia!A:U,9+$E$2,FALSE),"")</f>
        <v>6.2159888004715604</v>
      </c>
      <c r="AS132" s="89" t="str">
        <f t="shared" si="8"/>
        <v/>
      </c>
      <c r="AT132" s="90">
        <f t="shared" si="9"/>
        <v>4.2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0.1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2" s="92">
        <f t="shared" si="10"/>
        <v>4.1000000000000005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15.45201870390969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14.8</v>
      </c>
      <c r="L134" s="51">
        <v>15.8</v>
      </c>
      <c r="M134" s="51">
        <v>14.6</v>
      </c>
      <c r="N134" s="51">
        <v>16.2</v>
      </c>
      <c r="O134" s="51">
        <v>15.2</v>
      </c>
      <c r="P134" s="51">
        <v>14.2</v>
      </c>
      <c r="Q134" s="51">
        <v>15.8</v>
      </c>
      <c r="R134" s="51">
        <v>16</v>
      </c>
      <c r="S134" s="51">
        <v>15.6</v>
      </c>
      <c r="T134" s="51">
        <v>16.2</v>
      </c>
      <c r="U134" s="51">
        <v>15.8</v>
      </c>
      <c r="V134" s="51">
        <v>14.8</v>
      </c>
      <c r="W134" s="51">
        <v>15.2</v>
      </c>
      <c r="X134" s="51">
        <v>14.4</v>
      </c>
      <c r="Y134" s="51">
        <v>15</v>
      </c>
      <c r="Z134" s="111">
        <v>15.4</v>
      </c>
      <c r="AA134" s="51">
        <v>16.2</v>
      </c>
      <c r="AB134" s="51">
        <v>15.8</v>
      </c>
      <c r="AC134" s="51">
        <v>15.2</v>
      </c>
      <c r="AD134" s="51">
        <v>14.4</v>
      </c>
      <c r="AE134" s="51">
        <v>13.8</v>
      </c>
      <c r="AF134" s="51">
        <v>14.6</v>
      </c>
      <c r="AG134" s="51">
        <v>15.8</v>
      </c>
      <c r="AH134" s="51">
        <v>14.2</v>
      </c>
      <c r="AI134" s="51">
        <v>14.8</v>
      </c>
      <c r="AJ134" s="51"/>
      <c r="AK134" s="51"/>
      <c r="AL134" s="51"/>
      <c r="AM134" s="51"/>
      <c r="AN134" s="51"/>
      <c r="AO134" s="51"/>
      <c r="AP134" s="88">
        <f t="shared" si="11"/>
        <v>25</v>
      </c>
      <c r="AQ134" s="89">
        <f t="shared" si="12"/>
        <v>15.192000000000002</v>
      </c>
      <c r="AR134" s="89">
        <f>IFERROR(VLOOKUP(A134,Climatologia!A:U,9+$E$2,FALSE),"")</f>
        <v>13.71360869121677</v>
      </c>
      <c r="AS134" s="89">
        <f t="shared" si="13"/>
        <v>1.4783913087832321</v>
      </c>
      <c r="AT134" s="90">
        <f t="shared" si="14"/>
        <v>13.8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6.8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4" s="92">
        <f t="shared" si="15"/>
        <v>7.0000000000000009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11.4</v>
      </c>
      <c r="L135" s="51">
        <v>10.199999999999999</v>
      </c>
      <c r="M135" s="51">
        <v>10.1</v>
      </c>
      <c r="N135" s="51">
        <v>10.199999999999999</v>
      </c>
      <c r="O135" s="51">
        <v>11</v>
      </c>
      <c r="P135" s="51">
        <v>12</v>
      </c>
      <c r="Q135" s="51">
        <v>10.199999999999999</v>
      </c>
      <c r="R135" s="51">
        <v>10</v>
      </c>
      <c r="S135" s="51">
        <v>10.199999999999999</v>
      </c>
      <c r="T135" s="51">
        <v>11.2</v>
      </c>
      <c r="U135" s="51">
        <v>11.2</v>
      </c>
      <c r="V135" s="51">
        <v>10.4</v>
      </c>
      <c r="W135" s="51">
        <v>10.1</v>
      </c>
      <c r="X135" s="51">
        <v>11.4</v>
      </c>
      <c r="Y135" s="51">
        <v>8.8000000000000007</v>
      </c>
      <c r="Z135" s="111">
        <v>12</v>
      </c>
      <c r="AA135" s="51">
        <v>12.2</v>
      </c>
      <c r="AB135" s="51">
        <v>11.4</v>
      </c>
      <c r="AC135" s="51">
        <v>10.1</v>
      </c>
      <c r="AD135" s="51">
        <v>10</v>
      </c>
      <c r="AE135" s="51">
        <v>10.199999999999999</v>
      </c>
      <c r="AF135" s="51">
        <v>10.1</v>
      </c>
      <c r="AG135" s="51">
        <v>11.4</v>
      </c>
      <c r="AH135" s="51">
        <v>11.2</v>
      </c>
      <c r="AI135" s="51">
        <v>10.6</v>
      </c>
      <c r="AJ135" s="51"/>
      <c r="AK135" s="51"/>
      <c r="AL135" s="51"/>
      <c r="AM135" s="51"/>
      <c r="AN135" s="51"/>
      <c r="AO135" s="51"/>
      <c r="AP135" s="88">
        <f t="shared" si="11"/>
        <v>25</v>
      </c>
      <c r="AQ135" s="89">
        <f t="shared" si="12"/>
        <v>10.704000000000001</v>
      </c>
      <c r="AR135" s="89">
        <f>IFERROR(VLOOKUP(A135,Climatologia!A:U,9+$E$2,FALSE),"")</f>
        <v>9.1551700301922789</v>
      </c>
      <c r="AS135" s="89">
        <f t="shared" si="13"/>
        <v>1.5488299698077217</v>
      </c>
      <c r="AT135" s="90">
        <f t="shared" si="14"/>
        <v>8.8000000000000007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5" s="92">
        <f t="shared" si="15"/>
        <v>3.8000000000000007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</v>
      </c>
      <c r="L136" s="51">
        <v>15.4</v>
      </c>
      <c r="M136" s="51">
        <v>13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>
        <v>14.6</v>
      </c>
      <c r="AI136" s="51">
        <v>8.8000000000000007</v>
      </c>
      <c r="AJ136" s="51"/>
      <c r="AK136" s="51"/>
      <c r="AL136" s="51"/>
      <c r="AM136" s="51"/>
      <c r="AN136" s="51"/>
      <c r="AO136" s="51"/>
      <c r="AP136" s="88">
        <f t="shared" si="11"/>
        <v>5</v>
      </c>
      <c r="AQ136" s="89" t="str">
        <f t="shared" si="12"/>
        <v/>
      </c>
      <c r="AR136" s="89">
        <f>IFERROR(VLOOKUP(A136,Climatologia!A:U,9+$E$2,FALSE),"")</f>
        <v>12.553464872786339</v>
      </c>
      <c r="AS136" s="89" t="str">
        <f t="shared" si="13"/>
        <v/>
      </c>
      <c r="AT136" s="90">
        <f t="shared" si="14"/>
        <v>8.8000000000000007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8.6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6" s="92">
        <f t="shared" si="15"/>
        <v>0.20000000000000107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12.2</v>
      </c>
      <c r="L137" s="51">
        <v>11</v>
      </c>
      <c r="M137" s="51">
        <v>10.6</v>
      </c>
      <c r="N137" s="51">
        <v>10.4</v>
      </c>
      <c r="O137" s="51">
        <v>10.8</v>
      </c>
      <c r="P137" s="51">
        <v>11.8</v>
      </c>
      <c r="Q137" s="51">
        <v>11.6</v>
      </c>
      <c r="R137" s="51">
        <v>11.4</v>
      </c>
      <c r="S137" s="51">
        <v>9.6</v>
      </c>
      <c r="T137" s="51">
        <v>11.6</v>
      </c>
      <c r="U137" s="51">
        <v>10.199999999999999</v>
      </c>
      <c r="V137" s="51">
        <v>9.6</v>
      </c>
      <c r="W137" s="51">
        <v>8</v>
      </c>
      <c r="X137" s="51">
        <v>10.4</v>
      </c>
      <c r="Y137" s="51">
        <v>11.6</v>
      </c>
      <c r="Z137" s="111">
        <v>11.8</v>
      </c>
      <c r="AA137" s="51">
        <v>11.4</v>
      </c>
      <c r="AB137" s="51">
        <v>10.199999999999999</v>
      </c>
      <c r="AC137" s="51">
        <v>9.1999999999999993</v>
      </c>
      <c r="AD137" s="51">
        <v>7.6</v>
      </c>
      <c r="AE137" s="51">
        <v>9.6</v>
      </c>
      <c r="AF137" s="51">
        <v>7.6</v>
      </c>
      <c r="AG137" s="51">
        <v>10.199999999999999</v>
      </c>
      <c r="AH137" s="51">
        <v>9.8000000000000007</v>
      </c>
      <c r="AI137" s="51">
        <v>9.4</v>
      </c>
      <c r="AJ137" s="51"/>
      <c r="AK137" s="51"/>
      <c r="AL137" s="51"/>
      <c r="AM137" s="51"/>
      <c r="AN137" s="51"/>
      <c r="AO137" s="51"/>
      <c r="AP137" s="88">
        <f t="shared" si="11"/>
        <v>25</v>
      </c>
      <c r="AQ137" s="89">
        <f t="shared" si="12"/>
        <v>10.303999999999998</v>
      </c>
      <c r="AR137" s="89">
        <f>IFERROR(VLOOKUP(A137,Climatologia!A:U,9+$E$2,FALSE),"")</f>
        <v>8.9132299851098509</v>
      </c>
      <c r="AS137" s="89">
        <f t="shared" si="13"/>
        <v>1.3907700148901476</v>
      </c>
      <c r="AT137" s="90">
        <f t="shared" si="14"/>
        <v>7.6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3.1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7" s="92">
        <f t="shared" si="15"/>
        <v>4.5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9</v>
      </c>
      <c r="L138" s="51">
        <v>9.4</v>
      </c>
      <c r="M138" s="51">
        <v>8.6</v>
      </c>
      <c r="N138" s="51">
        <v>9</v>
      </c>
      <c r="O138" s="51">
        <v>7.8</v>
      </c>
      <c r="P138" s="51">
        <v>9.1999999999999993</v>
      </c>
      <c r="Q138" s="51">
        <v>8</v>
      </c>
      <c r="R138" s="51">
        <v>8.4</v>
      </c>
      <c r="S138" s="51">
        <v>9</v>
      </c>
      <c r="T138" s="51">
        <v>9.8000000000000007</v>
      </c>
      <c r="U138" s="51">
        <v>7.8</v>
      </c>
      <c r="V138" s="51">
        <v>8</v>
      </c>
      <c r="W138" s="51">
        <v>7.6</v>
      </c>
      <c r="X138" s="51">
        <v>7.2</v>
      </c>
      <c r="Y138" s="51">
        <v>8.6</v>
      </c>
      <c r="Z138" s="111">
        <v>7.8</v>
      </c>
      <c r="AA138" s="51">
        <v>9</v>
      </c>
      <c r="AB138" s="51">
        <v>8.4</v>
      </c>
      <c r="AC138" s="51">
        <v>7.4</v>
      </c>
      <c r="AD138" s="51">
        <v>5</v>
      </c>
      <c r="AE138" s="51">
        <v>7.2</v>
      </c>
      <c r="AF138" s="51">
        <v>7.4</v>
      </c>
      <c r="AG138" s="51">
        <v>8.1999999999999993</v>
      </c>
      <c r="AH138" s="51">
        <v>8</v>
      </c>
      <c r="AI138" s="51">
        <v>7.2</v>
      </c>
      <c r="AJ138" s="51"/>
      <c r="AK138" s="51"/>
      <c r="AL138" s="51"/>
      <c r="AM138" s="51"/>
      <c r="AN138" s="51"/>
      <c r="AO138" s="51"/>
      <c r="AP138" s="88">
        <f t="shared" si="11"/>
        <v>25</v>
      </c>
      <c r="AQ138" s="89">
        <f t="shared" si="12"/>
        <v>8.1199999999999992</v>
      </c>
      <c r="AR138" s="89">
        <f>IFERROR(VLOOKUP(A138,Climatologia!A:U,9+$E$2,FALSE),"")</f>
        <v>6.7529781105990789</v>
      </c>
      <c r="AS138" s="89">
        <f t="shared" si="13"/>
        <v>1.3670218894009203</v>
      </c>
      <c r="AT138" s="90">
        <f t="shared" si="14"/>
        <v>5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1.6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8" s="92">
        <f t="shared" si="15"/>
        <v>3.4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24.2</v>
      </c>
      <c r="L139" s="51">
        <v>24.2</v>
      </c>
      <c r="M139" s="51">
        <v>24.4</v>
      </c>
      <c r="N139" s="51">
        <v>24.6</v>
      </c>
      <c r="O139" s="51">
        <v>24.6</v>
      </c>
      <c r="P139" s="51">
        <v>25</v>
      </c>
      <c r="Q139" s="51">
        <v>25.8</v>
      </c>
      <c r="R139" s="51">
        <v>25.6</v>
      </c>
      <c r="S139" s="51">
        <v>25.6</v>
      </c>
      <c r="T139" s="51">
        <v>24.2</v>
      </c>
      <c r="U139" s="51">
        <v>24</v>
      </c>
      <c r="V139" s="51">
        <v>23.8</v>
      </c>
      <c r="W139" s="51">
        <v>23.6</v>
      </c>
      <c r="X139" s="51">
        <v>24.2</v>
      </c>
      <c r="Y139" s="51">
        <v>24.4</v>
      </c>
      <c r="Z139" s="111">
        <v>24.2</v>
      </c>
      <c r="AA139" s="51">
        <v>25.8</v>
      </c>
      <c r="AB139" s="51">
        <v>25</v>
      </c>
      <c r="AC139" s="51">
        <v>23.6</v>
      </c>
      <c r="AD139" s="51">
        <v>23</v>
      </c>
      <c r="AE139" s="51">
        <v>23.6</v>
      </c>
      <c r="AF139" s="51">
        <v>24.4</v>
      </c>
      <c r="AG139" s="51">
        <v>24.2</v>
      </c>
      <c r="AH139" s="51">
        <v>23.2</v>
      </c>
      <c r="AI139" s="51">
        <v>24</v>
      </c>
      <c r="AJ139" s="51"/>
      <c r="AK139" s="51"/>
      <c r="AL139" s="51"/>
      <c r="AM139" s="51"/>
      <c r="AN139" s="51"/>
      <c r="AO139" s="51"/>
      <c r="AP139" s="88">
        <f t="shared" si="11"/>
        <v>25</v>
      </c>
      <c r="AQ139" s="89">
        <f t="shared" si="12"/>
        <v>24.368000000000002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10.8</v>
      </c>
      <c r="L140" s="51">
        <v>11</v>
      </c>
      <c r="M140" s="51">
        <v>12.2</v>
      </c>
      <c r="N140" s="51">
        <v>12.8</v>
      </c>
      <c r="O140" s="51">
        <v>10.6</v>
      </c>
      <c r="P140" s="51">
        <v>11.8</v>
      </c>
      <c r="Q140" s="51">
        <v>12</v>
      </c>
      <c r="R140" s="51">
        <v>12.6</v>
      </c>
      <c r="S140" s="51">
        <v>11.2</v>
      </c>
      <c r="T140" s="51">
        <v>10.8</v>
      </c>
      <c r="U140" s="51">
        <v>10</v>
      </c>
      <c r="V140" s="51">
        <v>11.6</v>
      </c>
      <c r="W140" s="51">
        <v>11.2</v>
      </c>
      <c r="X140" s="51">
        <v>10.4</v>
      </c>
      <c r="Y140" s="51">
        <v>11</v>
      </c>
      <c r="Z140" s="111">
        <v>9.8000000000000007</v>
      </c>
      <c r="AA140" s="51">
        <v>11.2</v>
      </c>
      <c r="AB140" s="51">
        <v>10.8</v>
      </c>
      <c r="AC140" s="51">
        <v>9.8000000000000007</v>
      </c>
      <c r="AD140" s="51">
        <v>11.4</v>
      </c>
      <c r="AE140" s="51">
        <v>11</v>
      </c>
      <c r="AF140" s="51">
        <v>12</v>
      </c>
      <c r="AG140" s="51">
        <v>12.6</v>
      </c>
      <c r="AH140" s="51">
        <v>10.8</v>
      </c>
      <c r="AI140" s="51"/>
      <c r="AJ140" s="51"/>
      <c r="AK140" s="51"/>
      <c r="AL140" s="51"/>
      <c r="AM140" s="51"/>
      <c r="AN140" s="51"/>
      <c r="AO140" s="51"/>
      <c r="AP140" s="88">
        <f t="shared" si="11"/>
        <v>24</v>
      </c>
      <c r="AQ140" s="89">
        <f t="shared" si="12"/>
        <v>11.225000000000001</v>
      </c>
      <c r="AR140" s="89">
        <f>IFERROR(VLOOKUP(A140,Climatologia!A:U,9+$E$2,FALSE),"")</f>
        <v>11.20513978494624</v>
      </c>
      <c r="AS140" s="89">
        <f t="shared" si="13"/>
        <v>1.986021505376101E-2</v>
      </c>
      <c r="AT140" s="90">
        <f t="shared" si="14"/>
        <v>9.8000000000000007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2.6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40" s="92">
        <f t="shared" si="15"/>
        <v>7.2000000000000011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15</v>
      </c>
      <c r="L141" s="51">
        <v>15.4</v>
      </c>
      <c r="M141" s="51">
        <v>15.2</v>
      </c>
      <c r="N141" s="51">
        <v>15.8</v>
      </c>
      <c r="O141" s="51">
        <v>15</v>
      </c>
      <c r="P141" s="51">
        <v>14.8</v>
      </c>
      <c r="Q141" s="51">
        <v>15</v>
      </c>
      <c r="R141" s="51">
        <v>16.2</v>
      </c>
      <c r="S141" s="51">
        <v>17</v>
      </c>
      <c r="T141" s="51">
        <v>14.4</v>
      </c>
      <c r="U141" s="51">
        <v>13</v>
      </c>
      <c r="V141" s="51">
        <v>15.8</v>
      </c>
      <c r="W141" s="51">
        <v>14.2</v>
      </c>
      <c r="X141" s="51">
        <v>14.2</v>
      </c>
      <c r="Y141" s="51">
        <v>15.8</v>
      </c>
      <c r="Z141" s="111">
        <v>14.6</v>
      </c>
      <c r="AA141" s="51">
        <v>14.2</v>
      </c>
      <c r="AB141" s="51">
        <v>14.4</v>
      </c>
      <c r="AC141" s="51">
        <v>16</v>
      </c>
      <c r="AD141" s="51">
        <v>15.4</v>
      </c>
      <c r="AE141" s="51">
        <v>15</v>
      </c>
      <c r="AF141" s="51">
        <v>14.8</v>
      </c>
      <c r="AG141" s="51">
        <v>14.6</v>
      </c>
      <c r="AH141" s="51">
        <v>14.8</v>
      </c>
      <c r="AI141" s="51">
        <v>15</v>
      </c>
      <c r="AJ141" s="51"/>
      <c r="AK141" s="51"/>
      <c r="AL141" s="51"/>
      <c r="AM141" s="51"/>
      <c r="AN141" s="51"/>
      <c r="AO141" s="51"/>
      <c r="AP141" s="88">
        <f t="shared" si="11"/>
        <v>25</v>
      </c>
      <c r="AQ141" s="89">
        <f t="shared" si="12"/>
        <v>15.023999999999999</v>
      </c>
      <c r="AR141" s="89">
        <f>IFERROR(VLOOKUP(A141,Climatologia!A:U,9+$E$2,FALSE),"")</f>
        <v>14.402137736815151</v>
      </c>
      <c r="AS141" s="89">
        <f t="shared" si="13"/>
        <v>0.62186226318484827</v>
      </c>
      <c r="AT141" s="90">
        <f t="shared" si="14"/>
        <v>13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1" s="92">
        <f t="shared" si="15"/>
        <v>1.1999999999999993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25.8</v>
      </c>
      <c r="L142" s="51">
        <v>24.2</v>
      </c>
      <c r="M142" s="51">
        <v>26</v>
      </c>
      <c r="N142" s="51">
        <v>23</v>
      </c>
      <c r="O142" s="51">
        <v>22.4</v>
      </c>
      <c r="P142" s="51">
        <v>24.6</v>
      </c>
      <c r="Q142" s="51">
        <v>25.4</v>
      </c>
      <c r="R142" s="51">
        <v>24.6</v>
      </c>
      <c r="S142" s="51">
        <v>24.8</v>
      </c>
      <c r="T142" s="51">
        <v>27.2</v>
      </c>
      <c r="U142" s="51">
        <v>23</v>
      </c>
      <c r="V142" s="51">
        <v>24.8</v>
      </c>
      <c r="W142" s="51">
        <v>25</v>
      </c>
      <c r="X142" s="51">
        <v>25.8</v>
      </c>
      <c r="Y142" s="51">
        <v>27.2</v>
      </c>
      <c r="Z142" s="111">
        <v>27</v>
      </c>
      <c r="AA142" s="51">
        <v>25.2</v>
      </c>
      <c r="AB142" s="51">
        <v>25</v>
      </c>
      <c r="AC142" s="51">
        <v>23.8</v>
      </c>
      <c r="AD142" s="51">
        <v>22.2</v>
      </c>
      <c r="AE142" s="51">
        <v>22.8</v>
      </c>
      <c r="AF142" s="51">
        <v>23.6</v>
      </c>
      <c r="AG142" s="51">
        <v>25.4</v>
      </c>
      <c r="AH142" s="51">
        <v>22.8</v>
      </c>
      <c r="AI142" s="51"/>
      <c r="AJ142" s="51"/>
      <c r="AK142" s="51"/>
      <c r="AL142" s="51"/>
      <c r="AM142" s="51"/>
      <c r="AN142" s="51"/>
      <c r="AO142" s="51"/>
      <c r="AP142" s="88">
        <f t="shared" si="11"/>
        <v>24</v>
      </c>
      <c r="AQ142" s="89">
        <f t="shared" si="12"/>
        <v>24.649999999999995</v>
      </c>
      <c r="AR142" s="89">
        <f>IFERROR(VLOOKUP(A142,Climatologia!A:U,9+$E$2,FALSE),"")</f>
        <v>22.245834878259799</v>
      </c>
      <c r="AS142" s="89">
        <f t="shared" si="13"/>
        <v>2.4041651217401956</v>
      </c>
      <c r="AT142" s="90">
        <f t="shared" si="14"/>
        <v>22.2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17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2" s="92">
        <f t="shared" si="15"/>
        <v>5.1999999999999993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20.399999999999999</v>
      </c>
      <c r="L143" s="51">
        <v>19.8</v>
      </c>
      <c r="M143" s="51">
        <v>20</v>
      </c>
      <c r="N143" s="51">
        <v>19.600000000000001</v>
      </c>
      <c r="O143" s="51">
        <v>20</v>
      </c>
      <c r="P143" s="51">
        <v>19.8</v>
      </c>
      <c r="Q143" s="51">
        <v>19.2</v>
      </c>
      <c r="R143" s="51">
        <v>20.399999999999999</v>
      </c>
      <c r="S143" s="51">
        <v>20.6</v>
      </c>
      <c r="T143" s="51">
        <v>18.600000000000001</v>
      </c>
      <c r="U143" s="51">
        <v>19.8</v>
      </c>
      <c r="V143" s="51">
        <v>20.8</v>
      </c>
      <c r="W143" s="51">
        <v>19.2</v>
      </c>
      <c r="X143" s="51">
        <v>19.600000000000001</v>
      </c>
      <c r="Y143" s="51">
        <v>20.399999999999999</v>
      </c>
      <c r="Z143" s="111">
        <v>20</v>
      </c>
      <c r="AA143" s="51">
        <v>19.8</v>
      </c>
      <c r="AB143" s="51">
        <v>20.2</v>
      </c>
      <c r="AC143" s="51">
        <v>21.2</v>
      </c>
      <c r="AD143" s="51">
        <v>19</v>
      </c>
      <c r="AE143" s="51">
        <v>20.399999999999999</v>
      </c>
      <c r="AF143" s="51">
        <v>19.600000000000001</v>
      </c>
      <c r="AG143" s="51">
        <v>20.399999999999999</v>
      </c>
      <c r="AH143" s="51">
        <v>20</v>
      </c>
      <c r="AI143" s="51">
        <v>20</v>
      </c>
      <c r="AJ143" s="51"/>
      <c r="AK143" s="51"/>
      <c r="AL143" s="51"/>
      <c r="AM143" s="51"/>
      <c r="AN143" s="51"/>
      <c r="AO143" s="51"/>
      <c r="AP143" s="88">
        <f t="shared" si="11"/>
        <v>25</v>
      </c>
      <c r="AQ143" s="89">
        <f t="shared" si="12"/>
        <v>19.952000000000002</v>
      </c>
      <c r="AR143" s="89">
        <f>IFERROR(VLOOKUP(A143,Climatologia!A:U,9+$E$2,FALSE),"")</f>
        <v>19.025806451612901</v>
      </c>
      <c r="AS143" s="89">
        <f t="shared" si="13"/>
        <v>0.92619354838710066</v>
      </c>
      <c r="AT143" s="90">
        <f t="shared" si="14"/>
        <v>18.600000000000001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13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3" s="92">
        <f t="shared" si="15"/>
        <v>5.6000000000000014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26.2</v>
      </c>
      <c r="L144" s="51">
        <v>23.4</v>
      </c>
      <c r="M144" s="51">
        <v>24.6</v>
      </c>
      <c r="N144" s="51">
        <v>23.4</v>
      </c>
      <c r="O144" s="51">
        <v>25</v>
      </c>
      <c r="P144" s="51">
        <v>23.4</v>
      </c>
      <c r="Q144" s="51">
        <v>25.2</v>
      </c>
      <c r="R144" s="51">
        <v>25</v>
      </c>
      <c r="S144" s="51">
        <v>26</v>
      </c>
      <c r="T144" s="51">
        <v>23.2</v>
      </c>
      <c r="U144" s="51">
        <v>22.6</v>
      </c>
      <c r="V144" s="51">
        <v>23.4</v>
      </c>
      <c r="W144" s="51">
        <v>22.6</v>
      </c>
      <c r="X144" s="51">
        <v>23.6</v>
      </c>
      <c r="Y144" s="51">
        <v>25.2</v>
      </c>
      <c r="Z144" s="111">
        <v>24.6</v>
      </c>
      <c r="AA144" s="51">
        <v>24.2</v>
      </c>
      <c r="AB144" s="51">
        <v>25.2</v>
      </c>
      <c r="AC144" s="51">
        <v>24</v>
      </c>
      <c r="AD144" s="51">
        <v>22.6</v>
      </c>
      <c r="AE144" s="51">
        <v>24.2</v>
      </c>
      <c r="AF144" s="51">
        <v>23.6</v>
      </c>
      <c r="AG144" s="51">
        <v>24.8</v>
      </c>
      <c r="AH144" s="51">
        <v>23.6</v>
      </c>
      <c r="AI144" s="51">
        <v>24.4</v>
      </c>
      <c r="AJ144" s="51"/>
      <c r="AK144" s="51"/>
      <c r="AL144" s="51"/>
      <c r="AM144" s="51"/>
      <c r="AN144" s="51"/>
      <c r="AO144" s="51"/>
      <c r="AP144" s="88">
        <f t="shared" si="11"/>
        <v>25</v>
      </c>
      <c r="AQ144" s="89">
        <f t="shared" si="12"/>
        <v>24.16</v>
      </c>
      <c r="AR144" s="89">
        <f>IFERROR(VLOOKUP(A144,Climatologia!A:U,9+$E$2,FALSE),"")</f>
        <v>23.058077373350361</v>
      </c>
      <c r="AS144" s="89">
        <f t="shared" si="13"/>
        <v>1.1019226266496389</v>
      </c>
      <c r="AT144" s="90">
        <f t="shared" si="14"/>
        <v>22.6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4" s="92">
        <f t="shared" si="15"/>
        <v>6.6000000000000014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16.8</v>
      </c>
      <c r="L145" s="51">
        <v>18</v>
      </c>
      <c r="M145" s="51">
        <v>16.8</v>
      </c>
      <c r="N145" s="51">
        <v>17</v>
      </c>
      <c r="O145" s="51">
        <v>16.600000000000001</v>
      </c>
      <c r="P145" s="51">
        <v>16.399999999999999</v>
      </c>
      <c r="Q145" s="51">
        <v>17.600000000000001</v>
      </c>
      <c r="R145" s="51">
        <v>15.8</v>
      </c>
      <c r="S145" s="51">
        <v>19</v>
      </c>
      <c r="T145" s="51">
        <v>14.8</v>
      </c>
      <c r="U145" s="51">
        <v>16.2</v>
      </c>
      <c r="V145" s="51">
        <v>19</v>
      </c>
      <c r="W145" s="51">
        <v>16.8</v>
      </c>
      <c r="X145" s="51">
        <v>16.600000000000001</v>
      </c>
      <c r="Y145" s="51">
        <v>15.6</v>
      </c>
      <c r="Z145" s="111">
        <v>16.2</v>
      </c>
      <c r="AA145" s="51">
        <v>16.2</v>
      </c>
      <c r="AB145" s="51">
        <v>19.2</v>
      </c>
      <c r="AC145" s="51">
        <v>17.600000000000001</v>
      </c>
      <c r="AD145" s="51">
        <v>19</v>
      </c>
      <c r="AE145" s="51">
        <v>18.399999999999999</v>
      </c>
      <c r="AF145" s="51">
        <v>16.399999999999999</v>
      </c>
      <c r="AG145" s="51">
        <v>18.2</v>
      </c>
      <c r="AH145" s="51">
        <v>17.399999999999999</v>
      </c>
      <c r="AI145" s="51">
        <v>16.600000000000001</v>
      </c>
      <c r="AJ145" s="51"/>
      <c r="AK145" s="51"/>
      <c r="AL145" s="51"/>
      <c r="AM145" s="51"/>
      <c r="AN145" s="51"/>
      <c r="AO145" s="51"/>
      <c r="AP145" s="88">
        <f t="shared" si="11"/>
        <v>25</v>
      </c>
      <c r="AQ145" s="89">
        <f t="shared" si="12"/>
        <v>17.127999999999997</v>
      </c>
      <c r="AR145" s="89">
        <f>IFERROR(VLOOKUP(A145,Climatologia!A:U,9+$E$2,FALSE),"")</f>
        <v>15.740161290322581</v>
      </c>
      <c r="AS145" s="89">
        <f t="shared" si="13"/>
        <v>1.3878387096774158</v>
      </c>
      <c r="AT145" s="90">
        <f t="shared" si="14"/>
        <v>14.8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10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5" s="92">
        <f t="shared" si="15"/>
        <v>4.8000000000000007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14</v>
      </c>
      <c r="L146" s="51">
        <v>14</v>
      </c>
      <c r="M146" s="51">
        <v>13.8</v>
      </c>
      <c r="N146" s="51">
        <v>13.8</v>
      </c>
      <c r="O146" s="51">
        <v>14</v>
      </c>
      <c r="P146" s="51">
        <v>12</v>
      </c>
      <c r="Q146" s="51">
        <v>13.2</v>
      </c>
      <c r="R146" s="51">
        <v>13.2</v>
      </c>
      <c r="S146" s="51">
        <v>14.8</v>
      </c>
      <c r="T146" s="51">
        <v>12.4</v>
      </c>
      <c r="U146" s="51">
        <v>11.4</v>
      </c>
      <c r="V146" s="51">
        <v>13.2</v>
      </c>
      <c r="W146" s="51">
        <v>13.4</v>
      </c>
      <c r="X146" s="51">
        <v>13.2</v>
      </c>
      <c r="Y146" s="51">
        <v>13.2</v>
      </c>
      <c r="Z146" s="111">
        <v>11.4</v>
      </c>
      <c r="AA146" s="51">
        <v>12.2</v>
      </c>
      <c r="AB146" s="51">
        <v>11.4</v>
      </c>
      <c r="AC146" s="51">
        <v>13.6</v>
      </c>
      <c r="AD146" s="51">
        <v>14.6</v>
      </c>
      <c r="AE146" s="51">
        <v>14.3</v>
      </c>
      <c r="AF146" s="51">
        <v>12.4</v>
      </c>
      <c r="AG146" s="51">
        <v>14</v>
      </c>
      <c r="AH146" s="51">
        <v>15.2</v>
      </c>
      <c r="AI146" s="51"/>
      <c r="AJ146" s="51"/>
      <c r="AK146" s="51"/>
      <c r="AL146" s="51"/>
      <c r="AM146" s="51"/>
      <c r="AN146" s="51"/>
      <c r="AO146" s="51"/>
      <c r="AP146" s="88">
        <f t="shared" si="11"/>
        <v>24</v>
      </c>
      <c r="AQ146" s="89">
        <f t="shared" si="12"/>
        <v>13.279166666666663</v>
      </c>
      <c r="AR146" s="89">
        <f>IFERROR(VLOOKUP(A146,Climatologia!A:U,9+$E$2,FALSE),"")</f>
        <v>13.803722366927129</v>
      </c>
      <c r="AS146" s="89">
        <f t="shared" si="13"/>
        <v>-0.52455570026046594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8.1999999999999993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6" s="92">
        <f t="shared" si="15"/>
        <v>3.2000000000000011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17.399999999999999</v>
      </c>
      <c r="L147" s="51">
        <v>16</v>
      </c>
      <c r="M147" s="51">
        <v>16.399999999999999</v>
      </c>
      <c r="N147" s="51">
        <v>15.6</v>
      </c>
      <c r="O147" s="51">
        <v>16.2</v>
      </c>
      <c r="P147" s="51">
        <v>16.399999999999999</v>
      </c>
      <c r="Q147" s="51">
        <v>17.399999999999999</v>
      </c>
      <c r="R147" s="51">
        <v>17</v>
      </c>
      <c r="S147" s="51">
        <v>17.2</v>
      </c>
      <c r="T147" s="51">
        <v>15.4</v>
      </c>
      <c r="U147" s="51">
        <v>16.600000000000001</v>
      </c>
      <c r="V147" s="51">
        <v>16.399999999999999</v>
      </c>
      <c r="W147" s="51">
        <v>15</v>
      </c>
      <c r="X147" s="51">
        <v>16</v>
      </c>
      <c r="Y147" s="51">
        <v>17</v>
      </c>
      <c r="Z147" s="111">
        <v>14.6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17.399999999999999</v>
      </c>
      <c r="AF147" s="51">
        <v>15.2</v>
      </c>
      <c r="AG147" s="51">
        <v>17</v>
      </c>
      <c r="AH147" s="51">
        <v>15.6</v>
      </c>
      <c r="AI147" s="51">
        <v>15.4</v>
      </c>
      <c r="AJ147" s="51"/>
      <c r="AK147" s="51"/>
      <c r="AL147" s="51"/>
      <c r="AM147" s="51"/>
      <c r="AN147" s="51"/>
      <c r="AO147" s="51"/>
      <c r="AP147" s="88">
        <f t="shared" si="11"/>
        <v>25</v>
      </c>
      <c r="AQ147" s="89">
        <f t="shared" si="12"/>
        <v>16.303999999999998</v>
      </c>
      <c r="AR147" s="89">
        <f>IFERROR(VLOOKUP(A147,Climatologia!A:U,9+$E$2,FALSE),"")</f>
        <v>14.51408071669195</v>
      </c>
      <c r="AS147" s="89">
        <f t="shared" si="13"/>
        <v>1.7899192833080484</v>
      </c>
      <c r="AT147" s="90">
        <f t="shared" si="14"/>
        <v>14.6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7" s="92">
        <f t="shared" si="15"/>
        <v>4.1999999999999993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>
        <v>35</v>
      </c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1</v>
      </c>
      <c r="AQ148" s="89" t="str">
        <f t="shared" si="12"/>
        <v/>
      </c>
      <c r="AR148" s="89">
        <f>IFERROR(VLOOKUP(A148,Climatologia!A:U,9+$E$2,FALSE),"")</f>
        <v>22.195180230256881</v>
      </c>
      <c r="AS148" s="89" t="str">
        <f t="shared" si="13"/>
        <v/>
      </c>
      <c r="AT148" s="90">
        <f t="shared" si="14"/>
        <v>35</v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8" s="92">
        <f t="shared" si="15"/>
        <v>19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19.655086355667251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24.2</v>
      </c>
      <c r="L150" s="51">
        <v>25.2</v>
      </c>
      <c r="M150" s="51">
        <v>24.2</v>
      </c>
      <c r="N150" s="51">
        <v>23.8</v>
      </c>
      <c r="O150" s="51">
        <v>23.8</v>
      </c>
      <c r="P150" s="51">
        <v>25</v>
      </c>
      <c r="Q150" s="51">
        <v>25.6</v>
      </c>
      <c r="R150" s="51">
        <v>26.7</v>
      </c>
      <c r="S150" s="51">
        <v>24.2</v>
      </c>
      <c r="T150" s="51">
        <v>24</v>
      </c>
      <c r="U150" s="51">
        <v>25.8</v>
      </c>
      <c r="V150" s="51">
        <v>24.6</v>
      </c>
      <c r="W150" s="51">
        <v>23.4</v>
      </c>
      <c r="X150" s="51">
        <v>25.8</v>
      </c>
      <c r="Y150" s="51">
        <v>25.8</v>
      </c>
      <c r="Z150" s="111">
        <v>26.4</v>
      </c>
      <c r="AA150" s="51">
        <v>26.8</v>
      </c>
      <c r="AB150" s="51">
        <v>24.8</v>
      </c>
      <c r="AC150" s="51">
        <v>24.8</v>
      </c>
      <c r="AD150" s="51">
        <v>24.2</v>
      </c>
      <c r="AE150" s="51">
        <v>23.2</v>
      </c>
      <c r="AF150" s="51">
        <v>23.8</v>
      </c>
      <c r="AG150" s="51">
        <v>24</v>
      </c>
      <c r="AH150" s="51">
        <v>24</v>
      </c>
      <c r="AI150" s="51">
        <v>24.8</v>
      </c>
      <c r="AJ150" s="51"/>
      <c r="AK150" s="51"/>
      <c r="AL150" s="51"/>
      <c r="AM150" s="51"/>
      <c r="AN150" s="51"/>
      <c r="AO150" s="51"/>
      <c r="AP150" s="88">
        <f t="shared" si="11"/>
        <v>25</v>
      </c>
      <c r="AQ150" s="89">
        <f t="shared" si="12"/>
        <v>24.755999999999993</v>
      </c>
      <c r="AR150" s="89">
        <f>IFERROR(VLOOKUP(A150,Climatologia!A:U,9+$E$2,FALSE),"")</f>
        <v>22.18387110738724</v>
      </c>
      <c r="AS150" s="89">
        <f t="shared" si="13"/>
        <v>2.5721288926127528</v>
      </c>
      <c r="AT150" s="90">
        <f t="shared" si="14"/>
        <v>23.2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19.2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50" s="92">
        <f t="shared" si="15"/>
        <v>4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24</v>
      </c>
      <c r="L151" s="51">
        <v>26</v>
      </c>
      <c r="M151" s="51">
        <v>23.8</v>
      </c>
      <c r="N151" s="51"/>
      <c r="O151" s="51">
        <v>24.2</v>
      </c>
      <c r="P151" s="51">
        <v>25.4</v>
      </c>
      <c r="Q151" s="51">
        <v>24.8</v>
      </c>
      <c r="R151" s="51">
        <v>25.6</v>
      </c>
      <c r="S151" s="51">
        <v>23.6</v>
      </c>
      <c r="T151" s="51">
        <v>23.6</v>
      </c>
      <c r="U151" s="51"/>
      <c r="V151" s="51">
        <v>24.4</v>
      </c>
      <c r="W151" s="51">
        <v>24</v>
      </c>
      <c r="X151" s="51">
        <v>24</v>
      </c>
      <c r="Y151" s="51">
        <v>24</v>
      </c>
      <c r="Z151" s="111">
        <v>25.6</v>
      </c>
      <c r="AA151" s="51">
        <v>25.8</v>
      </c>
      <c r="AB151" s="51">
        <v>24</v>
      </c>
      <c r="AC151" s="51">
        <v>25</v>
      </c>
      <c r="AD151" s="51">
        <v>24.4</v>
      </c>
      <c r="AE151" s="51">
        <v>23.4</v>
      </c>
      <c r="AF151" s="51"/>
      <c r="AG151" s="51">
        <v>23.4</v>
      </c>
      <c r="AH151" s="51">
        <v>23.4</v>
      </c>
      <c r="AI151" s="51">
        <v>23.8</v>
      </c>
      <c r="AJ151" s="51"/>
      <c r="AK151" s="51"/>
      <c r="AL151" s="51"/>
      <c r="AM151" s="51"/>
      <c r="AN151" s="51"/>
      <c r="AO151" s="51"/>
      <c r="AP151" s="88">
        <f t="shared" si="11"/>
        <v>22</v>
      </c>
      <c r="AQ151" s="89">
        <f t="shared" si="12"/>
        <v>24.372727272727271</v>
      </c>
      <c r="AR151" s="89">
        <f>IFERROR(VLOOKUP(A151,Climatologia!A:U,9+$E$2,FALSE),"")</f>
        <v>23.43347279820177</v>
      </c>
      <c r="AS151" s="89">
        <f t="shared" si="13"/>
        <v>0.93925447452550159</v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17.399999999999999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1" s="92">
        <f t="shared" si="15"/>
        <v>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16</v>
      </c>
      <c r="L152" s="51"/>
      <c r="M152" s="51">
        <v>15.4</v>
      </c>
      <c r="N152" s="51">
        <v>15</v>
      </c>
      <c r="O152" s="51">
        <v>15.4</v>
      </c>
      <c r="P152" s="51">
        <v>14.4</v>
      </c>
      <c r="Q152" s="51">
        <v>15.8</v>
      </c>
      <c r="R152" s="51">
        <v>16</v>
      </c>
      <c r="S152" s="51">
        <v>16.8</v>
      </c>
      <c r="T152" s="51">
        <v>14.6</v>
      </c>
      <c r="U152" s="51">
        <v>15.6</v>
      </c>
      <c r="V152" s="51">
        <v>16.2</v>
      </c>
      <c r="W152" s="51">
        <v>14.8</v>
      </c>
      <c r="X152" s="51">
        <v>15</v>
      </c>
      <c r="Y152" s="51">
        <v>14.8</v>
      </c>
      <c r="Z152" s="111">
        <v>15.2</v>
      </c>
      <c r="AA152" s="51">
        <v>15.2</v>
      </c>
      <c r="AB152" s="51">
        <v>16</v>
      </c>
      <c r="AC152" s="51">
        <v>16.8</v>
      </c>
      <c r="AD152" s="51">
        <v>16</v>
      </c>
      <c r="AE152" s="51">
        <v>15.4</v>
      </c>
      <c r="AF152" s="51">
        <v>14.2</v>
      </c>
      <c r="AG152" s="51">
        <v>16.399999999999999</v>
      </c>
      <c r="AH152" s="51">
        <v>14</v>
      </c>
      <c r="AI152" s="51">
        <v>14.2</v>
      </c>
      <c r="AJ152" s="51"/>
      <c r="AK152" s="51"/>
      <c r="AL152" s="51"/>
      <c r="AM152" s="51"/>
      <c r="AN152" s="51"/>
      <c r="AO152" s="51"/>
      <c r="AP152" s="88">
        <f t="shared" si="11"/>
        <v>24</v>
      </c>
      <c r="AQ152" s="89">
        <f t="shared" si="12"/>
        <v>15.383333333333331</v>
      </c>
      <c r="AR152" s="89">
        <f>IFERROR(VLOOKUP(A152,Climatologia!A:U,9+$E$2,FALSE),"")</f>
        <v>14.297625170572489</v>
      </c>
      <c r="AS152" s="89">
        <f t="shared" si="13"/>
        <v>1.0857081627608416</v>
      </c>
      <c r="AT152" s="90">
        <f t="shared" si="14"/>
        <v>14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9.4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2" s="92">
        <f t="shared" si="15"/>
        <v>4.5999999999999996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21.4</v>
      </c>
      <c r="M153" s="51">
        <v>19.8</v>
      </c>
      <c r="N153" s="51">
        <v>20</v>
      </c>
      <c r="O153" s="51">
        <v>21</v>
      </c>
      <c r="P153" s="51">
        <v>21.4</v>
      </c>
      <c r="Q153" s="51">
        <v>21.2</v>
      </c>
      <c r="R153" s="51">
        <v>20.399999999999999</v>
      </c>
      <c r="S153" s="51">
        <v>22</v>
      </c>
      <c r="T153" s="51">
        <v>18.399999999999999</v>
      </c>
      <c r="U153" s="51">
        <v>18.8</v>
      </c>
      <c r="V153" s="51">
        <v>20.8</v>
      </c>
      <c r="W153" s="51">
        <v>19.399999999999999</v>
      </c>
      <c r="X153" s="51">
        <v>19.2</v>
      </c>
      <c r="Y153" s="51">
        <v>19.2</v>
      </c>
      <c r="Z153" s="111">
        <v>19.399999999999999</v>
      </c>
      <c r="AA153" s="51">
        <v>21.2</v>
      </c>
      <c r="AB153" s="51">
        <v>21.2</v>
      </c>
      <c r="AC153" s="51">
        <v>21.8</v>
      </c>
      <c r="AD153" s="51">
        <v>21.2</v>
      </c>
      <c r="AE153" s="51">
        <v>20.399999999999999</v>
      </c>
      <c r="AF153" s="51">
        <v>18.8</v>
      </c>
      <c r="AG153" s="51">
        <v>20.8</v>
      </c>
      <c r="AH153" s="51">
        <v>20.8</v>
      </c>
      <c r="AI153" s="51">
        <v>19.399999999999999</v>
      </c>
      <c r="AJ153" s="51"/>
      <c r="AK153" s="51"/>
      <c r="AL153" s="51"/>
      <c r="AM153" s="51"/>
      <c r="AN153" s="51"/>
      <c r="AO153" s="51"/>
      <c r="AP153" s="88">
        <f t="shared" si="11"/>
        <v>25</v>
      </c>
      <c r="AQ153" s="89">
        <f t="shared" si="12"/>
        <v>20.351999999999997</v>
      </c>
      <c r="AR153" s="89">
        <f>IFERROR(VLOOKUP(A153,Climatologia!A:U,9+$E$2,FALSE),"")</f>
        <v>19.338408533503909</v>
      </c>
      <c r="AS153" s="89">
        <f t="shared" si="13"/>
        <v>1.0135914664960879</v>
      </c>
      <c r="AT153" s="90">
        <f t="shared" si="14"/>
        <v>18.399999999999999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3" s="92">
        <f t="shared" si="15"/>
        <v>4.3999999999999986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16.8</v>
      </c>
      <c r="L154" s="51">
        <v>17</v>
      </c>
      <c r="M154" s="51">
        <v>15.8</v>
      </c>
      <c r="N154" s="51">
        <v>17.600000000000001</v>
      </c>
      <c r="O154" s="51">
        <v>17.600000000000001</v>
      </c>
      <c r="P154" s="51">
        <v>15.2</v>
      </c>
      <c r="Q154" s="51">
        <v>17</v>
      </c>
      <c r="R154" s="51">
        <v>17.2</v>
      </c>
      <c r="S154" s="51">
        <v>17</v>
      </c>
      <c r="T154" s="51">
        <v>15</v>
      </c>
      <c r="U154" s="51">
        <v>14.8</v>
      </c>
      <c r="V154" s="51">
        <v>16.8</v>
      </c>
      <c r="W154" s="51">
        <v>15</v>
      </c>
      <c r="X154" s="51">
        <v>13.2</v>
      </c>
      <c r="Y154" s="51">
        <v>16.600000000000001</v>
      </c>
      <c r="Z154" s="111">
        <v>15.2</v>
      </c>
      <c r="AA154" s="51">
        <v>16</v>
      </c>
      <c r="AB154" s="51">
        <v>16.399999999999999</v>
      </c>
      <c r="AC154" s="51">
        <v>16.8</v>
      </c>
      <c r="AD154" s="51">
        <v>16.2</v>
      </c>
      <c r="AE154" s="51">
        <v>17.8</v>
      </c>
      <c r="AF154" s="51">
        <v>16.2</v>
      </c>
      <c r="AG154" s="51">
        <v>16.600000000000001</v>
      </c>
      <c r="AH154" s="51">
        <v>16.100000000000001</v>
      </c>
      <c r="AI154" s="51">
        <v>16.2</v>
      </c>
      <c r="AJ154" s="51"/>
      <c r="AK154" s="51"/>
      <c r="AL154" s="51"/>
      <c r="AM154" s="51"/>
      <c r="AN154" s="51"/>
      <c r="AO154" s="51"/>
      <c r="AP154" s="88">
        <f t="shared" si="11"/>
        <v>25</v>
      </c>
      <c r="AQ154" s="89">
        <f t="shared" si="12"/>
        <v>16.244</v>
      </c>
      <c r="AR154" s="89">
        <f>IFERROR(VLOOKUP(A154,Climatologia!A:U,9+$E$2,FALSE),"")</f>
        <v>15.46093670134405</v>
      </c>
      <c r="AS154" s="89">
        <f t="shared" si="13"/>
        <v>0.78306329865595004</v>
      </c>
      <c r="AT154" s="90">
        <f t="shared" si="14"/>
        <v>13.2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4" s="92">
        <f t="shared" si="15"/>
        <v>2.1999999999999993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18.399999999999999</v>
      </c>
      <c r="L155" s="51">
        <v>19</v>
      </c>
      <c r="M155" s="51">
        <v>18.8</v>
      </c>
      <c r="N155" s="51">
        <v>18.600000000000001</v>
      </c>
      <c r="O155" s="51">
        <v>18.2</v>
      </c>
      <c r="P155" s="51">
        <v>18.2</v>
      </c>
      <c r="Q155" s="51">
        <v>19</v>
      </c>
      <c r="R155" s="51">
        <v>19.399999999999999</v>
      </c>
      <c r="S155" s="51">
        <v>18.8</v>
      </c>
      <c r="T155" s="51">
        <v>18</v>
      </c>
      <c r="U155" s="51">
        <v>19</v>
      </c>
      <c r="V155" s="51">
        <v>18.600000000000001</v>
      </c>
      <c r="W155" s="51">
        <v>18.2</v>
      </c>
      <c r="X155" s="51">
        <v>19</v>
      </c>
      <c r="Y155" s="51">
        <v>18.399999999999999</v>
      </c>
      <c r="Z155" s="111">
        <v>18.8</v>
      </c>
      <c r="AA155" s="51">
        <v>18.600000000000001</v>
      </c>
      <c r="AB155" s="51">
        <v>19</v>
      </c>
      <c r="AC155" s="51">
        <v>19.2</v>
      </c>
      <c r="AD155" s="51">
        <v>18.8</v>
      </c>
      <c r="AE155" s="51">
        <v>18.2</v>
      </c>
      <c r="AF155" s="51">
        <v>19</v>
      </c>
      <c r="AG155" s="51">
        <v>19.2</v>
      </c>
      <c r="AH155" s="51">
        <v>18.8</v>
      </c>
      <c r="AI155" s="51">
        <v>18.600000000000001</v>
      </c>
      <c r="AJ155" s="51"/>
      <c r="AK155" s="51"/>
      <c r="AL155" s="51"/>
      <c r="AM155" s="51"/>
      <c r="AN155" s="51"/>
      <c r="AO155" s="51"/>
      <c r="AP155" s="88">
        <f t="shared" si="11"/>
        <v>25</v>
      </c>
      <c r="AQ155" s="89">
        <f t="shared" si="12"/>
        <v>18.712000000000003</v>
      </c>
      <c r="AR155" s="89">
        <f>IFERROR(VLOOKUP(A155,Climatologia!A:U,9+$E$2,FALSE),"")</f>
        <v>17.87864592645921</v>
      </c>
      <c r="AS155" s="89">
        <f t="shared" si="13"/>
        <v>0.83335407354079294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12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5" s="92">
        <f t="shared" si="15"/>
        <v>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13.12444319775596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11.2</v>
      </c>
      <c r="L157" s="51">
        <v>11</v>
      </c>
      <c r="M157" s="51">
        <v>10.199999999999999</v>
      </c>
      <c r="N157" s="51">
        <v>10</v>
      </c>
      <c r="O157" s="51">
        <v>10.199999999999999</v>
      </c>
      <c r="P157" s="51">
        <v>10.6</v>
      </c>
      <c r="Q157" s="51">
        <v>10</v>
      </c>
      <c r="R157" s="51"/>
      <c r="S157" s="51">
        <v>10</v>
      </c>
      <c r="T157" s="51">
        <v>10.4</v>
      </c>
      <c r="U157" s="51">
        <v>11</v>
      </c>
      <c r="V157" s="51">
        <v>10.8</v>
      </c>
      <c r="W157" s="51">
        <v>9</v>
      </c>
      <c r="X157" s="51">
        <v>9.4</v>
      </c>
      <c r="Y157" s="51">
        <v>9.1999999999999993</v>
      </c>
      <c r="Z157" s="111">
        <v>9.6</v>
      </c>
      <c r="AA157" s="51"/>
      <c r="AB157" s="51">
        <v>10</v>
      </c>
      <c r="AC157" s="51">
        <v>10</v>
      </c>
      <c r="AD157" s="51">
        <v>9.8000000000000007</v>
      </c>
      <c r="AE157" s="51">
        <v>9.6</v>
      </c>
      <c r="AF157" s="51">
        <v>11</v>
      </c>
      <c r="AG157" s="51">
        <v>11.4</v>
      </c>
      <c r="AH157" s="51">
        <v>10</v>
      </c>
      <c r="AI157" s="51">
        <v>10</v>
      </c>
      <c r="AJ157" s="51"/>
      <c r="AK157" s="51"/>
      <c r="AL157" s="51"/>
      <c r="AM157" s="51"/>
      <c r="AN157" s="51"/>
      <c r="AO157" s="51"/>
      <c r="AP157" s="88">
        <f t="shared" si="11"/>
        <v>23</v>
      </c>
      <c r="AQ157" s="89">
        <f t="shared" si="12"/>
        <v>10.191304347826087</v>
      </c>
      <c r="AR157" s="89">
        <f>IFERROR(VLOOKUP(A157,Climatologia!A:U,9+$E$2,FALSE),"")</f>
        <v>9.5855913978494645</v>
      </c>
      <c r="AS157" s="89">
        <f t="shared" si="13"/>
        <v>0.60571294997662228</v>
      </c>
      <c r="AT157" s="90">
        <f t="shared" si="14"/>
        <v>9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7" s="92">
        <f t="shared" si="15"/>
        <v>2.8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14.4</v>
      </c>
      <c r="L158" s="51">
        <v>14.8</v>
      </c>
      <c r="M158" s="51">
        <v>13</v>
      </c>
      <c r="N158" s="51">
        <v>14.2</v>
      </c>
      <c r="O158" s="51">
        <v>13.8</v>
      </c>
      <c r="P158" s="51">
        <v>13.8</v>
      </c>
      <c r="Q158" s="51">
        <v>15</v>
      </c>
      <c r="R158" s="51">
        <v>14.4</v>
      </c>
      <c r="S158" s="51"/>
      <c r="T158" s="51">
        <v>11.2</v>
      </c>
      <c r="U158" s="51">
        <v>13.2</v>
      </c>
      <c r="V158" s="51">
        <v>14.4</v>
      </c>
      <c r="W158" s="51">
        <v>13.2</v>
      </c>
      <c r="X158" s="51">
        <v>13.2</v>
      </c>
      <c r="Y158" s="51">
        <v>13.6</v>
      </c>
      <c r="Z158" s="111">
        <v>15</v>
      </c>
      <c r="AA158" s="51">
        <v>13</v>
      </c>
      <c r="AB158" s="51">
        <v>14.2</v>
      </c>
      <c r="AC158" s="51">
        <v>14.8</v>
      </c>
      <c r="AD158" s="51">
        <v>14.8</v>
      </c>
      <c r="AE158" s="51">
        <v>14.8</v>
      </c>
      <c r="AF158" s="51">
        <v>13</v>
      </c>
      <c r="AG158" s="51">
        <v>14.4</v>
      </c>
      <c r="AH158" s="51">
        <v>14</v>
      </c>
      <c r="AI158" s="51">
        <v>13.2</v>
      </c>
      <c r="AJ158" s="51"/>
      <c r="AK158" s="51"/>
      <c r="AL158" s="51"/>
      <c r="AM158" s="51"/>
      <c r="AN158" s="51"/>
      <c r="AO158" s="51"/>
      <c r="AP158" s="88">
        <f t="shared" si="11"/>
        <v>24</v>
      </c>
      <c r="AQ158" s="89">
        <f t="shared" si="12"/>
        <v>13.891666666666666</v>
      </c>
      <c r="AR158" s="89">
        <f>IFERROR(VLOOKUP(A158,Climatologia!A:U,9+$E$2,FALSE),"")</f>
        <v>13.943843654075909</v>
      </c>
      <c r="AS158" s="89">
        <f t="shared" si="13"/>
        <v>-5.217698740924348E-2</v>
      </c>
      <c r="AT158" s="90">
        <f t="shared" si="14"/>
        <v>11.2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8" s="92">
        <f t="shared" si="15"/>
        <v>0.19999999999999929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20.399999999999999</v>
      </c>
      <c r="L159" s="51">
        <v>22</v>
      </c>
      <c r="M159" s="51">
        <v>20.6</v>
      </c>
      <c r="N159" s="51">
        <v>21.8</v>
      </c>
      <c r="O159" s="51">
        <v>21.2</v>
      </c>
      <c r="P159" s="51">
        <v>20</v>
      </c>
      <c r="Q159" s="51">
        <v>21</v>
      </c>
      <c r="R159" s="51">
        <v>21.8</v>
      </c>
      <c r="S159" s="51">
        <v>20.8</v>
      </c>
      <c r="T159" s="51">
        <v>19.2</v>
      </c>
      <c r="U159" s="51">
        <v>20.399999999999999</v>
      </c>
      <c r="V159" s="51">
        <v>21.2</v>
      </c>
      <c r="W159" s="51">
        <v>21.6</v>
      </c>
      <c r="X159" s="51">
        <v>21.2</v>
      </c>
      <c r="Y159" s="51">
        <v>20.8</v>
      </c>
      <c r="Z159" s="111">
        <v>20.6</v>
      </c>
      <c r="AA159" s="51"/>
      <c r="AB159" s="51"/>
      <c r="AC159" s="51">
        <v>21.2</v>
      </c>
      <c r="AD159" s="51">
        <v>20.8</v>
      </c>
      <c r="AE159" s="51">
        <v>21.8</v>
      </c>
      <c r="AF159" s="51">
        <v>21</v>
      </c>
      <c r="AG159" s="51">
        <v>21.2</v>
      </c>
      <c r="AH159" s="51">
        <v>21</v>
      </c>
      <c r="AI159" s="51">
        <v>20.2</v>
      </c>
      <c r="AJ159" s="51"/>
      <c r="AK159" s="51"/>
      <c r="AL159" s="51"/>
      <c r="AM159" s="51"/>
      <c r="AN159" s="51"/>
      <c r="AO159" s="51"/>
      <c r="AP159" s="88">
        <f t="shared" si="11"/>
        <v>23</v>
      </c>
      <c r="AQ159" s="89">
        <f t="shared" si="12"/>
        <v>20.947826086956521</v>
      </c>
      <c r="AR159" s="89">
        <f>IFERROR(VLOOKUP(A159,Climatologia!A:U,9+$E$2,FALSE),"")</f>
        <v>19.834386821064239</v>
      </c>
      <c r="AS159" s="89">
        <f t="shared" si="13"/>
        <v>1.113439265892282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15.6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9" s="92">
        <f t="shared" si="15"/>
        <v>3.5999999999999996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6.8</v>
      </c>
      <c r="L160" s="51">
        <v>6.8</v>
      </c>
      <c r="M160" s="51">
        <v>7.8</v>
      </c>
      <c r="N160" s="51">
        <v>7</v>
      </c>
      <c r="O160" s="51">
        <v>6.8</v>
      </c>
      <c r="P160" s="51">
        <v>3.8</v>
      </c>
      <c r="Q160" s="51">
        <v>7.8</v>
      </c>
      <c r="R160" s="51">
        <v>7.4</v>
      </c>
      <c r="S160" s="51">
        <v>8.1999999999999993</v>
      </c>
      <c r="T160" s="51">
        <v>6</v>
      </c>
      <c r="U160" s="51">
        <v>6.4</v>
      </c>
      <c r="V160" s="51">
        <v>6.4</v>
      </c>
      <c r="W160" s="51">
        <v>5.4</v>
      </c>
      <c r="X160" s="51">
        <v>6.6</v>
      </c>
      <c r="Y160" s="51">
        <v>6.2</v>
      </c>
      <c r="Z160" s="111">
        <v>6.6</v>
      </c>
      <c r="AA160" s="51">
        <v>6.2</v>
      </c>
      <c r="AB160" s="51">
        <v>6.4</v>
      </c>
      <c r="AC160" s="51">
        <v>7.4</v>
      </c>
      <c r="AD160" s="51">
        <v>5.6</v>
      </c>
      <c r="AE160" s="51">
        <v>6.4</v>
      </c>
      <c r="AF160" s="51">
        <v>6.2</v>
      </c>
      <c r="AG160" s="51">
        <v>7.6</v>
      </c>
      <c r="AH160" s="51">
        <v>6</v>
      </c>
      <c r="AI160" s="51">
        <v>4.5999999999999996</v>
      </c>
      <c r="AJ160" s="51"/>
      <c r="AK160" s="51"/>
      <c r="AL160" s="51"/>
      <c r="AM160" s="51"/>
      <c r="AN160" s="51"/>
      <c r="AO160" s="51"/>
      <c r="AP160" s="88">
        <f t="shared" si="11"/>
        <v>25</v>
      </c>
      <c r="AQ160" s="89">
        <f t="shared" si="12"/>
        <v>6.4960000000000004</v>
      </c>
      <c r="AR160" s="89">
        <f>IFERROR(VLOOKUP(A160,Climatologia!A:U,9+$E$2,FALSE),"")</f>
        <v>5.6003137960461657</v>
      </c>
      <c r="AS160" s="89">
        <f t="shared" si="13"/>
        <v>0.89568620395383469</v>
      </c>
      <c r="AT160" s="90">
        <f t="shared" si="14"/>
        <v>3.8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-3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60" s="92">
        <f t="shared" si="15"/>
        <v>6.8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20.8</v>
      </c>
      <c r="L161" s="51"/>
      <c r="M161" s="51"/>
      <c r="N161" s="51">
        <v>20.6</v>
      </c>
      <c r="O161" s="51">
        <v>20.8</v>
      </c>
      <c r="P161" s="51">
        <v>21</v>
      </c>
      <c r="Q161" s="51">
        <v>20.6</v>
      </c>
      <c r="R161" s="51">
        <v>20.8</v>
      </c>
      <c r="S161" s="51">
        <v>21</v>
      </c>
      <c r="T161" s="51">
        <v>20.2</v>
      </c>
      <c r="U161" s="51">
        <v>20.2</v>
      </c>
      <c r="V161" s="51"/>
      <c r="W161" s="51">
        <v>20</v>
      </c>
      <c r="X161" s="51">
        <v>20.2</v>
      </c>
      <c r="Y161" s="51">
        <v>20</v>
      </c>
      <c r="Z161" s="111">
        <v>20.2</v>
      </c>
      <c r="AA161" s="51">
        <v>20.2</v>
      </c>
      <c r="AB161" s="51"/>
      <c r="AC161" s="51"/>
      <c r="AD161" s="51">
        <v>21.8</v>
      </c>
      <c r="AE161" s="51">
        <v>21</v>
      </c>
      <c r="AF161" s="51">
        <v>21.4</v>
      </c>
      <c r="AG161" s="51">
        <v>21.8</v>
      </c>
      <c r="AH161" s="51">
        <v>20</v>
      </c>
      <c r="AI161" s="51">
        <v>21</v>
      </c>
      <c r="AJ161" s="51"/>
      <c r="AK161" s="51"/>
      <c r="AL161" s="51"/>
      <c r="AM161" s="51"/>
      <c r="AN161" s="51"/>
      <c r="AO161" s="51"/>
      <c r="AP161" s="88">
        <f t="shared" si="11"/>
        <v>20</v>
      </c>
      <c r="AQ161" s="89">
        <f t="shared" si="12"/>
        <v>20.68</v>
      </c>
      <c r="AR161" s="89">
        <f>IFERROR(VLOOKUP(A161,Climatologia!A:U,9+$E$2,FALSE),"")</f>
        <v>20.495547320475019</v>
      </c>
      <c r="AS161" s="89">
        <f t="shared" si="13"/>
        <v>0.18445267952498057</v>
      </c>
      <c r="AT161" s="90">
        <f t="shared" si="14"/>
        <v>20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1" s="92">
        <f t="shared" si="15"/>
        <v>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14.8</v>
      </c>
      <c r="L162" s="51">
        <v>15</v>
      </c>
      <c r="M162" s="51">
        <v>15.8</v>
      </c>
      <c r="N162" s="51">
        <v>14.6</v>
      </c>
      <c r="O162" s="51">
        <v>14.8</v>
      </c>
      <c r="P162" s="51">
        <v>14.6</v>
      </c>
      <c r="Q162" s="51">
        <v>14.8</v>
      </c>
      <c r="R162" s="51">
        <v>14.8</v>
      </c>
      <c r="S162" s="51">
        <v>15</v>
      </c>
      <c r="T162" s="51">
        <v>15</v>
      </c>
      <c r="U162" s="51">
        <v>15</v>
      </c>
      <c r="V162" s="51">
        <v>16</v>
      </c>
      <c r="W162" s="51">
        <v>15</v>
      </c>
      <c r="X162" s="51">
        <v>14.8</v>
      </c>
      <c r="Y162" s="51">
        <v>15</v>
      </c>
      <c r="Z162" s="111">
        <v>15</v>
      </c>
      <c r="AA162" s="51">
        <v>14.2</v>
      </c>
      <c r="AB162" s="51">
        <v>14.8</v>
      </c>
      <c r="AC162" s="51">
        <v>14.4</v>
      </c>
      <c r="AD162" s="51">
        <v>14.2</v>
      </c>
      <c r="AE162" s="51">
        <v>14.4</v>
      </c>
      <c r="AF162" s="51">
        <v>14.2</v>
      </c>
      <c r="AG162" s="51">
        <v>14.4</v>
      </c>
      <c r="AH162" s="51">
        <v>14</v>
      </c>
      <c r="AI162" s="51">
        <v>12.8</v>
      </c>
      <c r="AJ162" s="51"/>
      <c r="AK162" s="51"/>
      <c r="AL162" s="51"/>
      <c r="AM162" s="51"/>
      <c r="AN162" s="51"/>
      <c r="AO162" s="51"/>
      <c r="AP162" s="88">
        <f t="shared" si="11"/>
        <v>25</v>
      </c>
      <c r="AQ162" s="89">
        <f t="shared" si="12"/>
        <v>14.695999999999996</v>
      </c>
      <c r="AR162" s="89">
        <f>IFERROR(VLOOKUP(A162,Climatologia!A:U,9+$E$2,FALSE),"")</f>
        <v>13.818785782119109</v>
      </c>
      <c r="AS162" s="89">
        <f t="shared" si="13"/>
        <v>0.87721421788088705</v>
      </c>
      <c r="AT162" s="90">
        <f t="shared" si="14"/>
        <v>12.8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2" s="92">
        <f t="shared" si="15"/>
        <v>2.8000000000000007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19</v>
      </c>
      <c r="L163" s="51">
        <v>18</v>
      </c>
      <c r="M163" s="51">
        <v>18.600000000000001</v>
      </c>
      <c r="N163" s="51">
        <v>18</v>
      </c>
      <c r="O163" s="51">
        <v>18.600000000000001</v>
      </c>
      <c r="P163" s="51">
        <v>19</v>
      </c>
      <c r="Q163" s="51">
        <v>17.600000000000001</v>
      </c>
      <c r="R163" s="51">
        <v>19.600000000000001</v>
      </c>
      <c r="S163" s="51"/>
      <c r="T163" s="51">
        <v>18</v>
      </c>
      <c r="U163" s="51">
        <v>20</v>
      </c>
      <c r="V163" s="51">
        <v>18.600000000000001</v>
      </c>
      <c r="W163" s="51">
        <v>18</v>
      </c>
      <c r="X163" s="51">
        <v>18.600000000000001</v>
      </c>
      <c r="Y163" s="51">
        <v>18</v>
      </c>
      <c r="Z163" s="111">
        <v>19</v>
      </c>
      <c r="AA163" s="51">
        <v>18.600000000000001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19.600000000000001</v>
      </c>
      <c r="AG163" s="51">
        <v>18.600000000000001</v>
      </c>
      <c r="AH163" s="51">
        <v>19</v>
      </c>
      <c r="AI163" s="51">
        <v>18</v>
      </c>
      <c r="AJ163" s="51"/>
      <c r="AK163" s="51"/>
      <c r="AL163" s="51"/>
      <c r="AM163" s="51"/>
      <c r="AN163" s="51"/>
      <c r="AO163" s="51"/>
      <c r="AP163" s="88">
        <f t="shared" si="11"/>
        <v>24</v>
      </c>
      <c r="AQ163" s="89">
        <f t="shared" si="12"/>
        <v>18.56666666666667</v>
      </c>
      <c r="AR163" s="89">
        <f>IFERROR(VLOOKUP(A163,Climatologia!A:U,9+$E$2,FALSE),"")</f>
        <v>18.04587813620072</v>
      </c>
      <c r="AS163" s="89">
        <f t="shared" si="13"/>
        <v>0.52078853046594986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14.2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3" s="92">
        <f t="shared" si="15"/>
        <v>3.4000000000000021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19.8</v>
      </c>
      <c r="M164" s="51">
        <v>21.4</v>
      </c>
      <c r="N164" s="51">
        <v>20.6</v>
      </c>
      <c r="O164" s="51">
        <v>19.399999999999999</v>
      </c>
      <c r="P164" s="51">
        <v>19.3</v>
      </c>
      <c r="Q164" s="51">
        <v>19.2</v>
      </c>
      <c r="R164" s="51">
        <v>19</v>
      </c>
      <c r="S164" s="51">
        <v>20.6</v>
      </c>
      <c r="T164" s="51">
        <v>20.6</v>
      </c>
      <c r="U164" s="51">
        <v>19.7</v>
      </c>
      <c r="V164" s="51">
        <v>20.5</v>
      </c>
      <c r="W164" s="51">
        <v>21.1</v>
      </c>
      <c r="X164" s="51">
        <v>16.8</v>
      </c>
      <c r="Y164" s="51">
        <v>19</v>
      </c>
      <c r="Z164" s="111">
        <v>18.8</v>
      </c>
      <c r="AA164" s="51">
        <v>18.399999999999999</v>
      </c>
      <c r="AB164" s="51">
        <v>21.8</v>
      </c>
      <c r="AC164" s="51">
        <v>19.8</v>
      </c>
      <c r="AD164" s="51">
        <v>20</v>
      </c>
      <c r="AE164" s="51">
        <v>20.399999999999999</v>
      </c>
      <c r="AF164" s="51">
        <v>19.2</v>
      </c>
      <c r="AG164" s="51">
        <v>18.600000000000001</v>
      </c>
      <c r="AH164" s="51">
        <v>17</v>
      </c>
      <c r="AI164" s="51">
        <v>18.600000000000001</v>
      </c>
      <c r="AJ164" s="51"/>
      <c r="AK164" s="51"/>
      <c r="AL164" s="51"/>
      <c r="AM164" s="51"/>
      <c r="AN164" s="51"/>
      <c r="AO164" s="51"/>
      <c r="AP164" s="88">
        <f t="shared" si="11"/>
        <v>25</v>
      </c>
      <c r="AQ164" s="89">
        <f t="shared" si="12"/>
        <v>19.608000000000001</v>
      </c>
      <c r="AR164" s="89">
        <f>IFERROR(VLOOKUP(A164,Climatologia!A:U,9+$E$2,FALSE),"")</f>
        <v>19.115674945265461</v>
      </c>
      <c r="AS164" s="89">
        <f t="shared" si="13"/>
        <v>0.49232505473453969</v>
      </c>
      <c r="AT164" s="90">
        <f t="shared" si="14"/>
        <v>16.8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14.7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4" s="92">
        <f t="shared" si="15"/>
        <v>2.1000000000000014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11.2</v>
      </c>
      <c r="L165" s="51">
        <v>11.2</v>
      </c>
      <c r="M165" s="51">
        <v>10</v>
      </c>
      <c r="N165" s="51">
        <v>9.8000000000000007</v>
      </c>
      <c r="O165" s="51">
        <v>10.6</v>
      </c>
      <c r="P165" s="51">
        <v>11.4</v>
      </c>
      <c r="Q165" s="51">
        <v>10.8</v>
      </c>
      <c r="R165" s="51">
        <v>11.2</v>
      </c>
      <c r="S165" s="51">
        <v>10.6</v>
      </c>
      <c r="T165" s="51">
        <v>10.199999999999999</v>
      </c>
      <c r="U165" s="51">
        <v>9</v>
      </c>
      <c r="V165" s="51">
        <v>8.6</v>
      </c>
      <c r="W165" s="51">
        <v>10</v>
      </c>
      <c r="X165" s="51">
        <v>11</v>
      </c>
      <c r="Y165" s="51">
        <v>10.8</v>
      </c>
      <c r="Z165" s="111">
        <v>9</v>
      </c>
      <c r="AA165" s="51">
        <v>10</v>
      </c>
      <c r="AB165" s="51">
        <v>10.8</v>
      </c>
      <c r="AC165" s="51">
        <v>11.8</v>
      </c>
      <c r="AD165" s="51">
        <v>9.8000000000000007</v>
      </c>
      <c r="AE165" s="51">
        <v>10.8</v>
      </c>
      <c r="AF165" s="51">
        <v>10</v>
      </c>
      <c r="AG165" s="51">
        <v>9.8000000000000007</v>
      </c>
      <c r="AH165" s="51">
        <v>10.8</v>
      </c>
      <c r="AI165" s="51">
        <v>9.8000000000000007</v>
      </c>
      <c r="AJ165" s="51"/>
      <c r="AK165" s="51"/>
      <c r="AL165" s="51"/>
      <c r="AM165" s="51"/>
      <c r="AN165" s="51"/>
      <c r="AO165" s="51"/>
      <c r="AP165" s="88">
        <f t="shared" si="11"/>
        <v>25</v>
      </c>
      <c r="AQ165" s="89">
        <f t="shared" si="12"/>
        <v>10.360000000000003</v>
      </c>
      <c r="AR165" s="89">
        <f>IFERROR(VLOOKUP(A165,Climatologia!A:U,9+$E$2,FALSE),"")</f>
        <v>8.3170988717622762</v>
      </c>
      <c r="AS165" s="89">
        <f t="shared" si="13"/>
        <v>2.0429011282377267</v>
      </c>
      <c r="AT165" s="90">
        <f t="shared" si="14"/>
        <v>8.6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5" s="92">
        <f t="shared" si="15"/>
        <v>6.6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20.399999999999999</v>
      </c>
      <c r="L166" s="51">
        <v>19.2</v>
      </c>
      <c r="M166" s="51">
        <v>20</v>
      </c>
      <c r="N166" s="51">
        <v>19</v>
      </c>
      <c r="O166" s="51">
        <v>19.399999999999999</v>
      </c>
      <c r="P166" s="51"/>
      <c r="Q166" s="51">
        <v>19</v>
      </c>
      <c r="R166" s="51">
        <v>18.2</v>
      </c>
      <c r="S166" s="51">
        <v>20.2</v>
      </c>
      <c r="T166" s="51">
        <v>18</v>
      </c>
      <c r="U166" s="51">
        <v>19</v>
      </c>
      <c r="V166" s="51">
        <v>19.600000000000001</v>
      </c>
      <c r="W166" s="51">
        <v>20</v>
      </c>
      <c r="X166" s="51">
        <v>18.2</v>
      </c>
      <c r="Y166" s="51">
        <v>19</v>
      </c>
      <c r="Z166" s="111">
        <v>20.2</v>
      </c>
      <c r="AA166" s="51">
        <v>19.2</v>
      </c>
      <c r="AB166" s="51"/>
      <c r="AC166" s="51">
        <v>19</v>
      </c>
      <c r="AD166" s="51">
        <v>19</v>
      </c>
      <c r="AE166" s="51">
        <v>18</v>
      </c>
      <c r="AF166" s="51">
        <v>18.600000000000001</v>
      </c>
      <c r="AG166" s="51">
        <v>19</v>
      </c>
      <c r="AH166" s="51">
        <v>19.600000000000001</v>
      </c>
      <c r="AI166" s="51"/>
      <c r="AJ166" s="51"/>
      <c r="AK166" s="51"/>
      <c r="AL166" s="51"/>
      <c r="AM166" s="51"/>
      <c r="AN166" s="51"/>
      <c r="AO166" s="51"/>
      <c r="AP166" s="88">
        <f t="shared" si="11"/>
        <v>22</v>
      </c>
      <c r="AQ166" s="89">
        <f t="shared" si="12"/>
        <v>19.172727272727272</v>
      </c>
      <c r="AR166" s="89">
        <f>IFERROR(VLOOKUP(A166,Climatologia!A:U,9+$E$2,FALSE),"")</f>
        <v>17.28229674415218</v>
      </c>
      <c r="AS166" s="89">
        <f t="shared" si="13"/>
        <v>1.8904305285750915</v>
      </c>
      <c r="AT166" s="90">
        <f t="shared" si="14"/>
        <v>18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17.38684419195932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15.704746922128139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20.399999999999999</v>
      </c>
      <c r="L169" s="51">
        <v>19.600000000000001</v>
      </c>
      <c r="M169" s="51">
        <v>19.8</v>
      </c>
      <c r="N169" s="51">
        <v>20.399999999999999</v>
      </c>
      <c r="O169" s="51">
        <v>19.2</v>
      </c>
      <c r="P169" s="51"/>
      <c r="Q169" s="51">
        <v>20.2</v>
      </c>
      <c r="R169" s="51">
        <v>20.6</v>
      </c>
      <c r="S169" s="51">
        <v>20.8</v>
      </c>
      <c r="T169" s="51">
        <v>20.399999999999999</v>
      </c>
      <c r="U169" s="51">
        <v>20.2</v>
      </c>
      <c r="V169" s="51">
        <v>20.399999999999999</v>
      </c>
      <c r="W169" s="51">
        <v>19.8</v>
      </c>
      <c r="X169" s="51">
        <v>18.600000000000001</v>
      </c>
      <c r="Y169" s="51">
        <v>18.8</v>
      </c>
      <c r="Z169" s="111"/>
      <c r="AA169" s="51">
        <v>19.600000000000001</v>
      </c>
      <c r="AB169" s="51">
        <v>19.8</v>
      </c>
      <c r="AC169" s="51"/>
      <c r="AD169" s="51">
        <v>19.8</v>
      </c>
      <c r="AE169" s="51">
        <v>19.399999999999999</v>
      </c>
      <c r="AF169" s="51">
        <v>19.600000000000001</v>
      </c>
      <c r="AG169" s="51">
        <v>19.8</v>
      </c>
      <c r="AH169" s="51">
        <v>20.2</v>
      </c>
      <c r="AI169" s="51">
        <v>18.600000000000001</v>
      </c>
      <c r="AJ169" s="51"/>
      <c r="AK169" s="51"/>
      <c r="AL169" s="51"/>
      <c r="AM169" s="51"/>
      <c r="AN169" s="51"/>
      <c r="AO169" s="51"/>
      <c r="AP169" s="88">
        <f t="shared" si="11"/>
        <v>22</v>
      </c>
      <c r="AQ169" s="89">
        <f t="shared" si="12"/>
        <v>19.818181818181824</v>
      </c>
      <c r="AR169" s="89">
        <f>IFERROR(VLOOKUP(A169,Climatologia!A:U,9+$E$2,FALSE),"")</f>
        <v>19.124532286510789</v>
      </c>
      <c r="AS169" s="89">
        <f t="shared" si="13"/>
        <v>0.69364953167103494</v>
      </c>
      <c r="AT169" s="90">
        <f t="shared" si="14"/>
        <v>18.600000000000001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9" s="92">
        <f t="shared" si="15"/>
        <v>3.6000000000000014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14.8</v>
      </c>
      <c r="L170" s="51">
        <v>15.2</v>
      </c>
      <c r="M170" s="51">
        <v>14.8</v>
      </c>
      <c r="N170" s="51">
        <v>14.8</v>
      </c>
      <c r="O170" s="51">
        <v>14</v>
      </c>
      <c r="P170" s="51">
        <v>15.2</v>
      </c>
      <c r="Q170" s="51"/>
      <c r="R170" s="51">
        <v>15.4</v>
      </c>
      <c r="S170" s="51">
        <v>16</v>
      </c>
      <c r="T170" s="51"/>
      <c r="U170" s="51">
        <v>14.2</v>
      </c>
      <c r="V170" s="51">
        <v>15.8</v>
      </c>
      <c r="W170" s="51">
        <v>14.8</v>
      </c>
      <c r="X170" s="51">
        <v>13</v>
      </c>
      <c r="Y170" s="51">
        <v>15.4</v>
      </c>
      <c r="Z170" s="111">
        <v>13.8</v>
      </c>
      <c r="AA170" s="51">
        <v>15.4</v>
      </c>
      <c r="AB170" s="51">
        <v>15</v>
      </c>
      <c r="AC170" s="51">
        <v>15</v>
      </c>
      <c r="AD170" s="51">
        <v>15</v>
      </c>
      <c r="AE170" s="51">
        <v>14.2</v>
      </c>
      <c r="AF170" s="51">
        <v>14.2</v>
      </c>
      <c r="AG170" s="51">
        <v>15.8</v>
      </c>
      <c r="AH170" s="51">
        <v>15</v>
      </c>
      <c r="AI170" s="51">
        <v>13.8</v>
      </c>
      <c r="AJ170" s="51"/>
      <c r="AK170" s="51"/>
      <c r="AL170" s="51"/>
      <c r="AM170" s="51"/>
      <c r="AN170" s="51"/>
      <c r="AO170" s="51"/>
      <c r="AP170" s="88">
        <f t="shared" si="11"/>
        <v>23</v>
      </c>
      <c r="AQ170" s="89">
        <f t="shared" si="12"/>
        <v>14.808695652173913</v>
      </c>
      <c r="AR170" s="89">
        <f>IFERROR(VLOOKUP(A170,Climatologia!A:U,9+$E$2,FALSE),"")</f>
        <v>13.62930109243467</v>
      </c>
      <c r="AS170" s="89">
        <f t="shared" si="13"/>
        <v>1.1793945597392437</v>
      </c>
      <c r="AT170" s="90">
        <f t="shared" si="14"/>
        <v>13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7.2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70" s="92">
        <f t="shared" si="15"/>
        <v>5.8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11.72508648901356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9.4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24</v>
      </c>
      <c r="L172" s="51">
        <v>23.2</v>
      </c>
      <c r="M172" s="51">
        <v>23.2</v>
      </c>
      <c r="N172" s="51">
        <v>23.4</v>
      </c>
      <c r="O172" s="51">
        <v>23</v>
      </c>
      <c r="P172" s="51">
        <v>24</v>
      </c>
      <c r="Q172" s="51">
        <v>24.2</v>
      </c>
      <c r="R172" s="51">
        <v>24.6</v>
      </c>
      <c r="S172" s="51">
        <v>25.6</v>
      </c>
      <c r="T172" s="51">
        <v>25.6</v>
      </c>
      <c r="U172" s="51">
        <v>23.6</v>
      </c>
      <c r="V172" s="51">
        <v>24.4</v>
      </c>
      <c r="W172" s="51">
        <v>24.8</v>
      </c>
      <c r="X172" s="51">
        <v>23.6</v>
      </c>
      <c r="Y172" s="51">
        <v>24</v>
      </c>
      <c r="Z172" s="111">
        <v>24.2</v>
      </c>
      <c r="AA172" s="51">
        <v>24.8</v>
      </c>
      <c r="AB172" s="51">
        <v>24.6</v>
      </c>
      <c r="AC172" s="51">
        <v>23.6</v>
      </c>
      <c r="AD172" s="51">
        <v>24.2</v>
      </c>
      <c r="AE172" s="51">
        <v>23.2</v>
      </c>
      <c r="AF172" s="51">
        <v>23.4</v>
      </c>
      <c r="AG172" s="51">
        <v>24</v>
      </c>
      <c r="AH172" s="51">
        <v>24.4</v>
      </c>
      <c r="AI172" s="51">
        <v>23</v>
      </c>
      <c r="AJ172" s="51"/>
      <c r="AK172" s="51"/>
      <c r="AL172" s="51"/>
      <c r="AM172" s="51"/>
      <c r="AN172" s="51"/>
      <c r="AO172" s="51"/>
      <c r="AP172" s="88">
        <f t="shared" si="11"/>
        <v>25</v>
      </c>
      <c r="AQ172" s="89">
        <f t="shared" si="12"/>
        <v>24.024000000000001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18.600000000000001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2" s="92">
        <f t="shared" si="15"/>
        <v>4.3999999999999986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21.613415216113999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22.329466444879628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</v>
      </c>
      <c r="L175" s="51">
        <v>20.6</v>
      </c>
      <c r="M175" s="51">
        <v>20</v>
      </c>
      <c r="N175" s="51">
        <v>19.8</v>
      </c>
      <c r="O175" s="51">
        <v>21</v>
      </c>
      <c r="P175" s="51">
        <v>20.8</v>
      </c>
      <c r="Q175" s="51">
        <v>22</v>
      </c>
      <c r="R175" s="51">
        <v>23.8</v>
      </c>
      <c r="S175" s="51">
        <v>22</v>
      </c>
      <c r="T175" s="51">
        <v>21</v>
      </c>
      <c r="U175" s="51">
        <v>19.399999999999999</v>
      </c>
      <c r="V175" s="51">
        <v>22</v>
      </c>
      <c r="W175" s="51">
        <v>21</v>
      </c>
      <c r="X175" s="51">
        <v>19.2</v>
      </c>
      <c r="Y175" s="51">
        <v>21.2</v>
      </c>
      <c r="Z175" s="111">
        <v>21.4</v>
      </c>
      <c r="AA175" s="51">
        <v>21.6</v>
      </c>
      <c r="AB175" s="51">
        <v>21.8</v>
      </c>
      <c r="AC175" s="51">
        <v>21</v>
      </c>
      <c r="AD175" s="51">
        <v>22.8</v>
      </c>
      <c r="AE175" s="51">
        <v>21.2</v>
      </c>
      <c r="AF175" s="51">
        <v>21.4</v>
      </c>
      <c r="AG175" s="51">
        <v>22.2</v>
      </c>
      <c r="AH175" s="51">
        <v>22</v>
      </c>
      <c r="AI175" s="51">
        <v>20</v>
      </c>
      <c r="AJ175" s="51"/>
      <c r="AK175" s="51"/>
      <c r="AL175" s="51"/>
      <c r="AM175" s="51"/>
      <c r="AN175" s="51"/>
      <c r="AO175" s="51"/>
      <c r="AP175" s="88">
        <f t="shared" si="11"/>
        <v>25</v>
      </c>
      <c r="AQ175" s="89">
        <f t="shared" si="12"/>
        <v>21.247999999999998</v>
      </c>
      <c r="AR175" s="89">
        <f>IFERROR(VLOOKUP(A175,Climatologia!A:U,9+$E$2,FALSE),"")</f>
        <v>20.105130783418979</v>
      </c>
      <c r="AS175" s="89">
        <f t="shared" si="13"/>
        <v>1.142869216581019</v>
      </c>
      <c r="AT175" s="90">
        <f t="shared" si="14"/>
        <v>19.2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5" s="92">
        <f t="shared" si="15"/>
        <v>3.1999999999999993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22.6</v>
      </c>
      <c r="L176" s="51">
        <v>21.2</v>
      </c>
      <c r="M176" s="51">
        <v>21.2</v>
      </c>
      <c r="N176" s="51">
        <v>21.4</v>
      </c>
      <c r="O176" s="51">
        <v>22.6</v>
      </c>
      <c r="P176" s="51">
        <v>22.8</v>
      </c>
      <c r="Q176" s="51">
        <v>22</v>
      </c>
      <c r="R176" s="51">
        <v>22.4</v>
      </c>
      <c r="S176" s="51">
        <v>22.6</v>
      </c>
      <c r="T176" s="51">
        <v>23.4</v>
      </c>
      <c r="U176" s="51">
        <v>20.6</v>
      </c>
      <c r="V176" s="51"/>
      <c r="W176" s="51"/>
      <c r="X176" s="51"/>
      <c r="Y176" s="51">
        <v>23</v>
      </c>
      <c r="Z176" s="111">
        <v>22.8</v>
      </c>
      <c r="AA176" s="51">
        <v>22.2</v>
      </c>
      <c r="AB176" s="51">
        <v>24</v>
      </c>
      <c r="AC176" s="51">
        <v>22.2</v>
      </c>
      <c r="AD176" s="51">
        <v>24.4</v>
      </c>
      <c r="AE176" s="51">
        <v>23.6</v>
      </c>
      <c r="AF176" s="51">
        <v>23.6</v>
      </c>
      <c r="AG176" s="51">
        <v>23.8</v>
      </c>
      <c r="AH176" s="51">
        <v>23.6</v>
      </c>
      <c r="AI176" s="51">
        <v>22</v>
      </c>
      <c r="AJ176" s="51"/>
      <c r="AK176" s="51"/>
      <c r="AL176" s="51"/>
      <c r="AM176" s="51"/>
      <c r="AN176" s="51"/>
      <c r="AO176" s="51"/>
      <c r="AP176" s="88">
        <f t="shared" si="11"/>
        <v>22</v>
      </c>
      <c r="AQ176" s="89">
        <f t="shared" si="12"/>
        <v>22.63636363636364</v>
      </c>
      <c r="AR176" s="89">
        <f>IFERROR(VLOOKUP(A176,Climatologia!A:U,9+$E$2,FALSE),"")</f>
        <v>21.16664011681932</v>
      </c>
      <c r="AS176" s="89">
        <f t="shared" si="13"/>
        <v>1.4697235195443206</v>
      </c>
      <c r="AT176" s="90">
        <f t="shared" si="14"/>
        <v>20.6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6" s="92">
        <f t="shared" si="15"/>
        <v>4.6000000000000014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15.4</v>
      </c>
      <c r="L179" s="51">
        <v>14</v>
      </c>
      <c r="M179" s="51">
        <v>14</v>
      </c>
      <c r="N179" s="51">
        <v>12</v>
      </c>
      <c r="O179" s="51">
        <v>13.2</v>
      </c>
      <c r="P179" s="51">
        <v>13.8</v>
      </c>
      <c r="Q179" s="51">
        <v>13.4</v>
      </c>
      <c r="R179" s="51">
        <v>13.8</v>
      </c>
      <c r="S179" s="51">
        <v>14</v>
      </c>
      <c r="T179" s="51">
        <v>14</v>
      </c>
      <c r="U179" s="51">
        <v>14.2</v>
      </c>
      <c r="V179" s="51">
        <v>13.6</v>
      </c>
      <c r="W179" s="51">
        <v>12.4</v>
      </c>
      <c r="X179" s="51">
        <v>12</v>
      </c>
      <c r="Y179" s="51">
        <v>14.4</v>
      </c>
      <c r="Z179" s="111">
        <v>14.6</v>
      </c>
      <c r="AA179" s="51">
        <v>15.2</v>
      </c>
      <c r="AB179" s="51">
        <v>16.600000000000001</v>
      </c>
      <c r="AC179" s="51">
        <v>14.2</v>
      </c>
      <c r="AD179" s="51">
        <v>13.6</v>
      </c>
      <c r="AE179" s="51">
        <v>13.2</v>
      </c>
      <c r="AF179" s="51">
        <v>13</v>
      </c>
      <c r="AG179" s="51">
        <v>13.2</v>
      </c>
      <c r="AH179" s="51">
        <v>13</v>
      </c>
      <c r="AI179" s="51">
        <v>13</v>
      </c>
      <c r="AJ179" s="51"/>
      <c r="AK179" s="51"/>
      <c r="AL179" s="51"/>
      <c r="AM179" s="51"/>
      <c r="AN179" s="51"/>
      <c r="AO179" s="51"/>
      <c r="AP179" s="88">
        <f t="shared" si="11"/>
        <v>25</v>
      </c>
      <c r="AQ179" s="89">
        <f t="shared" si="12"/>
        <v>13.751999999999999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10.199999999999999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23.8</v>
      </c>
      <c r="L180" s="51">
        <v>24</v>
      </c>
      <c r="M180" s="51">
        <v>24.8</v>
      </c>
      <c r="N180" s="51">
        <v>23.8</v>
      </c>
      <c r="O180" s="51">
        <v>24.2</v>
      </c>
      <c r="P180" s="51">
        <v>24.2</v>
      </c>
      <c r="Q180" s="51">
        <v>24.8</v>
      </c>
      <c r="R180" s="51">
        <v>24.6</v>
      </c>
      <c r="S180" s="51"/>
      <c r="T180" s="51">
        <v>25.6</v>
      </c>
      <c r="U180" s="51">
        <v>24.2</v>
      </c>
      <c r="V180" s="51">
        <v>25.6</v>
      </c>
      <c r="W180" s="51">
        <v>24.2</v>
      </c>
      <c r="X180" s="51">
        <v>23.2</v>
      </c>
      <c r="Y180" s="51">
        <v>23.8</v>
      </c>
      <c r="Z180" s="111">
        <v>25.8</v>
      </c>
      <c r="AA180" s="51"/>
      <c r="AB180" s="51"/>
      <c r="AC180" s="51">
        <v>25.4</v>
      </c>
      <c r="AD180" s="51">
        <v>24.8</v>
      </c>
      <c r="AE180" s="51">
        <v>22.8</v>
      </c>
      <c r="AF180" s="51">
        <v>23.2</v>
      </c>
      <c r="AG180" s="51">
        <v>22.2</v>
      </c>
      <c r="AH180" s="51">
        <v>23</v>
      </c>
      <c r="AI180" s="51">
        <v>23.8</v>
      </c>
      <c r="AJ180" s="51"/>
      <c r="AK180" s="51"/>
      <c r="AL180" s="51"/>
      <c r="AM180" s="51"/>
      <c r="AN180" s="51"/>
      <c r="AO180" s="51"/>
      <c r="AP180" s="88">
        <f t="shared" si="11"/>
        <v>22</v>
      </c>
      <c r="AQ180" s="89">
        <f t="shared" si="12"/>
        <v>24.172727272727272</v>
      </c>
      <c r="AR180" s="89">
        <f>IFERROR(VLOOKUP(A180,Climatologia!A:U,9+$E$2,FALSE),"")</f>
        <v>22.996377049496669</v>
      </c>
      <c r="AS180" s="89">
        <f t="shared" si="13"/>
        <v>1.1763502232306031</v>
      </c>
      <c r="AT180" s="90">
        <f t="shared" si="14"/>
        <v>22.2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80" s="92">
        <f t="shared" si="15"/>
        <v>3.1999999999999993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24.6</v>
      </c>
      <c r="L181" s="51">
        <v>21.6</v>
      </c>
      <c r="M181" s="51">
        <v>22.4</v>
      </c>
      <c r="N181" s="51">
        <v>23.4</v>
      </c>
      <c r="O181" s="51">
        <v>23.6</v>
      </c>
      <c r="P181" s="51">
        <v>23.4</v>
      </c>
      <c r="Q181" s="51">
        <v>22.4</v>
      </c>
      <c r="R181" s="51">
        <v>25.4</v>
      </c>
      <c r="S181" s="51">
        <v>22.8</v>
      </c>
      <c r="T181" s="51">
        <v>26.4</v>
      </c>
      <c r="U181" s="51">
        <v>21.2</v>
      </c>
      <c r="V181" s="51">
        <v>24.6</v>
      </c>
      <c r="W181" s="51">
        <v>21.8</v>
      </c>
      <c r="X181" s="51">
        <v>22.2</v>
      </c>
      <c r="Y181" s="51">
        <v>24.6</v>
      </c>
      <c r="Z181" s="111">
        <v>22.8</v>
      </c>
      <c r="AA181" s="51">
        <v>25.4</v>
      </c>
      <c r="AB181" s="51">
        <v>25.2</v>
      </c>
      <c r="AC181" s="51">
        <v>23.2</v>
      </c>
      <c r="AD181" s="51">
        <v>24.2</v>
      </c>
      <c r="AE181" s="51">
        <v>22.6</v>
      </c>
      <c r="AF181" s="51">
        <v>22.4</v>
      </c>
      <c r="AG181" s="51">
        <v>22</v>
      </c>
      <c r="AH181" s="51">
        <v>23.4</v>
      </c>
      <c r="AI181" s="51">
        <v>22.8</v>
      </c>
      <c r="AJ181" s="51"/>
      <c r="AK181" s="51"/>
      <c r="AL181" s="51"/>
      <c r="AM181" s="51"/>
      <c r="AN181" s="51"/>
      <c r="AO181" s="51"/>
      <c r="AP181" s="88">
        <f t="shared" si="11"/>
        <v>25</v>
      </c>
      <c r="AQ181" s="89">
        <f t="shared" si="12"/>
        <v>23.375999999999998</v>
      </c>
      <c r="AR181" s="89">
        <f>IFERROR(VLOOKUP(A181,Climatologia!A:U,9+$E$2,FALSE),"")</f>
        <v>21.595820289739919</v>
      </c>
      <c r="AS181" s="89">
        <f t="shared" si="13"/>
        <v>1.7801797102600787</v>
      </c>
      <c r="AT181" s="90">
        <f t="shared" si="14"/>
        <v>21.2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16.8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1" s="92">
        <f t="shared" si="15"/>
        <v>4.3999999999999986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14.6</v>
      </c>
      <c r="L182" s="51">
        <v>13.6</v>
      </c>
      <c r="M182" s="51">
        <v>13.8</v>
      </c>
      <c r="N182" s="51">
        <v>13</v>
      </c>
      <c r="O182" s="51">
        <v>13</v>
      </c>
      <c r="P182" s="51">
        <v>14.4</v>
      </c>
      <c r="Q182" s="51">
        <v>13</v>
      </c>
      <c r="R182" s="51">
        <v>14.4</v>
      </c>
      <c r="S182" s="51">
        <v>14</v>
      </c>
      <c r="T182" s="51">
        <v>14.4</v>
      </c>
      <c r="U182" s="51">
        <v>13</v>
      </c>
      <c r="V182" s="51">
        <v>14.6</v>
      </c>
      <c r="W182" s="51">
        <v>12.8</v>
      </c>
      <c r="X182" s="51"/>
      <c r="Y182" s="51">
        <v>13.6</v>
      </c>
      <c r="Z182" s="111">
        <v>13.6</v>
      </c>
      <c r="AA182" s="51">
        <v>14.6</v>
      </c>
      <c r="AB182" s="51">
        <v>16.399999999999999</v>
      </c>
      <c r="AC182" s="51">
        <v>14.4</v>
      </c>
      <c r="AD182" s="51">
        <v>13.8</v>
      </c>
      <c r="AE182" s="51">
        <v>13.2</v>
      </c>
      <c r="AF182" s="51">
        <v>13</v>
      </c>
      <c r="AG182" s="51">
        <v>12.2</v>
      </c>
      <c r="AH182" s="51">
        <v>13.2</v>
      </c>
      <c r="AI182" s="51">
        <v>12</v>
      </c>
      <c r="AJ182" s="51"/>
      <c r="AK182" s="51"/>
      <c r="AL182" s="51"/>
      <c r="AM182" s="51"/>
      <c r="AN182" s="51"/>
      <c r="AO182" s="51"/>
      <c r="AP182" s="88">
        <f t="shared" si="11"/>
        <v>24</v>
      </c>
      <c r="AQ182" s="89">
        <f t="shared" si="12"/>
        <v>13.691666666666665</v>
      </c>
      <c r="AR182" s="89">
        <f>IFERROR(VLOOKUP(A182,Climatologia!A:U,9+$E$2,FALSE),"")</f>
        <v>14.26104885770514</v>
      </c>
      <c r="AS182" s="89">
        <f t="shared" si="13"/>
        <v>-0.56938219103847487</v>
      </c>
      <c r="AT182" s="90">
        <f t="shared" si="14"/>
        <v>12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2" s="92">
        <f t="shared" si="15"/>
        <v>1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18.8</v>
      </c>
      <c r="M183" s="51">
        <v>19.600000000000001</v>
      </c>
      <c r="N183" s="51">
        <v>19</v>
      </c>
      <c r="O183" s="51">
        <v>18.600000000000001</v>
      </c>
      <c r="P183" s="51">
        <v>19.600000000000001</v>
      </c>
      <c r="Q183" s="51">
        <v>19</v>
      </c>
      <c r="R183" s="51">
        <v>18.8</v>
      </c>
      <c r="S183" s="51">
        <v>19.399999999999999</v>
      </c>
      <c r="T183" s="51">
        <v>18.8</v>
      </c>
      <c r="U183" s="51">
        <v>17.8</v>
      </c>
      <c r="V183" s="51">
        <v>19.2</v>
      </c>
      <c r="W183" s="51">
        <v>18.8</v>
      </c>
      <c r="X183" s="51">
        <v>19.2</v>
      </c>
      <c r="Y183" s="51">
        <v>18.2</v>
      </c>
      <c r="Z183" s="111">
        <v>19.2</v>
      </c>
      <c r="AA183" s="51">
        <v>19.2</v>
      </c>
      <c r="AB183" s="51">
        <v>19.600000000000001</v>
      </c>
      <c r="AC183" s="51">
        <v>18.8</v>
      </c>
      <c r="AD183" s="51">
        <v>18.8</v>
      </c>
      <c r="AE183" s="51">
        <v>18</v>
      </c>
      <c r="AF183" s="51">
        <v>18.600000000000001</v>
      </c>
      <c r="AG183" s="51">
        <v>19.600000000000001</v>
      </c>
      <c r="AH183" s="51">
        <v>20</v>
      </c>
      <c r="AI183" s="51">
        <v>18.600000000000001</v>
      </c>
      <c r="AJ183" s="51"/>
      <c r="AK183" s="51"/>
      <c r="AL183" s="51"/>
      <c r="AM183" s="51"/>
      <c r="AN183" s="51"/>
      <c r="AO183" s="51"/>
      <c r="AP183" s="88">
        <f t="shared" si="11"/>
        <v>25</v>
      </c>
      <c r="AQ183" s="89">
        <f t="shared" si="12"/>
        <v>18.936000000000003</v>
      </c>
      <c r="AR183" s="89">
        <f>IFERROR(VLOOKUP(A183,Climatologia!A:U,9+$E$2,FALSE),"")</f>
        <v>19.96734366044257</v>
      </c>
      <c r="AS183" s="89">
        <f t="shared" si="13"/>
        <v>-1.0313436604425661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/>
      <c r="L184" s="51">
        <v>22</v>
      </c>
      <c r="M184" s="51">
        <v>21</v>
      </c>
      <c r="N184" s="51">
        <v>21.2</v>
      </c>
      <c r="O184" s="51">
        <v>21.4</v>
      </c>
      <c r="P184" s="51">
        <v>21.6</v>
      </c>
      <c r="Q184" s="51">
        <v>21</v>
      </c>
      <c r="R184" s="51">
        <v>21.8</v>
      </c>
      <c r="S184" s="51">
        <v>22.2</v>
      </c>
      <c r="T184" s="51">
        <v>22</v>
      </c>
      <c r="U184" s="51">
        <v>20.2</v>
      </c>
      <c r="V184" s="51">
        <v>20.8</v>
      </c>
      <c r="W184" s="51">
        <v>21.4</v>
      </c>
      <c r="X184" s="51">
        <v>19</v>
      </c>
      <c r="Y184" s="51">
        <v>20.399999999999999</v>
      </c>
      <c r="Z184" s="111">
        <v>21</v>
      </c>
      <c r="AA184" s="51">
        <v>20.8</v>
      </c>
      <c r="AB184" s="51">
        <v>21</v>
      </c>
      <c r="AC184" s="51">
        <v>20.8</v>
      </c>
      <c r="AD184" s="51">
        <v>21.4</v>
      </c>
      <c r="AE184" s="51"/>
      <c r="AF184" s="51">
        <v>19</v>
      </c>
      <c r="AG184" s="51">
        <v>20</v>
      </c>
      <c r="AH184" s="51">
        <v>21</v>
      </c>
      <c r="AI184" s="51">
        <v>18.2</v>
      </c>
      <c r="AJ184" s="51"/>
      <c r="AK184" s="51"/>
      <c r="AL184" s="51"/>
      <c r="AM184" s="51"/>
      <c r="AN184" s="51"/>
      <c r="AO184" s="51"/>
      <c r="AP184" s="88">
        <f t="shared" si="11"/>
        <v>23</v>
      </c>
      <c r="AQ184" s="89">
        <f t="shared" si="12"/>
        <v>20.834782608695651</v>
      </c>
      <c r="AR184" s="89">
        <f>IFERROR(VLOOKUP(A184,Climatologia!A:U,9+$E$2,FALSE),"")</f>
        <v>20.017642373556349</v>
      </c>
      <c r="AS184" s="89">
        <f t="shared" si="13"/>
        <v>0.81714023513930201</v>
      </c>
      <c r="AT184" s="90">
        <f t="shared" si="14"/>
        <v>18.2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4" s="92">
        <f t="shared" si="15"/>
        <v>1.8000000000000007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17.2</v>
      </c>
      <c r="L185" s="51">
        <v>16.2</v>
      </c>
      <c r="M185" s="51">
        <v>16.2</v>
      </c>
      <c r="N185" s="51">
        <v>16</v>
      </c>
      <c r="O185" s="51">
        <v>15.8</v>
      </c>
      <c r="P185" s="51">
        <v>17.399999999999999</v>
      </c>
      <c r="Q185" s="51">
        <v>16.399999999999999</v>
      </c>
      <c r="R185" s="51">
        <v>18.399999999999999</v>
      </c>
      <c r="S185" s="51">
        <v>18</v>
      </c>
      <c r="T185" s="51">
        <v>17</v>
      </c>
      <c r="U185" s="51">
        <v>15.6</v>
      </c>
      <c r="V185" s="51">
        <v>15.8</v>
      </c>
      <c r="W185" s="51">
        <v>16.2</v>
      </c>
      <c r="X185" s="51">
        <v>15.4</v>
      </c>
      <c r="Y185" s="51">
        <v>16.399999999999999</v>
      </c>
      <c r="Z185" s="111">
        <v>16.399999999999999</v>
      </c>
      <c r="AA185" s="51">
        <v>16.399999999999999</v>
      </c>
      <c r="AB185" s="51">
        <v>16.2</v>
      </c>
      <c r="AC185" s="51">
        <v>16.2</v>
      </c>
      <c r="AD185" s="51">
        <v>17</v>
      </c>
      <c r="AE185" s="51">
        <v>17</v>
      </c>
      <c r="AF185" s="51">
        <v>15.4</v>
      </c>
      <c r="AG185" s="51">
        <v>17</v>
      </c>
      <c r="AH185" s="51">
        <v>16.8</v>
      </c>
      <c r="AI185" s="51">
        <v>14.2</v>
      </c>
      <c r="AJ185" s="51"/>
      <c r="AK185" s="51"/>
      <c r="AL185" s="51"/>
      <c r="AM185" s="51"/>
      <c r="AN185" s="51"/>
      <c r="AO185" s="51"/>
      <c r="AP185" s="88">
        <f t="shared" si="11"/>
        <v>25</v>
      </c>
      <c r="AQ185" s="89">
        <f t="shared" si="12"/>
        <v>16.423999999999996</v>
      </c>
      <c r="AR185" s="89">
        <f>IFERROR(VLOOKUP(A185,Climatologia!A:U,9+$E$2,FALSE),"")</f>
        <v>16.78927904074477</v>
      </c>
      <c r="AS185" s="89">
        <f t="shared" si="13"/>
        <v>-0.36527904074477391</v>
      </c>
      <c r="AT185" s="90">
        <f t="shared" si="14"/>
        <v>14.2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5" s="92">
        <f t="shared" si="15"/>
        <v>2.1999999999999993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24.2</v>
      </c>
      <c r="L186" s="51">
        <v>22.6</v>
      </c>
      <c r="M186" s="51">
        <v>23</v>
      </c>
      <c r="N186" s="51">
        <v>20.6</v>
      </c>
      <c r="O186" s="51">
        <v>21.8</v>
      </c>
      <c r="P186" s="51">
        <v>24</v>
      </c>
      <c r="Q186" s="51">
        <v>22.6</v>
      </c>
      <c r="R186" s="51">
        <v>24</v>
      </c>
      <c r="S186" s="51">
        <v>23.4</v>
      </c>
      <c r="T186" s="51">
        <v>22.6</v>
      </c>
      <c r="U186" s="51">
        <v>21.2</v>
      </c>
      <c r="V186" s="51">
        <v>22.8</v>
      </c>
      <c r="W186" s="51">
        <v>20.8</v>
      </c>
      <c r="X186" s="51">
        <v>21.6</v>
      </c>
      <c r="Y186" s="51">
        <v>22</v>
      </c>
      <c r="Z186" s="111">
        <v>24</v>
      </c>
      <c r="AA186" s="51">
        <v>25.6</v>
      </c>
      <c r="AB186" s="51">
        <v>25.6</v>
      </c>
      <c r="AC186" s="51">
        <v>21.6</v>
      </c>
      <c r="AD186" s="51">
        <v>21.4</v>
      </c>
      <c r="AE186" s="51">
        <v>20.6</v>
      </c>
      <c r="AF186" s="51">
        <v>21</v>
      </c>
      <c r="AG186" s="51">
        <v>20</v>
      </c>
      <c r="AH186" s="51">
        <v>20.6</v>
      </c>
      <c r="AI186" s="51">
        <v>21.4</v>
      </c>
      <c r="AJ186" s="51"/>
      <c r="AK186" s="51"/>
      <c r="AL186" s="51"/>
      <c r="AM186" s="51"/>
      <c r="AN186" s="51"/>
      <c r="AO186" s="51"/>
      <c r="AP186" s="88">
        <f t="shared" si="11"/>
        <v>25</v>
      </c>
      <c r="AQ186" s="89">
        <f t="shared" si="12"/>
        <v>22.36</v>
      </c>
      <c r="AR186" s="89">
        <f>IFERROR(VLOOKUP(A186,Climatologia!A:U,9+$E$2,FALSE),"")</f>
        <v>20.659011266682761</v>
      </c>
      <c r="AS186" s="89">
        <f t="shared" si="13"/>
        <v>1.7009887333172387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6" s="92">
        <f t="shared" si="15"/>
        <v>3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18.600000000000001</v>
      </c>
      <c r="L187" s="51">
        <v>18.2</v>
      </c>
      <c r="M187" s="51">
        <v>17.2</v>
      </c>
      <c r="N187" s="51">
        <v>18</v>
      </c>
      <c r="O187" s="51">
        <v>18</v>
      </c>
      <c r="P187" s="51">
        <v>17.8</v>
      </c>
      <c r="Q187" s="51">
        <v>18</v>
      </c>
      <c r="R187" s="51">
        <v>15.4</v>
      </c>
      <c r="S187" s="51">
        <v>18.2</v>
      </c>
      <c r="T187" s="51">
        <v>19.2</v>
      </c>
      <c r="U187" s="51">
        <v>19.2</v>
      </c>
      <c r="V187" s="51">
        <v>17.8</v>
      </c>
      <c r="W187" s="51">
        <v>18.2</v>
      </c>
      <c r="X187" s="51">
        <v>17</v>
      </c>
      <c r="Y187" s="51">
        <v>19.399999999999999</v>
      </c>
      <c r="Z187" s="111">
        <v>19.8</v>
      </c>
      <c r="AA187" s="51"/>
      <c r="AB187" s="51">
        <v>19.8</v>
      </c>
      <c r="AC187" s="51">
        <v>18</v>
      </c>
      <c r="AD187" s="51">
        <v>17.2</v>
      </c>
      <c r="AE187" s="51">
        <v>16.8</v>
      </c>
      <c r="AF187" s="51">
        <v>16.600000000000001</v>
      </c>
      <c r="AG187" s="51">
        <v>16.399999999999999</v>
      </c>
      <c r="AH187" s="51">
        <v>17.2</v>
      </c>
      <c r="AI187" s="51">
        <v>17.2</v>
      </c>
      <c r="AJ187" s="51"/>
      <c r="AK187" s="51"/>
      <c r="AL187" s="51"/>
      <c r="AM187" s="51"/>
      <c r="AN187" s="51"/>
      <c r="AO187" s="51"/>
      <c r="AP187" s="88">
        <f t="shared" si="11"/>
        <v>24</v>
      </c>
      <c r="AQ187" s="89">
        <f t="shared" si="12"/>
        <v>17.883333333333329</v>
      </c>
      <c r="AR187" s="89">
        <f>IFERROR(VLOOKUP(A187,Climatologia!A:U,9+$E$2,FALSE),"")</f>
        <v>16.78852483149106</v>
      </c>
      <c r="AS187" s="89">
        <f t="shared" si="13"/>
        <v>1.0948085018422695</v>
      </c>
      <c r="AT187" s="90">
        <f t="shared" si="14"/>
        <v>15.4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7" s="92">
        <f t="shared" si="15"/>
        <v>1.4000000000000004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20.6</v>
      </c>
      <c r="L188" s="51">
        <v>21.2</v>
      </c>
      <c r="M188" s="51">
        <v>21.6</v>
      </c>
      <c r="N188" s="51">
        <v>20.2</v>
      </c>
      <c r="O188" s="51">
        <v>20.399999999999999</v>
      </c>
      <c r="P188" s="51">
        <v>21.4</v>
      </c>
      <c r="Q188" s="51">
        <v>21.6</v>
      </c>
      <c r="R188" s="51">
        <v>22.8</v>
      </c>
      <c r="S188" s="51">
        <v>21.4</v>
      </c>
      <c r="T188" s="51">
        <v>20.8</v>
      </c>
      <c r="U188" s="51">
        <v>21.2</v>
      </c>
      <c r="V188" s="51">
        <v>22.6</v>
      </c>
      <c r="W188" s="51">
        <v>20.2</v>
      </c>
      <c r="X188" s="51">
        <v>21.2</v>
      </c>
      <c r="Y188" s="51">
        <v>21.8</v>
      </c>
      <c r="Z188" s="111">
        <v>22.6</v>
      </c>
      <c r="AA188" s="51">
        <v>22.2</v>
      </c>
      <c r="AB188" s="51">
        <v>21.8</v>
      </c>
      <c r="AC188" s="51">
        <v>22.2</v>
      </c>
      <c r="AD188" s="51">
        <v>20.8</v>
      </c>
      <c r="AE188" s="51">
        <v>20.2</v>
      </c>
      <c r="AF188" s="51">
        <v>21.2</v>
      </c>
      <c r="AG188" s="51">
        <v>21.4</v>
      </c>
      <c r="AH188" s="51">
        <v>20.6</v>
      </c>
      <c r="AI188" s="51">
        <v>20.8</v>
      </c>
      <c r="AJ188" s="51"/>
      <c r="AK188" s="51"/>
      <c r="AL188" s="51"/>
      <c r="AM188" s="51"/>
      <c r="AN188" s="51"/>
      <c r="AO188" s="51"/>
      <c r="AP188" s="88">
        <f t="shared" si="11"/>
        <v>25</v>
      </c>
      <c r="AQ188" s="89">
        <f t="shared" si="12"/>
        <v>21.311999999999998</v>
      </c>
      <c r="AR188" s="89">
        <f>IFERROR(VLOOKUP(A188,Climatologia!A:U,9+$E$2,FALSE),"")</f>
        <v>20.02675378177625</v>
      </c>
      <c r="AS188" s="89">
        <f t="shared" si="13"/>
        <v>1.2852462182237474</v>
      </c>
      <c r="AT188" s="90">
        <f t="shared" si="14"/>
        <v>20.2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8" s="92">
        <f t="shared" si="15"/>
        <v>3.3999999999999986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18.399999999999999</v>
      </c>
      <c r="L189" s="51">
        <v>17.600000000000001</v>
      </c>
      <c r="M189" s="51">
        <v>18.399999999999999</v>
      </c>
      <c r="N189" s="51">
        <v>17.600000000000001</v>
      </c>
      <c r="O189" s="51">
        <v>18</v>
      </c>
      <c r="P189" s="51">
        <v>18.399999999999999</v>
      </c>
      <c r="Q189" s="51">
        <v>17.8</v>
      </c>
      <c r="R189" s="51">
        <v>19</v>
      </c>
      <c r="S189" s="51">
        <v>17.600000000000001</v>
      </c>
      <c r="T189" s="51">
        <v>18</v>
      </c>
      <c r="U189" s="51">
        <v>17.8</v>
      </c>
      <c r="V189" s="51">
        <v>18.8</v>
      </c>
      <c r="W189" s="51">
        <v>16.8</v>
      </c>
      <c r="X189" s="51">
        <v>18</v>
      </c>
      <c r="Y189" s="51">
        <v>18.2</v>
      </c>
      <c r="Z189" s="111">
        <v>19.2</v>
      </c>
      <c r="AA189" s="51">
        <v>19</v>
      </c>
      <c r="AB189" s="51">
        <v>18.600000000000001</v>
      </c>
      <c r="AC189" s="51">
        <v>18.399999999999999</v>
      </c>
      <c r="AD189" s="51">
        <v>17.8</v>
      </c>
      <c r="AE189" s="51">
        <v>16.8</v>
      </c>
      <c r="AF189" s="51">
        <v>18</v>
      </c>
      <c r="AG189" s="51">
        <v>18.600000000000001</v>
      </c>
      <c r="AH189" s="51">
        <v>18</v>
      </c>
      <c r="AI189" s="51">
        <v>16.399999999999999</v>
      </c>
      <c r="AJ189" s="51"/>
      <c r="AK189" s="51"/>
      <c r="AL189" s="51"/>
      <c r="AM189" s="51"/>
      <c r="AN189" s="51"/>
      <c r="AO189" s="51"/>
      <c r="AP189" s="88">
        <f t="shared" si="11"/>
        <v>25</v>
      </c>
      <c r="AQ189" s="89">
        <f t="shared" si="12"/>
        <v>18.048000000000002</v>
      </c>
      <c r="AR189" s="89">
        <f>IFERROR(VLOOKUP(A189,Climatologia!A:U,9+$E$2,FALSE),"")</f>
        <v>15.545325140809011</v>
      </c>
      <c r="AS189" s="89">
        <f t="shared" si="13"/>
        <v>2.5026748591909911</v>
      </c>
      <c r="AT189" s="90">
        <f t="shared" si="14"/>
        <v>16.399999999999999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9" s="92">
        <f t="shared" si="15"/>
        <v>5.1999999999999993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14.8</v>
      </c>
      <c r="L190" s="51">
        <v>12.2</v>
      </c>
      <c r="M190" s="51">
        <v>14</v>
      </c>
      <c r="N190" s="51">
        <v>13.4</v>
      </c>
      <c r="O190" s="51">
        <v>13.4</v>
      </c>
      <c r="P190" s="51">
        <v>13.8</v>
      </c>
      <c r="Q190" s="51">
        <v>12.2</v>
      </c>
      <c r="R190" s="51">
        <v>14.2</v>
      </c>
      <c r="S190" s="51">
        <v>12.8</v>
      </c>
      <c r="T190" s="51">
        <v>14.4</v>
      </c>
      <c r="U190" s="51">
        <v>13.2</v>
      </c>
      <c r="V190" s="51">
        <v>13.4</v>
      </c>
      <c r="W190" s="51">
        <v>12.8</v>
      </c>
      <c r="X190" s="51">
        <v>12.2</v>
      </c>
      <c r="Y190" s="51">
        <v>14</v>
      </c>
      <c r="Z190" s="111">
        <v>14.4</v>
      </c>
      <c r="AA190" s="51">
        <v>13.8</v>
      </c>
      <c r="AB190" s="51">
        <v>13.6</v>
      </c>
      <c r="AC190" s="51">
        <v>14</v>
      </c>
      <c r="AD190" s="51">
        <v>12.6</v>
      </c>
      <c r="AE190" s="51">
        <v>11.8</v>
      </c>
      <c r="AF190" s="51">
        <v>14.6</v>
      </c>
      <c r="AG190" s="51">
        <v>14</v>
      </c>
      <c r="AH190" s="51">
        <v>13.6</v>
      </c>
      <c r="AI190" s="51">
        <v>12.6</v>
      </c>
      <c r="AJ190" s="51"/>
      <c r="AK190" s="51"/>
      <c r="AL190" s="51"/>
      <c r="AM190" s="51"/>
      <c r="AN190" s="51"/>
      <c r="AO190" s="51"/>
      <c r="AP190" s="88">
        <f t="shared" si="11"/>
        <v>25</v>
      </c>
      <c r="AQ190" s="89">
        <f t="shared" si="12"/>
        <v>13.432000000000006</v>
      </c>
      <c r="AR190" s="89">
        <f>IFERROR(VLOOKUP(A190,Climatologia!A:U,9+$E$2,FALSE),"")</f>
        <v>11.488216794380589</v>
      </c>
      <c r="AS190" s="89">
        <f t="shared" si="13"/>
        <v>1.9437832056194164</v>
      </c>
      <c r="AT190" s="90">
        <f t="shared" si="14"/>
        <v>11.8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10</v>
      </c>
      <c r="L191" s="51">
        <v>6</v>
      </c>
      <c r="M191" s="51">
        <v>6</v>
      </c>
      <c r="N191" s="51">
        <v>7</v>
      </c>
      <c r="O191" s="51">
        <v>8</v>
      </c>
      <c r="P191" s="51">
        <v>9.1999999999999993</v>
      </c>
      <c r="Q191" s="51">
        <v>8.6</v>
      </c>
      <c r="R191" s="51">
        <v>9.8000000000000007</v>
      </c>
      <c r="S191" s="51">
        <v>8</v>
      </c>
      <c r="T191" s="51">
        <v>10.6</v>
      </c>
      <c r="U191" s="51">
        <v>4</v>
      </c>
      <c r="V191" s="51">
        <v>8.8000000000000007</v>
      </c>
      <c r="W191" s="51">
        <v>8</v>
      </c>
      <c r="X191" s="51">
        <v>4</v>
      </c>
      <c r="Y191" s="51">
        <v>8.8000000000000007</v>
      </c>
      <c r="Z191" s="111">
        <v>9</v>
      </c>
      <c r="AA191" s="51">
        <v>8</v>
      </c>
      <c r="AB191" s="51">
        <v>9</v>
      </c>
      <c r="AC191" s="51">
        <v>11.6</v>
      </c>
      <c r="AD191" s="51">
        <v>10.4</v>
      </c>
      <c r="AE191" s="51">
        <v>6.8</v>
      </c>
      <c r="AF191" s="51">
        <v>8</v>
      </c>
      <c r="AG191" s="51">
        <v>10.6</v>
      </c>
      <c r="AH191" s="51">
        <v>9</v>
      </c>
      <c r="AI191" s="51">
        <v>4</v>
      </c>
      <c r="AJ191" s="51"/>
      <c r="AK191" s="51"/>
      <c r="AL191" s="51"/>
      <c r="AM191" s="51"/>
      <c r="AN191" s="51"/>
      <c r="AO191" s="51"/>
      <c r="AP191" s="88">
        <f t="shared" si="11"/>
        <v>25</v>
      </c>
      <c r="AQ191" s="89">
        <f t="shared" si="12"/>
        <v>8.1280000000000001</v>
      </c>
      <c r="AR191" s="89">
        <f>IFERROR(VLOOKUP(A191,Climatologia!A:U,9+$E$2,FALSE),"")</f>
        <v>7.3708373411860384</v>
      </c>
      <c r="AS191" s="89">
        <f t="shared" si="13"/>
        <v>0.75716265881396172</v>
      </c>
      <c r="AT191" s="90">
        <f t="shared" si="14"/>
        <v>4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1" s="92">
        <f t="shared" si="15"/>
        <v>5.8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21.2</v>
      </c>
      <c r="L192" s="51">
        <v>20.2</v>
      </c>
      <c r="M192" s="51">
        <v>21</v>
      </c>
      <c r="N192" s="51">
        <v>21.6</v>
      </c>
      <c r="O192" s="51">
        <v>21.4</v>
      </c>
      <c r="P192" s="51">
        <v>21.2</v>
      </c>
      <c r="Q192" s="51">
        <v>22.2</v>
      </c>
      <c r="R192" s="51">
        <v>22.4</v>
      </c>
      <c r="S192" s="51">
        <v>21.8</v>
      </c>
      <c r="T192" s="51">
        <v>22.6</v>
      </c>
      <c r="U192" s="51">
        <v>20.6</v>
      </c>
      <c r="V192" s="51">
        <v>22.8</v>
      </c>
      <c r="W192" s="51">
        <v>21.2</v>
      </c>
      <c r="X192" s="51">
        <v>20.8</v>
      </c>
      <c r="Y192" s="51">
        <v>22</v>
      </c>
      <c r="Z192" s="111">
        <v>22.8</v>
      </c>
      <c r="AA192" s="51">
        <v>22</v>
      </c>
      <c r="AB192" s="51">
        <v>22.6</v>
      </c>
      <c r="AC192" s="51">
        <v>21</v>
      </c>
      <c r="AD192" s="51">
        <v>21.6</v>
      </c>
      <c r="AE192" s="51">
        <v>21.2</v>
      </c>
      <c r="AF192" s="51">
        <v>21.6</v>
      </c>
      <c r="AG192" s="51">
        <v>20.6</v>
      </c>
      <c r="AH192" s="51">
        <v>20.8</v>
      </c>
      <c r="AI192" s="51">
        <v>20.2</v>
      </c>
      <c r="AJ192" s="51"/>
      <c r="AK192" s="51"/>
      <c r="AL192" s="51"/>
      <c r="AM192" s="51"/>
      <c r="AN192" s="51"/>
      <c r="AO192" s="51"/>
      <c r="AP192" s="88">
        <f t="shared" si="11"/>
        <v>25</v>
      </c>
      <c r="AQ192" s="89">
        <f t="shared" si="12"/>
        <v>21.496000000000002</v>
      </c>
      <c r="AR192" s="89">
        <f>IFERROR(VLOOKUP(A192,Climatologia!A:U,9+$E$2,FALSE),"")</f>
        <v>19.76640571428571</v>
      </c>
      <c r="AS192" s="89">
        <f t="shared" si="13"/>
        <v>1.7295942857142919</v>
      </c>
      <c r="AT192" s="90">
        <f t="shared" si="14"/>
        <v>20.2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11.4</v>
      </c>
      <c r="L193" s="51">
        <v>10.199999999999999</v>
      </c>
      <c r="M193" s="51">
        <v>10.4</v>
      </c>
      <c r="N193" s="51">
        <v>9.6</v>
      </c>
      <c r="O193" s="51">
        <v>9</v>
      </c>
      <c r="P193" s="51">
        <v>9.6</v>
      </c>
      <c r="Q193" s="51">
        <v>10.4</v>
      </c>
      <c r="R193" s="51">
        <v>10.8</v>
      </c>
      <c r="S193" s="51">
        <v>10.199999999999999</v>
      </c>
      <c r="T193" s="51">
        <v>11.6</v>
      </c>
      <c r="U193" s="51">
        <v>9.6</v>
      </c>
      <c r="V193" s="51">
        <v>10.4</v>
      </c>
      <c r="W193" s="51">
        <v>9.4</v>
      </c>
      <c r="X193" s="51">
        <v>8.1999999999999993</v>
      </c>
      <c r="Y193" s="51">
        <v>10.4</v>
      </c>
      <c r="Z193" s="111">
        <v>10.4</v>
      </c>
      <c r="AA193" s="51">
        <v>10.199999999999999</v>
      </c>
      <c r="AB193" s="51">
        <v>10.199999999999999</v>
      </c>
      <c r="AC193" s="51">
        <v>10.199999999999999</v>
      </c>
      <c r="AD193" s="51">
        <v>10.4</v>
      </c>
      <c r="AE193" s="51">
        <v>9.4</v>
      </c>
      <c r="AF193" s="51">
        <v>9.6</v>
      </c>
      <c r="AG193" s="51">
        <v>10.199999999999999</v>
      </c>
      <c r="AH193" s="51">
        <v>10.4</v>
      </c>
      <c r="AI193" s="51">
        <v>4.2</v>
      </c>
      <c r="AJ193" s="51"/>
      <c r="AK193" s="51"/>
      <c r="AL193" s="51"/>
      <c r="AM193" s="51"/>
      <c r="AN193" s="51"/>
      <c r="AO193" s="51"/>
      <c r="AP193" s="88">
        <f t="shared" si="11"/>
        <v>25</v>
      </c>
      <c r="AQ193" s="89">
        <f t="shared" si="12"/>
        <v>9.8559999999999981</v>
      </c>
      <c r="AR193" s="89">
        <f>IFERROR(VLOOKUP(A193,Climatologia!A:U,9+$E$2,FALSE),"")</f>
        <v>8.3038288971873495</v>
      </c>
      <c r="AS193" s="89">
        <f t="shared" si="13"/>
        <v>1.5521711028126486</v>
      </c>
      <c r="AT193" s="90">
        <f t="shared" si="14"/>
        <v>4.2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2.4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3" s="92">
        <f t="shared" si="15"/>
        <v>1.8000000000000003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11.2</v>
      </c>
      <c r="L194" s="51">
        <v>10.199999999999999</v>
      </c>
      <c r="M194" s="51">
        <v>11</v>
      </c>
      <c r="N194" s="51">
        <v>8.6</v>
      </c>
      <c r="O194" s="51">
        <v>8</v>
      </c>
      <c r="P194" s="51">
        <v>11</v>
      </c>
      <c r="Q194" s="51">
        <v>9.8000000000000007</v>
      </c>
      <c r="R194" s="51">
        <v>11.2</v>
      </c>
      <c r="S194" s="51">
        <v>9</v>
      </c>
      <c r="T194" s="51"/>
      <c r="U194" s="51">
        <v>7.4</v>
      </c>
      <c r="V194" s="51">
        <v>9.6</v>
      </c>
      <c r="W194" s="51">
        <v>9.4</v>
      </c>
      <c r="X194" s="51">
        <v>5.6</v>
      </c>
      <c r="Y194" s="51">
        <v>11</v>
      </c>
      <c r="Z194" s="111">
        <v>10.199999999999999</v>
      </c>
      <c r="AA194" s="51">
        <v>10.4</v>
      </c>
      <c r="AB194" s="51">
        <v>9.4</v>
      </c>
      <c r="AC194" s="51">
        <v>10</v>
      </c>
      <c r="AD194" s="51">
        <v>9</v>
      </c>
      <c r="AE194" s="51">
        <v>7</v>
      </c>
      <c r="AF194" s="51">
        <v>8.1999999999999993</v>
      </c>
      <c r="AG194" s="51">
        <v>10.6</v>
      </c>
      <c r="AH194" s="51">
        <v>8</v>
      </c>
      <c r="AI194" s="51">
        <v>3.6</v>
      </c>
      <c r="AJ194" s="51"/>
      <c r="AK194" s="51"/>
      <c r="AL194" s="51"/>
      <c r="AM194" s="51"/>
      <c r="AN194" s="51"/>
      <c r="AO194" s="51"/>
      <c r="AP194" s="88">
        <f t="shared" si="11"/>
        <v>24</v>
      </c>
      <c r="AQ194" s="89">
        <f t="shared" si="12"/>
        <v>9.1416666666666657</v>
      </c>
      <c r="AR194" s="89">
        <f>IFERROR(VLOOKUP(A194,Climatologia!A:U,9+$E$2,FALSE),"")</f>
        <v>7.7278206554291087</v>
      </c>
      <c r="AS194" s="89">
        <f t="shared" si="13"/>
        <v>1.413846011237557</v>
      </c>
      <c r="AT194" s="90">
        <f t="shared" si="14"/>
        <v>3.6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1.2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4" s="92">
        <f t="shared" si="15"/>
        <v>2.4000000000000004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>
        <v>7.8</v>
      </c>
      <c r="L195" s="51">
        <v>8.1999999999999993</v>
      </c>
      <c r="M195" s="51">
        <v>8.6</v>
      </c>
      <c r="N195" s="51">
        <v>9.1999999999999993</v>
      </c>
      <c r="O195" s="51">
        <v>10</v>
      </c>
      <c r="P195" s="51">
        <v>10.4</v>
      </c>
      <c r="Q195" s="51">
        <v>10.6</v>
      </c>
      <c r="R195" s="51">
        <v>11</v>
      </c>
      <c r="S195" s="51">
        <v>11.2</v>
      </c>
      <c r="T195" s="51">
        <v>11.6</v>
      </c>
      <c r="U195" s="51">
        <v>6.4</v>
      </c>
      <c r="V195" s="51">
        <v>7.2</v>
      </c>
      <c r="W195" s="51">
        <v>7.4</v>
      </c>
      <c r="X195" s="51">
        <v>7.8</v>
      </c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14</v>
      </c>
      <c r="AQ195" s="89" t="str">
        <f t="shared" si="12"/>
        <v/>
      </c>
      <c r="AR195" s="89">
        <f>IFERROR(VLOOKUP(A195,Climatologia!A:U,9+$E$2,FALSE),"")</f>
        <v>8.1093100992191847</v>
      </c>
      <c r="AS195" s="89" t="str">
        <f t="shared" si="13"/>
        <v/>
      </c>
      <c r="AT195" s="90">
        <f t="shared" si="14"/>
        <v>6.4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5" s="92">
        <f t="shared" si="15"/>
        <v>6.4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5.6</v>
      </c>
      <c r="L196" s="51">
        <v>1.8</v>
      </c>
      <c r="M196" s="51">
        <v>3.8</v>
      </c>
      <c r="N196" s="51">
        <v>5.2</v>
      </c>
      <c r="O196" s="51">
        <v>6.4</v>
      </c>
      <c r="P196" s="51">
        <v>4.8</v>
      </c>
      <c r="Q196" s="51">
        <v>5.2</v>
      </c>
      <c r="R196" s="51">
        <v>5.8</v>
      </c>
      <c r="S196" s="51">
        <v>5.2</v>
      </c>
      <c r="T196" s="51">
        <v>7.2</v>
      </c>
      <c r="U196" s="51">
        <v>4.2</v>
      </c>
      <c r="V196" s="51">
        <v>6.2</v>
      </c>
      <c r="W196" s="51">
        <v>6</v>
      </c>
      <c r="X196" s="51">
        <v>3.8</v>
      </c>
      <c r="Y196" s="51">
        <v>7.1</v>
      </c>
      <c r="Z196" s="111">
        <v>4.8</v>
      </c>
      <c r="AA196" s="51">
        <v>8.1999999999999993</v>
      </c>
      <c r="AB196" s="51">
        <v>10.199999999999999</v>
      </c>
      <c r="AC196" s="51">
        <v>8.4</v>
      </c>
      <c r="AD196" s="51">
        <v>9.6</v>
      </c>
      <c r="AE196" s="51">
        <v>6.4</v>
      </c>
      <c r="AF196" s="51">
        <v>5.8</v>
      </c>
      <c r="AG196" s="51">
        <v>7.4</v>
      </c>
      <c r="AH196" s="51">
        <v>8.1999999999999993</v>
      </c>
      <c r="AI196" s="51">
        <v>3.6</v>
      </c>
      <c r="AJ196" s="51"/>
      <c r="AK196" s="51"/>
      <c r="AL196" s="51"/>
      <c r="AM196" s="51"/>
      <c r="AN196" s="51"/>
      <c r="AO196" s="51"/>
      <c r="AP196" s="88">
        <f t="shared" si="11"/>
        <v>25</v>
      </c>
      <c r="AQ196" s="89">
        <f t="shared" si="12"/>
        <v>6.0360000000000005</v>
      </c>
      <c r="AR196" s="89">
        <f>IFERROR(VLOOKUP(A196,Climatologia!A:U,9+$E$2,FALSE),"")</f>
        <v>7.7848444585694851</v>
      </c>
      <c r="AS196" s="89">
        <f t="shared" si="13"/>
        <v>-1.7488444585694847</v>
      </c>
      <c r="AT196" s="90">
        <f t="shared" si="14"/>
        <v>1.8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6" s="92">
        <f t="shared" si="15"/>
        <v>1.8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9.8000000000000007</v>
      </c>
      <c r="L197" s="51">
        <v>4.5999999999999996</v>
      </c>
      <c r="M197" s="51">
        <v>7.8</v>
      </c>
      <c r="N197" s="51">
        <v>10.4</v>
      </c>
      <c r="O197" s="51">
        <v>10.4</v>
      </c>
      <c r="P197" s="51">
        <v>10</v>
      </c>
      <c r="Q197" s="51">
        <v>10</v>
      </c>
      <c r="R197" s="51">
        <v>10.4</v>
      </c>
      <c r="S197" s="51">
        <v>9.8000000000000007</v>
      </c>
      <c r="T197" s="51">
        <v>9.8000000000000007</v>
      </c>
      <c r="U197" s="51">
        <v>3.4</v>
      </c>
      <c r="V197" s="51">
        <v>9.6</v>
      </c>
      <c r="W197" s="51">
        <v>8</v>
      </c>
      <c r="X197" s="51">
        <v>6</v>
      </c>
      <c r="Y197" s="51">
        <v>10</v>
      </c>
      <c r="Z197" s="111">
        <v>10</v>
      </c>
      <c r="AA197" s="51">
        <v>10</v>
      </c>
      <c r="AB197" s="51">
        <v>8.8000000000000007</v>
      </c>
      <c r="AC197" s="51">
        <v>11</v>
      </c>
      <c r="AD197" s="51">
        <v>9.8000000000000007</v>
      </c>
      <c r="AE197" s="51">
        <v>8.1999999999999993</v>
      </c>
      <c r="AF197" s="51">
        <v>9.8000000000000007</v>
      </c>
      <c r="AG197" s="51">
        <v>10</v>
      </c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08" si="16">COUNTIF(K197:AO197,"&gt;0")</f>
        <v>23</v>
      </c>
      <c r="AQ197" s="89">
        <f t="shared" ref="AQ197:AQ208" si="17">IF(AP197&gt;14,AVERAGE(K197:AO197),"")</f>
        <v>9.0260869565217394</v>
      </c>
      <c r="AR197" s="89">
        <f>IFERROR(VLOOKUP(A197,Climatologia!A:U,9+$E$2,FALSE),"")</f>
        <v>6.8173462365591373</v>
      </c>
      <c r="AS197" s="89">
        <f t="shared" ref="AS197:AS208" si="18">IF(OR(AQ197="",AR197=""),"",IFERROR(AQ197-AR197,""))</f>
        <v>2.2087407199626021</v>
      </c>
      <c r="AT197" s="90">
        <f t="shared" ref="AT197:AT208" si="19">IF(COUNT(K197:AO197)=0,"",MIN(K197:AO197))</f>
        <v>3.4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7" s="92">
        <f t="shared" ref="AW197:AW208" si="20">IF(OR(AT197="",AU197=""),"NA",IFERROR(AT197-AU197,"NA"))</f>
        <v>3.8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11.4</v>
      </c>
      <c r="L198" s="51">
        <v>9.1999999999999993</v>
      </c>
      <c r="M198" s="51">
        <v>7.8</v>
      </c>
      <c r="N198" s="51">
        <v>7.2</v>
      </c>
      <c r="O198" s="51">
        <v>6.8</v>
      </c>
      <c r="P198" s="51">
        <v>7.6</v>
      </c>
      <c r="Q198" s="51">
        <v>8.8000000000000007</v>
      </c>
      <c r="R198" s="51">
        <v>11.2</v>
      </c>
      <c r="S198" s="51">
        <v>8</v>
      </c>
      <c r="T198" s="51">
        <v>9.1999999999999993</v>
      </c>
      <c r="U198" s="51">
        <v>7.8</v>
      </c>
      <c r="V198" s="51">
        <v>9.6</v>
      </c>
      <c r="W198" s="51">
        <v>9.1999999999999993</v>
      </c>
      <c r="X198" s="51">
        <v>4</v>
      </c>
      <c r="Y198" s="51">
        <v>10.4</v>
      </c>
      <c r="Z198" s="111">
        <v>7.6</v>
      </c>
      <c r="AA198" s="51">
        <v>11.2</v>
      </c>
      <c r="AB198" s="51">
        <v>8.6</v>
      </c>
      <c r="AC198" s="51">
        <v>8.8000000000000007</v>
      </c>
      <c r="AD198" s="51">
        <v>9.6</v>
      </c>
      <c r="AE198" s="51">
        <v>7.8</v>
      </c>
      <c r="AF198" s="51">
        <v>7.4</v>
      </c>
      <c r="AG198" s="51">
        <v>9.6</v>
      </c>
      <c r="AH198" s="51">
        <v>10.4</v>
      </c>
      <c r="AI198" s="51">
        <v>2.6</v>
      </c>
      <c r="AJ198" s="51"/>
      <c r="AK198" s="51"/>
      <c r="AL198" s="51"/>
      <c r="AM198" s="51"/>
      <c r="AN198" s="51"/>
      <c r="AO198" s="51"/>
      <c r="AP198" s="88">
        <f t="shared" si="16"/>
        <v>25</v>
      </c>
      <c r="AQ198" s="89">
        <f t="shared" si="17"/>
        <v>8.4719999999999995</v>
      </c>
      <c r="AR198" s="89">
        <f>IFERROR(VLOOKUP(A198,Climatologia!A:U,9+$E$2,FALSE),"")</f>
        <v>7.8933666539450718</v>
      </c>
      <c r="AS198" s="89">
        <f t="shared" si="18"/>
        <v>0.57863334605492778</v>
      </c>
      <c r="AT198" s="90">
        <f t="shared" si="19"/>
        <v>2.6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8" s="92">
        <f t="shared" si="20"/>
        <v>2.6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7.4</v>
      </c>
      <c r="M199" s="51">
        <v>11</v>
      </c>
      <c r="N199" s="51">
        <v>10</v>
      </c>
      <c r="O199" s="51">
        <v>8.1999999999999993</v>
      </c>
      <c r="P199" s="51">
        <v>10</v>
      </c>
      <c r="Q199" s="51">
        <v>11</v>
      </c>
      <c r="R199" s="51">
        <v>10.8</v>
      </c>
      <c r="S199" s="51">
        <v>10.4</v>
      </c>
      <c r="T199" s="51">
        <v>11.4</v>
      </c>
      <c r="U199" s="51">
        <v>4.2</v>
      </c>
      <c r="V199" s="51">
        <v>10.6</v>
      </c>
      <c r="W199" s="51">
        <v>9.1999999999999993</v>
      </c>
      <c r="X199" s="51">
        <v>6.4</v>
      </c>
      <c r="Y199" s="51">
        <v>10</v>
      </c>
      <c r="Z199" s="111">
        <v>10.199999999999999</v>
      </c>
      <c r="AA199" s="51">
        <v>9.4</v>
      </c>
      <c r="AB199" s="51">
        <v>11</v>
      </c>
      <c r="AC199" s="51">
        <v>11.6</v>
      </c>
      <c r="AD199" s="51">
        <v>10.4</v>
      </c>
      <c r="AE199" s="51">
        <v>9.6</v>
      </c>
      <c r="AF199" s="51">
        <v>9</v>
      </c>
      <c r="AG199" s="51">
        <v>11.4</v>
      </c>
      <c r="AH199" s="51">
        <v>11.6</v>
      </c>
      <c r="AI199" s="51">
        <v>5</v>
      </c>
      <c r="AJ199" s="51"/>
      <c r="AK199" s="51"/>
      <c r="AL199" s="51"/>
      <c r="AM199" s="51"/>
      <c r="AN199" s="51"/>
      <c r="AO199" s="51"/>
      <c r="AP199" s="88">
        <f t="shared" si="16"/>
        <v>25</v>
      </c>
      <c r="AQ199" s="89">
        <f t="shared" si="17"/>
        <v>9.6319999999999997</v>
      </c>
      <c r="AR199" s="89">
        <f>IFERROR(VLOOKUP(A199,Climatologia!A:U,9+$E$2,FALSE),"")</f>
        <v>7.7598125606935424</v>
      </c>
      <c r="AS199" s="89">
        <f t="shared" si="18"/>
        <v>1.8721874393064573</v>
      </c>
      <c r="AT199" s="90">
        <f t="shared" si="19"/>
        <v>4.2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9" s="92">
        <f t="shared" si="20"/>
        <v>5.2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>
        <v>11</v>
      </c>
      <c r="L200" s="51">
        <v>7</v>
      </c>
      <c r="M200" s="51">
        <v>9.4</v>
      </c>
      <c r="N200" s="51">
        <v>9</v>
      </c>
      <c r="O200" s="51">
        <v>9.6</v>
      </c>
      <c r="P200" s="51">
        <v>9</v>
      </c>
      <c r="Q200" s="51">
        <v>10</v>
      </c>
      <c r="R200" s="51">
        <v>11</v>
      </c>
      <c r="S200" s="51">
        <v>10</v>
      </c>
      <c r="T200" s="51">
        <v>10.8</v>
      </c>
      <c r="U200" s="51">
        <v>7</v>
      </c>
      <c r="V200" s="51">
        <v>11</v>
      </c>
      <c r="W200" s="51">
        <v>9.8000000000000007</v>
      </c>
      <c r="X200" s="51">
        <v>6.8</v>
      </c>
      <c r="Y200" s="51">
        <v>12</v>
      </c>
      <c r="Z200" s="111">
        <v>9</v>
      </c>
      <c r="AA200" s="51">
        <v>9.8000000000000007</v>
      </c>
      <c r="AB200" s="51">
        <v>11</v>
      </c>
      <c r="AC200" s="51"/>
      <c r="AD200" s="51">
        <v>10</v>
      </c>
      <c r="AE200" s="51">
        <v>10.6</v>
      </c>
      <c r="AF200" s="51">
        <v>9</v>
      </c>
      <c r="AG200" s="51">
        <v>11.2</v>
      </c>
      <c r="AH200" s="51">
        <v>10</v>
      </c>
      <c r="AI200" s="51">
        <v>10.8</v>
      </c>
      <c r="AJ200" s="51"/>
      <c r="AK200" s="51"/>
      <c r="AL200" s="51"/>
      <c r="AM200" s="51"/>
      <c r="AN200" s="51"/>
      <c r="AO200" s="51"/>
      <c r="AP200" s="88">
        <f t="shared" si="16"/>
        <v>24</v>
      </c>
      <c r="AQ200" s="89">
        <f t="shared" si="17"/>
        <v>9.7833333333333332</v>
      </c>
      <c r="AR200" s="89">
        <f>IFERROR(VLOOKUP(A200,Climatologia!A:U,9+$E$2,FALSE),"")</f>
        <v>7.4125279631689516</v>
      </c>
      <c r="AS200" s="89">
        <f t="shared" si="18"/>
        <v>2.3708053701643816</v>
      </c>
      <c r="AT200" s="90">
        <f t="shared" si="19"/>
        <v>6.8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0.5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200" s="92">
        <f t="shared" si="20"/>
        <v>6.3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8</v>
      </c>
      <c r="L201" s="51">
        <v>6.8</v>
      </c>
      <c r="M201" s="51">
        <v>11</v>
      </c>
      <c r="N201" s="51">
        <v>9.4</v>
      </c>
      <c r="O201" s="51">
        <v>10</v>
      </c>
      <c r="P201" s="51">
        <v>8</v>
      </c>
      <c r="Q201" s="51">
        <v>9.4</v>
      </c>
      <c r="R201" s="51">
        <v>10.199999999999999</v>
      </c>
      <c r="S201" s="51">
        <v>9</v>
      </c>
      <c r="T201" s="51">
        <v>11</v>
      </c>
      <c r="U201" s="51">
        <v>4</v>
      </c>
      <c r="V201" s="51">
        <v>9</v>
      </c>
      <c r="W201" s="51">
        <v>8.6</v>
      </c>
      <c r="X201" s="51">
        <v>4.4000000000000004</v>
      </c>
      <c r="Y201" s="51">
        <v>9.1999999999999993</v>
      </c>
      <c r="Z201" s="111">
        <v>9</v>
      </c>
      <c r="AA201" s="51">
        <v>7.2</v>
      </c>
      <c r="AB201" s="51">
        <v>10</v>
      </c>
      <c r="AC201" s="51">
        <v>8</v>
      </c>
      <c r="AD201" s="51"/>
      <c r="AE201" s="51"/>
      <c r="AF201" s="51">
        <v>10</v>
      </c>
      <c r="AG201" s="51">
        <v>10.199999999999999</v>
      </c>
      <c r="AH201" s="51"/>
      <c r="AI201" s="51">
        <v>3.7</v>
      </c>
      <c r="AJ201" s="51"/>
      <c r="AK201" s="51"/>
      <c r="AL201" s="51"/>
      <c r="AM201" s="51"/>
      <c r="AN201" s="51"/>
      <c r="AO201" s="51"/>
      <c r="AP201" s="88">
        <f t="shared" si="16"/>
        <v>22</v>
      </c>
      <c r="AQ201" s="89">
        <f t="shared" si="17"/>
        <v>8.4590909090909072</v>
      </c>
      <c r="AR201" s="89">
        <f>IFERROR(VLOOKUP(A201,Climatologia!A:U,9+$E$2,FALSE),"")</f>
        <v>6.7196341375857118</v>
      </c>
      <c r="AS201" s="89">
        <f t="shared" si="18"/>
        <v>1.7394567715051954</v>
      </c>
      <c r="AT201" s="90">
        <f t="shared" si="19"/>
        <v>3.7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1" s="92">
        <f t="shared" si="20"/>
        <v>3.7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9.8000000000000007</v>
      </c>
      <c r="L202" s="51">
        <v>7.8</v>
      </c>
      <c r="M202" s="51">
        <v>7.6</v>
      </c>
      <c r="N202" s="51">
        <v>9.1999999999999993</v>
      </c>
      <c r="O202" s="51"/>
      <c r="P202" s="51"/>
      <c r="Q202" s="51">
        <v>10</v>
      </c>
      <c r="R202" s="51">
        <v>9.4</v>
      </c>
      <c r="S202" s="51">
        <v>10.4</v>
      </c>
      <c r="T202" s="51">
        <v>10.199999999999999</v>
      </c>
      <c r="U202" s="51">
        <v>6.4</v>
      </c>
      <c r="V202" s="51"/>
      <c r="W202" s="51"/>
      <c r="X202" s="51">
        <v>6.4</v>
      </c>
      <c r="Y202" s="51">
        <v>10</v>
      </c>
      <c r="Z202" s="111">
        <v>10.6</v>
      </c>
      <c r="AA202" s="51">
        <v>10.4</v>
      </c>
      <c r="AB202" s="51"/>
      <c r="AC202" s="51"/>
      <c r="AD202" s="51"/>
      <c r="AE202" s="51">
        <v>10.199999999999999</v>
      </c>
      <c r="AF202" s="51">
        <v>9.4</v>
      </c>
      <c r="AG202" s="51">
        <v>8.4</v>
      </c>
      <c r="AH202" s="51">
        <v>10</v>
      </c>
      <c r="AI202" s="51">
        <v>5</v>
      </c>
      <c r="AJ202" s="51"/>
      <c r="AK202" s="51"/>
      <c r="AL202" s="51"/>
      <c r="AM202" s="51"/>
      <c r="AN202" s="51"/>
      <c r="AO202" s="51"/>
      <c r="AP202" s="88">
        <f t="shared" si="16"/>
        <v>18</v>
      </c>
      <c r="AQ202" s="89">
        <f t="shared" si="17"/>
        <v>8.9555555555555557</v>
      </c>
      <c r="AR202" s="89">
        <f>IFERROR(VLOOKUP(A202,Climatologia!A:U,9+$E$2,FALSE),"")</f>
        <v>7.737258054422024</v>
      </c>
      <c r="AS202" s="89">
        <f t="shared" si="18"/>
        <v>1.2182975011335317</v>
      </c>
      <c r="AT202" s="90">
        <f t="shared" si="19"/>
        <v>5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2" s="92">
        <f t="shared" si="20"/>
        <v>4.9000000000000004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4.5</v>
      </c>
      <c r="L203" s="51">
        <v>4.2</v>
      </c>
      <c r="M203" s="51">
        <v>4.5999999999999996</v>
      </c>
      <c r="N203" s="51">
        <v>4.4000000000000004</v>
      </c>
      <c r="O203" s="51">
        <v>6.8</v>
      </c>
      <c r="P203" s="51">
        <v>4.5</v>
      </c>
      <c r="Q203" s="51">
        <v>4.2</v>
      </c>
      <c r="R203" s="51">
        <v>10.4</v>
      </c>
      <c r="S203" s="51">
        <v>10</v>
      </c>
      <c r="T203" s="51">
        <v>10.8</v>
      </c>
      <c r="U203" s="51">
        <v>9</v>
      </c>
      <c r="V203" s="51">
        <v>9.1999999999999993</v>
      </c>
      <c r="W203" s="51">
        <v>9.1999999999999993</v>
      </c>
      <c r="X203" s="51">
        <v>7.4</v>
      </c>
      <c r="Y203" s="51">
        <v>10.4</v>
      </c>
      <c r="Z203" s="111">
        <v>10.199999999999999</v>
      </c>
      <c r="AA203" s="51">
        <v>8.4</v>
      </c>
      <c r="AB203" s="51">
        <v>10.4</v>
      </c>
      <c r="AC203" s="51">
        <v>11</v>
      </c>
      <c r="AD203" s="51">
        <v>11.2</v>
      </c>
      <c r="AE203" s="51">
        <v>9.8000000000000007</v>
      </c>
      <c r="AF203" s="51">
        <v>9</v>
      </c>
      <c r="AG203" s="51">
        <v>9.4</v>
      </c>
      <c r="AH203" s="51">
        <v>9.8000000000000007</v>
      </c>
      <c r="AI203" s="51">
        <v>4.5999999999999996</v>
      </c>
      <c r="AJ203" s="51"/>
      <c r="AK203" s="51"/>
      <c r="AL203" s="51"/>
      <c r="AM203" s="51"/>
      <c r="AN203" s="51"/>
      <c r="AO203" s="51"/>
      <c r="AP203" s="88">
        <f t="shared" si="16"/>
        <v>25</v>
      </c>
      <c r="AQ203" s="89">
        <f t="shared" si="17"/>
        <v>8.136000000000001</v>
      </c>
      <c r="AR203" s="89">
        <f>IFERROR(VLOOKUP(A203,Climatologia!A:U,9+$E$2,FALSE),"")</f>
        <v>8.0131665360709121</v>
      </c>
      <c r="AS203" s="89">
        <f t="shared" si="18"/>
        <v>0.12283346392908889</v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-0.4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3" s="92">
        <f t="shared" si="20"/>
        <v>4.6000000000000005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5</v>
      </c>
      <c r="L204" s="51">
        <v>5.4</v>
      </c>
      <c r="M204" s="51">
        <v>5.8</v>
      </c>
      <c r="N204" s="51">
        <v>5.2</v>
      </c>
      <c r="O204" s="51">
        <v>5.6</v>
      </c>
      <c r="P204" s="51">
        <v>5</v>
      </c>
      <c r="Q204" s="51">
        <v>4.8</v>
      </c>
      <c r="R204" s="51">
        <v>4.4000000000000004</v>
      </c>
      <c r="S204" s="51">
        <v>4.8</v>
      </c>
      <c r="T204" s="51">
        <v>4.4000000000000004</v>
      </c>
      <c r="U204" s="51">
        <v>5.2</v>
      </c>
      <c r="V204" s="51">
        <v>5.6</v>
      </c>
      <c r="W204" s="51">
        <v>5.2</v>
      </c>
      <c r="X204" s="51">
        <v>5.4</v>
      </c>
      <c r="Y204" s="51">
        <v>5.8</v>
      </c>
      <c r="Z204" s="111">
        <v>5</v>
      </c>
      <c r="AA204" s="51">
        <v>5.2</v>
      </c>
      <c r="AB204" s="51">
        <v>5</v>
      </c>
      <c r="AC204" s="51">
        <v>4.5999999999999996</v>
      </c>
      <c r="AD204" s="51">
        <v>5.4</v>
      </c>
      <c r="AE204" s="51">
        <v>6</v>
      </c>
      <c r="AF204" s="51">
        <v>6.4</v>
      </c>
      <c r="AG204" s="51">
        <v>5.4</v>
      </c>
      <c r="AH204" s="51">
        <v>5</v>
      </c>
      <c r="AI204" s="51">
        <v>5.2</v>
      </c>
      <c r="AJ204" s="51"/>
      <c r="AK204" s="51"/>
      <c r="AL204" s="51"/>
      <c r="AM204" s="51"/>
      <c r="AN204" s="51"/>
      <c r="AO204" s="51"/>
      <c r="AP204" s="88">
        <f t="shared" si="16"/>
        <v>25</v>
      </c>
      <c r="AQ204" s="89">
        <f t="shared" si="17"/>
        <v>5.2320000000000002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4.4000000000000004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4" s="92">
        <f t="shared" si="20"/>
        <v>2.4000000000000004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17.563073923478811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11.4</v>
      </c>
      <c r="L206" s="51">
        <v>10</v>
      </c>
      <c r="M206" s="51">
        <v>11.2</v>
      </c>
      <c r="N206" s="51">
        <v>11.6</v>
      </c>
      <c r="O206" s="51">
        <v>11.2</v>
      </c>
      <c r="P206" s="51">
        <v>11.6</v>
      </c>
      <c r="Q206" s="51">
        <v>12</v>
      </c>
      <c r="R206" s="51">
        <v>11.6</v>
      </c>
      <c r="S206" s="51">
        <v>11.8</v>
      </c>
      <c r="T206" s="51">
        <v>12.2</v>
      </c>
      <c r="U206" s="51">
        <v>10.199999999999999</v>
      </c>
      <c r="V206" s="51">
        <v>12</v>
      </c>
      <c r="W206" s="51">
        <v>10.199999999999999</v>
      </c>
      <c r="X206" s="51">
        <v>10.199999999999999</v>
      </c>
      <c r="Y206" s="51">
        <v>11.8</v>
      </c>
      <c r="Z206" s="111">
        <v>11.6</v>
      </c>
      <c r="AA206" s="51">
        <v>11</v>
      </c>
      <c r="AB206" s="51">
        <v>10.199999999999999</v>
      </c>
      <c r="AC206" s="51">
        <v>11.8</v>
      </c>
      <c r="AD206" s="51">
        <v>12.2</v>
      </c>
      <c r="AE206" s="51">
        <v>10.8</v>
      </c>
      <c r="AF206" s="51">
        <v>11.4</v>
      </c>
      <c r="AG206" s="51">
        <v>11.8</v>
      </c>
      <c r="AH206" s="51">
        <v>9.8000000000000007</v>
      </c>
      <c r="AI206" s="51"/>
      <c r="AJ206" s="51"/>
      <c r="AK206" s="51"/>
      <c r="AL206" s="51"/>
      <c r="AM206" s="51"/>
      <c r="AN206" s="51"/>
      <c r="AO206" s="51"/>
      <c r="AP206" s="88">
        <f t="shared" si="16"/>
        <v>24</v>
      </c>
      <c r="AQ206" s="89">
        <f t="shared" si="17"/>
        <v>11.233333333333333</v>
      </c>
      <c r="AR206" s="89">
        <f>IFERROR(VLOOKUP(A206,Climatologia!A:U,9+$E$2,FALSE),"")</f>
        <v>9.4398271387109567</v>
      </c>
      <c r="AS206" s="89">
        <f t="shared" si="18"/>
        <v>1.7935061946223758</v>
      </c>
      <c r="AT206" s="90">
        <f t="shared" si="19"/>
        <v>9.8000000000000007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6" s="92">
        <f t="shared" si="20"/>
        <v>7.8000000000000007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6.8</v>
      </c>
      <c r="L207" s="51">
        <v>6.6</v>
      </c>
      <c r="M207" s="51">
        <v>7</v>
      </c>
      <c r="N207" s="51">
        <v>6.2</v>
      </c>
      <c r="O207" s="51">
        <v>6.4</v>
      </c>
      <c r="P207" s="51">
        <v>6.6</v>
      </c>
      <c r="Q207" s="51">
        <v>7.4</v>
      </c>
      <c r="R207" s="51">
        <v>7</v>
      </c>
      <c r="S207" s="51">
        <v>7.6</v>
      </c>
      <c r="T207" s="51">
        <v>6</v>
      </c>
      <c r="U207" s="51">
        <v>6</v>
      </c>
      <c r="V207" s="51">
        <v>6.6</v>
      </c>
      <c r="W207" s="51">
        <v>4.5999999999999996</v>
      </c>
      <c r="X207" s="51">
        <v>5.2</v>
      </c>
      <c r="Y207" s="51">
        <v>7</v>
      </c>
      <c r="Z207" s="111">
        <v>6.8</v>
      </c>
      <c r="AA207" s="51">
        <v>6.4</v>
      </c>
      <c r="AB207" s="51">
        <v>7.4</v>
      </c>
      <c r="AC207" s="51">
        <v>6.4</v>
      </c>
      <c r="AD207" s="51">
        <v>6.6</v>
      </c>
      <c r="AE207" s="51">
        <v>5</v>
      </c>
      <c r="AF207" s="51">
        <v>6.4</v>
      </c>
      <c r="AG207" s="51">
        <v>7</v>
      </c>
      <c r="AH207" s="51">
        <v>5.8</v>
      </c>
      <c r="AI207" s="51">
        <v>2</v>
      </c>
      <c r="AJ207" s="51"/>
      <c r="AK207" s="51"/>
      <c r="AL207" s="51"/>
      <c r="AM207" s="51"/>
      <c r="AN207" s="51"/>
      <c r="AO207" s="51"/>
      <c r="AP207" s="88">
        <f t="shared" si="16"/>
        <v>25</v>
      </c>
      <c r="AQ207" s="89">
        <f t="shared" si="17"/>
        <v>6.2720000000000002</v>
      </c>
      <c r="AR207" s="89">
        <f>IFERROR(VLOOKUP(A207,Climatologia!A:U,9+$E$2,FALSE),"")</f>
        <v>5.2432824793440451</v>
      </c>
      <c r="AS207" s="89">
        <f t="shared" si="18"/>
        <v>1.0287175206559551</v>
      </c>
      <c r="AT207" s="90">
        <f t="shared" si="19"/>
        <v>2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7" s="92">
        <f t="shared" si="20"/>
        <v>0.8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</v>
      </c>
      <c r="L208" s="51">
        <v>20.399999999999999</v>
      </c>
      <c r="M208" s="51">
        <v>19.8</v>
      </c>
      <c r="N208" s="51">
        <v>19.600000000000001</v>
      </c>
      <c r="O208" s="51">
        <v>20.399999999999999</v>
      </c>
      <c r="P208" s="51">
        <v>20.6</v>
      </c>
      <c r="Q208" s="51">
        <v>20.399999999999999</v>
      </c>
      <c r="R208" s="51">
        <v>20</v>
      </c>
      <c r="S208" s="51">
        <v>20.8</v>
      </c>
      <c r="T208" s="51">
        <v>21</v>
      </c>
      <c r="U208" s="51">
        <v>21.2</v>
      </c>
      <c r="V208" s="51">
        <v>21</v>
      </c>
      <c r="W208" s="51">
        <v>20</v>
      </c>
      <c r="X208" s="51">
        <v>19</v>
      </c>
      <c r="Y208" s="51">
        <v>20</v>
      </c>
      <c r="Z208" s="111">
        <v>20.399999999999999</v>
      </c>
      <c r="AA208" s="51">
        <v>20.8</v>
      </c>
      <c r="AB208" s="51">
        <v>20.2</v>
      </c>
      <c r="AC208" s="51">
        <v>20.8</v>
      </c>
      <c r="AD208" s="51">
        <v>21.4</v>
      </c>
      <c r="AE208" s="51">
        <v>20.8</v>
      </c>
      <c r="AF208" s="51">
        <v>21</v>
      </c>
      <c r="AG208" s="51">
        <v>21.4</v>
      </c>
      <c r="AH208" s="51">
        <v>22</v>
      </c>
      <c r="AI208" s="51">
        <v>22.4</v>
      </c>
      <c r="AJ208" s="51"/>
      <c r="AK208" s="51"/>
      <c r="AL208" s="51"/>
      <c r="AM208" s="51"/>
      <c r="AN208" s="51"/>
      <c r="AO208" s="51"/>
      <c r="AP208" s="88">
        <f t="shared" si="16"/>
        <v>25</v>
      </c>
      <c r="AQ208" s="89">
        <f t="shared" si="17"/>
        <v>20.616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19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8" s="92">
        <f t="shared" si="20"/>
        <v>1.8000000000000007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23" t="s">
        <v>850</v>
      </c>
      <c r="I1" s="124"/>
      <c r="J1" s="125"/>
      <c r="K1" s="123" t="s">
        <v>851</v>
      </c>
      <c r="L1" s="124"/>
      <c r="M1" s="125"/>
      <c r="N1" s="123" t="s">
        <v>852</v>
      </c>
      <c r="O1" s="124"/>
      <c r="P1" s="125"/>
      <c r="Q1" s="123" t="s">
        <v>853</v>
      </c>
      <c r="R1" s="124"/>
      <c r="S1" s="125"/>
      <c r="T1" s="123" t="s">
        <v>854</v>
      </c>
      <c r="U1" s="124"/>
      <c r="V1" s="125"/>
      <c r="W1" s="123" t="s">
        <v>855</v>
      </c>
      <c r="X1" s="124"/>
      <c r="Y1" s="125"/>
      <c r="Z1" s="123" t="s">
        <v>856</v>
      </c>
      <c r="AA1" s="124"/>
      <c r="AB1" s="125"/>
      <c r="AC1" s="123" t="s">
        <v>857</v>
      </c>
      <c r="AD1" s="124"/>
      <c r="AE1" s="125"/>
      <c r="AF1" s="123" t="s">
        <v>858</v>
      </c>
      <c r="AG1" s="124"/>
      <c r="AH1" s="125"/>
      <c r="AI1" s="123" t="s">
        <v>859</v>
      </c>
      <c r="AJ1" s="124"/>
      <c r="AK1" s="125"/>
      <c r="AL1" s="123" t="s">
        <v>860</v>
      </c>
      <c r="AM1" s="124"/>
      <c r="AN1" s="125"/>
      <c r="AO1" s="123" t="s">
        <v>861</v>
      </c>
      <c r="AP1" s="124"/>
      <c r="AQ1" s="125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2026-07-25T15:24:52Z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2026-07-25T15:19:27Z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37cdbf2e-6d4d-456e-8a4e-b5d2e41364a6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