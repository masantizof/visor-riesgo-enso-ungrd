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09E7119-F4F8-4526-8070-B243DFF26D3E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Temperatura!$M$1:$M$209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S207" i="1" s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W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W184" i="1" s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Q178" i="1"/>
  <c r="AP178" i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/>
  <c r="AT167" i="1"/>
  <c r="AR167" i="1"/>
  <c r="AP167" i="1"/>
  <c r="AQ167" i="1" s="1"/>
  <c r="AS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W165" i="1" s="1"/>
  <c r="AR165" i="1"/>
  <c r="AP165" i="1"/>
  <c r="AQ165" i="1" s="1"/>
  <c r="AV164" i="1" a="1"/>
  <c r="AV164" i="1" s="1"/>
  <c r="AU164" i="1" a="1"/>
  <c r="AU164" i="1" s="1"/>
  <c r="AW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/>
  <c r="AT148" i="1"/>
  <c r="AW148" i="1" s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/>
  <c r="AU145" i="1" a="1"/>
  <c r="AU145" i="1" s="1"/>
  <c r="AW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Q140" i="1"/>
  <c r="AS140" i="1" s="1"/>
  <c r="AP140" i="1"/>
  <c r="AV139" i="1" a="1"/>
  <c r="AV139" i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/>
  <c r="AT135" i="1"/>
  <c r="AR135" i="1"/>
  <c r="AP135" i="1"/>
  <c r="AQ135" i="1" s="1"/>
  <c r="AV134" i="1" a="1"/>
  <c r="AV134" i="1" s="1"/>
  <c r="AU134" i="1" a="1"/>
  <c r="AU134" i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Q133" i="1"/>
  <c r="AP133" i="1"/>
  <c r="AV132" i="1" a="1"/>
  <c r="AV132" i="1" s="1"/>
  <c r="AU132" i="1" a="1"/>
  <c r="AU132" i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W120" i="1" s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Q116" i="1"/>
  <c r="AP116" i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W114" i="1" s="1"/>
  <c r="AR114" i="1"/>
  <c r="AP114" i="1"/>
  <c r="AQ114" i="1" s="1"/>
  <c r="AS114" i="1" s="1"/>
  <c r="AV113" i="1" a="1"/>
  <c r="AV113" i="1" s="1"/>
  <c r="AU113" i="1" a="1"/>
  <c r="AU113" i="1"/>
  <c r="AT113" i="1"/>
  <c r="AW113" i="1" s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W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/>
  <c r="AU81" i="1" a="1"/>
  <c r="AU81" i="1" s="1"/>
  <c r="AT81" i="1"/>
  <c r="AR81" i="1"/>
  <c r="AQ81" i="1"/>
  <c r="AP81" i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W79" i="1" s="1"/>
  <c r="AT79" i="1"/>
  <c r="AR79" i="1"/>
  <c r="AP79" i="1"/>
  <c r="AQ79" i="1" s="1"/>
  <c r="AV78" i="1" a="1"/>
  <c r="AV78" i="1" s="1"/>
  <c r="AU78" i="1" a="1"/>
  <c r="AU78" i="1" s="1"/>
  <c r="AW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/>
  <c r="AT70" i="1"/>
  <c r="AR70" i="1"/>
  <c r="AP70" i="1"/>
  <c r="AQ70" i="1" s="1"/>
  <c r="AS70" i="1" s="1"/>
  <c r="AV69" i="1" a="1"/>
  <c r="AV69" i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W67" i="1" s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W62" i="1" s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/>
  <c r="AT58" i="1"/>
  <c r="AR58" i="1"/>
  <c r="AP58" i="1"/>
  <c r="AQ58" i="1" s="1"/>
  <c r="AS58" i="1" s="1"/>
  <c r="AV57" i="1" a="1"/>
  <c r="AV57" i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/>
  <c r="AT47" i="1"/>
  <c r="AW47" i="1" s="1"/>
  <c r="AR47" i="1"/>
  <c r="AP47" i="1"/>
  <c r="AQ47" i="1" s="1"/>
  <c r="AV46" i="1" a="1"/>
  <c r="AV46" i="1" s="1"/>
  <c r="AU46" i="1" a="1"/>
  <c r="AU46" i="1" s="1"/>
  <c r="AT46" i="1"/>
  <c r="AW46" i="1" s="1"/>
  <c r="AR46" i="1"/>
  <c r="AP46" i="1"/>
  <c r="AQ46" i="1" s="1"/>
  <c r="AV45" i="1" a="1"/>
  <c r="AV45" i="1"/>
  <c r="AU45" i="1" a="1"/>
  <c r="AU45" i="1"/>
  <c r="AT45" i="1"/>
  <c r="AW45" i="1" s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W40" i="1" s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W36" i="1" s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W28" i="1" s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W24" i="1" s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W20" i="1" s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W16" i="1" s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W12" i="1" s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58" i="1" l="1"/>
  <c r="AW166" i="1"/>
  <c r="AW81" i="1"/>
  <c r="AW77" i="1"/>
  <c r="AW61" i="1"/>
  <c r="AW65" i="1"/>
  <c r="AW140" i="1"/>
  <c r="AW186" i="1"/>
  <c r="AW119" i="1"/>
  <c r="AW112" i="1"/>
  <c r="AW149" i="1"/>
  <c r="AW157" i="1"/>
  <c r="AW117" i="1"/>
  <c r="AS46" i="1"/>
  <c r="AW64" i="1"/>
  <c r="AW74" i="1"/>
  <c r="AS96" i="1"/>
  <c r="AW128" i="1"/>
  <c r="AS165" i="1"/>
  <c r="AW125" i="1"/>
  <c r="AS135" i="1"/>
  <c r="AW142" i="1"/>
  <c r="AW39" i="1"/>
  <c r="AS50" i="1"/>
  <c r="AS54" i="1"/>
  <c r="AS79" i="1"/>
  <c r="AW135" i="1"/>
  <c r="AS150" i="1"/>
  <c r="AS154" i="1"/>
  <c r="AW161" i="1"/>
  <c r="AS169" i="1"/>
  <c r="AW172" i="1"/>
  <c r="AW190" i="1"/>
  <c r="AS206" i="1"/>
  <c r="AW111" i="1"/>
  <c r="AW43" i="1"/>
  <c r="AS47" i="1"/>
  <c r="AW50" i="1"/>
  <c r="AS90" i="1"/>
  <c r="AS97" i="1"/>
  <c r="AW100" i="1"/>
  <c r="AW104" i="1"/>
  <c r="AW198" i="1"/>
  <c r="AW108" i="1"/>
  <c r="AW129" i="1"/>
  <c r="AW154" i="1"/>
  <c r="AW176" i="1"/>
  <c r="AS105" i="1"/>
  <c r="AW180" i="1"/>
  <c r="AS80" i="1"/>
  <c r="AS83" i="1"/>
  <c r="AS112" i="1"/>
  <c r="AS119" i="1"/>
  <c r="AW143" i="1"/>
  <c r="AS151" i="1"/>
  <c r="AS155" i="1"/>
  <c r="AW173" i="1"/>
  <c r="AS5" i="1"/>
  <c r="AS9" i="1"/>
  <c r="AS13" i="1"/>
  <c r="AS17" i="1"/>
  <c r="AS21" i="1"/>
  <c r="AS25" i="1"/>
  <c r="AS29" i="1"/>
  <c r="AS33" i="1"/>
  <c r="AS37" i="1"/>
  <c r="AS41" i="1"/>
  <c r="AW51" i="1"/>
  <c r="AW55" i="1"/>
  <c r="AW66" i="1"/>
  <c r="AS91" i="1"/>
  <c r="AS98" i="1"/>
  <c r="AW105" i="1"/>
  <c r="AS109" i="1"/>
  <c r="AS130" i="1"/>
  <c r="AS144" i="1"/>
  <c r="AS159" i="1"/>
  <c r="AS163" i="1"/>
  <c r="AS116" i="1"/>
  <c r="AS192" i="1"/>
  <c r="AW5" i="1"/>
  <c r="AW9" i="1"/>
  <c r="AW13" i="1"/>
  <c r="AW17" i="1"/>
  <c r="AW21" i="1"/>
  <c r="AW25" i="1"/>
  <c r="AW29" i="1"/>
  <c r="AW33" i="1"/>
  <c r="AW37" i="1"/>
  <c r="AS45" i="1"/>
  <c r="AS113" i="1"/>
  <c r="AS120" i="1"/>
  <c r="AW144" i="1"/>
  <c r="AS152" i="1"/>
  <c r="AS156" i="1"/>
  <c r="AW163" i="1"/>
  <c r="AW192" i="1"/>
  <c r="AS88" i="1"/>
  <c r="AS95" i="1"/>
  <c r="AW102" i="1"/>
  <c r="AS124" i="1"/>
  <c r="AS189" i="1"/>
  <c r="AW70" i="1"/>
  <c r="AW95" i="1"/>
  <c r="AW6" i="1"/>
  <c r="AW10" i="1"/>
  <c r="AW14" i="1"/>
  <c r="AW18" i="1"/>
  <c r="AW22" i="1"/>
  <c r="AW26" i="1"/>
  <c r="AW30" i="1"/>
  <c r="AW38" i="1"/>
  <c r="AS49" i="1"/>
  <c r="AS64" i="1"/>
  <c r="AS103" i="1"/>
  <c r="AW124" i="1"/>
  <c r="AS128" i="1"/>
  <c r="AW134" i="1"/>
  <c r="AW178" i="1"/>
  <c r="AS193" i="1"/>
  <c r="AS197" i="1"/>
  <c r="AW53" i="1"/>
  <c r="AW57" i="1"/>
  <c r="AW121" i="1"/>
  <c r="AS161" i="1"/>
  <c r="AW106" i="1"/>
  <c r="AW109" i="1"/>
  <c r="AW115" i="1"/>
  <c r="AW146" i="1"/>
  <c r="AW152" i="1"/>
  <c r="AW167" i="1"/>
  <c r="AW170" i="1"/>
  <c r="AS183" i="1"/>
  <c r="AS6" i="1"/>
  <c r="AS18" i="1"/>
  <c r="AS143" i="1"/>
  <c r="AW34" i="1"/>
  <c r="AS51" i="1"/>
  <c r="AW69" i="1"/>
  <c r="AW72" i="1"/>
  <c r="AS85" i="1"/>
  <c r="AW183" i="1"/>
  <c r="AS202" i="1"/>
  <c r="AS7" i="1"/>
  <c r="AS11" i="1"/>
  <c r="AS15" i="1"/>
  <c r="AS19" i="1"/>
  <c r="AS23" i="1"/>
  <c r="AS27" i="1"/>
  <c r="AS31" i="1"/>
  <c r="AS35" i="1"/>
  <c r="AS39" i="1"/>
  <c r="AW42" i="1"/>
  <c r="AS48" i="1"/>
  <c r="AW60" i="1"/>
  <c r="AW118" i="1"/>
  <c r="AS180" i="1"/>
  <c r="AW85" i="1"/>
  <c r="AW94" i="1"/>
  <c r="AW103" i="1"/>
  <c r="AS107" i="1"/>
  <c r="AW131" i="1"/>
  <c r="AS147" i="1"/>
  <c r="AS168" i="1"/>
  <c r="AS171" i="1"/>
  <c r="AS177" i="1"/>
  <c r="AS199" i="1"/>
  <c r="AW202" i="1"/>
  <c r="AW206" i="1"/>
  <c r="AW97" i="1"/>
  <c r="AW153" i="1"/>
  <c r="AS92" i="1"/>
  <c r="AS101" i="1"/>
  <c r="AW116" i="1"/>
  <c r="AW122" i="1"/>
  <c r="AW137" i="1"/>
  <c r="AS141" i="1"/>
  <c r="AW168" i="1"/>
  <c r="AW174" i="1"/>
  <c r="AS203" i="1"/>
  <c r="AS8" i="1"/>
  <c r="AS12" i="1"/>
  <c r="AS16" i="1"/>
  <c r="AS20" i="1"/>
  <c r="AS24" i="1"/>
  <c r="AS28" i="1"/>
  <c r="AS32" i="1"/>
  <c r="AS36" i="1"/>
  <c r="AS40" i="1"/>
  <c r="AS52" i="1"/>
  <c r="AS67" i="1"/>
  <c r="AW82" i="1"/>
  <c r="AS129" i="1"/>
  <c r="AS132" i="1"/>
  <c r="AW150" i="1"/>
  <c r="AW156" i="1"/>
  <c r="AS187" i="1"/>
  <c r="AW73" i="1"/>
  <c r="AW92" i="1"/>
  <c r="AW101" i="1"/>
  <c r="AW141" i="1"/>
  <c r="AW162" i="1"/>
  <c r="AS181" i="1"/>
  <c r="AS200" i="1"/>
  <c r="AW207" i="1"/>
  <c r="AW89" i="1"/>
  <c r="AS111" i="1"/>
  <c r="AW132" i="1"/>
  <c r="AS138" i="1"/>
  <c r="AS148" i="1"/>
  <c r="AW159" i="1"/>
  <c r="AS172" i="1"/>
  <c r="AW200" i="1"/>
  <c r="AW98" i="1"/>
  <c r="AS178" i="1"/>
  <c r="AS204" i="1"/>
  <c r="AW52" i="1"/>
  <c r="AW49" i="1"/>
  <c r="AW126" i="1"/>
  <c r="AW138" i="1"/>
  <c r="AW151" i="1"/>
  <c r="AW169" i="1"/>
  <c r="AW8" i="1"/>
  <c r="AW32" i="1"/>
  <c r="AW58" i="1"/>
  <c r="AS44" i="1"/>
  <c r="AS56" i="1"/>
  <c r="AW80" i="1"/>
  <c r="AW123" i="1"/>
  <c r="AS185" i="1"/>
  <c r="AS208" i="1"/>
  <c r="AS59" i="1"/>
  <c r="AW68" i="1"/>
  <c r="AS102" i="1"/>
  <c r="AS133" i="1"/>
  <c r="AS139" i="1"/>
  <c r="AS142" i="1"/>
  <c r="AW188" i="1"/>
  <c r="AW194" i="1"/>
  <c r="AW48" i="1"/>
  <c r="AW54" i="1"/>
  <c r="AW7" i="1"/>
  <c r="AW11" i="1"/>
  <c r="AW15" i="1"/>
  <c r="AW19" i="1"/>
  <c r="AW23" i="1"/>
  <c r="AW27" i="1"/>
  <c r="AW31" i="1"/>
  <c r="AW35" i="1"/>
  <c r="AW44" i="1"/>
  <c r="AW93" i="1"/>
  <c r="AW41" i="1"/>
  <c r="AW56" i="1"/>
  <c r="AW59" i="1"/>
  <c r="AW71" i="1"/>
  <c r="AS84" i="1"/>
  <c r="AW87" i="1"/>
  <c r="AW90" i="1"/>
  <c r="AW99" i="1"/>
  <c r="AW133" i="1"/>
  <c r="AS136" i="1"/>
  <c r="AW139" i="1"/>
  <c r="AW182" i="1"/>
  <c r="AS198" i="1"/>
  <c r="AS205" i="1"/>
  <c r="AS81" i="1"/>
  <c r="AW96" i="1"/>
  <c r="AS106" i="1"/>
  <c r="AS115" i="1"/>
  <c r="AS121" i="1"/>
  <c r="AW127" i="1"/>
  <c r="AW130" i="1"/>
  <c r="AS146" i="1"/>
  <c r="AS164" i="1"/>
  <c r="AS176" i="1"/>
  <c r="AS179" i="1"/>
  <c r="AP2" i="1"/>
  <c r="AW88" i="1"/>
  <c r="AW86" i="1"/>
  <c r="AW84" i="1"/>
  <c r="AW136" i="1"/>
  <c r="AW63" i="1"/>
  <c r="AW75" i="1"/>
  <c r="AW155" i="1"/>
  <c r="AW91" i="1"/>
  <c r="AW107" i="1"/>
  <c r="AW147" i="1"/>
  <c r="AW171" i="1"/>
  <c r="AW76" i="1"/>
  <c r="AW110" i="1"/>
  <c r="AW160" i="1"/>
  <c r="AW204" i="1"/>
  <c r="AW175" i="1"/>
  <c r="AW195" i="1"/>
  <c r="AW193" i="1"/>
  <c r="AW191" i="1"/>
  <c r="AW189" i="1"/>
  <c r="AW187" i="1"/>
  <c r="AW185" i="1"/>
  <c r="AW205" i="1"/>
  <c r="AW203" i="1"/>
  <c r="AW181" i="1"/>
  <c r="AW201" i="1"/>
  <c r="AW179" i="1"/>
  <c r="AW199" i="1"/>
  <c r="AW208" i="1"/>
  <c r="AW177" i="1"/>
  <c r="AW197" i="1"/>
</calcChain>
</file>

<file path=xl/sharedStrings.xml><?xml version="1.0" encoding="utf-8"?>
<sst xmlns="http://schemas.openxmlformats.org/spreadsheetml/2006/main" count="3545" uniqueCount="1273">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</sst>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AO2" zoomScale="80" zoomScaleNormal="80" workbookViewId="0">
      <selection activeCell="AK5" sqref="AK5:AO208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41" width="32.42578125" style="74" customWidth="1"/>
    <col min="142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0</v>
      </c>
      <c r="O2" s="89">
        <f t="shared" si="0"/>
        <v>0</v>
      </c>
      <c r="P2" s="89">
        <f t="shared" si="0"/>
        <v>0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3.2</v>
      </c>
      <c r="AL2" s="89">
        <f t="shared" si="0"/>
        <v>-0.4</v>
      </c>
      <c r="AM2" s="89">
        <f t="shared" si="0"/>
        <v>1.2</v>
      </c>
      <c r="AN2" s="89">
        <f t="shared" si="0"/>
        <v>2.6</v>
      </c>
      <c r="AO2" s="89">
        <f t="shared" si="0"/>
        <v>4.2</v>
      </c>
      <c r="AP2" s="97">
        <f>MIN(K2:AO2)</f>
        <v>-0.4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>
        <v>27.2</v>
      </c>
      <c r="AL5" s="51">
        <v>26.5</v>
      </c>
      <c r="AM5" s="51">
        <v>25.5</v>
      </c>
      <c r="AN5" s="51">
        <v>26.9</v>
      </c>
      <c r="AO5" s="51">
        <v>27</v>
      </c>
      <c r="AP5" s="88">
        <f t="shared" ref="AP5:AP68" si="1">COUNTIF(K5:AO5,"&gt;0")</f>
        <v>8</v>
      </c>
      <c r="AQ5" s="89" t="str">
        <f t="shared" ref="AQ5:AQ68" si="2">IF(AP5&gt;14,AVERAGE(K5:AO5),"")</f>
        <v/>
      </c>
      <c r="AR5" s="89">
        <f>IFERROR(VLOOKUP(A5,Climatologia!A:U,9+$E$2,FALSE),"")</f>
        <v>26.259288578530331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>
        <v>26.1</v>
      </c>
      <c r="AL6" s="51">
        <v>24.4</v>
      </c>
      <c r="AM6" s="51">
        <v>25.5</v>
      </c>
      <c r="AN6" s="51">
        <v>27</v>
      </c>
      <c r="AO6" s="51">
        <v>28.2</v>
      </c>
      <c r="AP6" s="88">
        <f t="shared" si="1"/>
        <v>8</v>
      </c>
      <c r="AQ6" s="89" t="str">
        <f t="shared" si="2"/>
        <v/>
      </c>
      <c r="AR6" s="89">
        <f>IFERROR(VLOOKUP(A6,Climatologia!A:U,9+$E$2,FALSE),"")</f>
        <v>26.228813072776621</v>
      </c>
      <c r="AS6" s="89" t="str">
        <f t="shared" si="3"/>
        <v/>
      </c>
      <c r="AT6" s="90">
        <f t="shared" si="4"/>
        <v>24.4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>
        <v>25.8</v>
      </c>
      <c r="AL7" s="51">
        <v>25.8</v>
      </c>
      <c r="AM7" s="51">
        <v>26.2</v>
      </c>
      <c r="AN7" s="51">
        <v>27.4</v>
      </c>
      <c r="AO7" s="51">
        <v>27.6</v>
      </c>
      <c r="AP7" s="88">
        <f t="shared" si="1"/>
        <v>8</v>
      </c>
      <c r="AQ7" s="89" t="str">
        <f t="shared" si="2"/>
        <v/>
      </c>
      <c r="AR7" s="89">
        <f>IFERROR(VLOOKUP(A7,Climatologia!A:U,9+$E$2,FALSE),"")</f>
        <v>24.806006674082301</v>
      </c>
      <c r="AS7" s="89" t="str">
        <f t="shared" si="3"/>
        <v/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5.1999999999999993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>
        <v>24.3</v>
      </c>
      <c r="AL8" s="51">
        <v>25.3</v>
      </c>
      <c r="AM8" s="51">
        <v>26.9</v>
      </c>
      <c r="AN8" s="51">
        <v>27</v>
      </c>
      <c r="AO8" s="51">
        <v>26.9</v>
      </c>
      <c r="AP8" s="88">
        <f t="shared" si="1"/>
        <v>8</v>
      </c>
      <c r="AQ8" s="89" t="str">
        <f t="shared" si="2"/>
        <v/>
      </c>
      <c r="AR8" s="89">
        <f>IFERROR(VLOOKUP(A8,Climatologia!A:U,9+$E$2,FALSE),"")</f>
        <v>25.86230323116423</v>
      </c>
      <c r="AS8" s="89" t="str">
        <f t="shared" si="3"/>
        <v/>
      </c>
      <c r="AT8" s="90">
        <f t="shared" si="4"/>
        <v>24.3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4.1000000000000014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>
        <v>23.7</v>
      </c>
      <c r="AL9" s="51">
        <v>25.4</v>
      </c>
      <c r="AM9" s="51">
        <v>27.1</v>
      </c>
      <c r="AN9" s="51">
        <v>27.8</v>
      </c>
      <c r="AO9" s="51">
        <v>27.8</v>
      </c>
      <c r="AP9" s="88">
        <f t="shared" si="1"/>
        <v>8</v>
      </c>
      <c r="AQ9" s="89" t="str">
        <f t="shared" si="2"/>
        <v/>
      </c>
      <c r="AR9" s="89">
        <f>IFERROR(VLOOKUP(A9,Climatologia!A:U,9+$E$2,FALSE),"")</f>
        <v>24.75295901904628</v>
      </c>
      <c r="AS9" s="89" t="str">
        <f t="shared" si="3"/>
        <v/>
      </c>
      <c r="AT9" s="90">
        <f t="shared" si="4"/>
        <v>23.7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3.3000000000000007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>
        <v>23.6</v>
      </c>
      <c r="AL10" s="51">
        <v>24.9</v>
      </c>
      <c r="AM10" s="51">
        <v>27.4</v>
      </c>
      <c r="AN10" s="51">
        <v>28.1</v>
      </c>
      <c r="AO10" s="51">
        <v>27.8</v>
      </c>
      <c r="AP10" s="88">
        <f t="shared" si="1"/>
        <v>8</v>
      </c>
      <c r="AQ10" s="89" t="str">
        <f t="shared" si="2"/>
        <v/>
      </c>
      <c r="AR10" s="89">
        <f>IFERROR(VLOOKUP(A10,Climatologia!A:U,9+$E$2,FALSE),"")</f>
        <v>25.518421261719372</v>
      </c>
      <c r="AS10" s="89" t="str">
        <f t="shared" si="3"/>
        <v/>
      </c>
      <c r="AT10" s="90">
        <f t="shared" si="4"/>
        <v>23.6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2.2000000000000028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>
        <v>23.6</v>
      </c>
      <c r="AL11" s="51">
        <v>24.8</v>
      </c>
      <c r="AM11" s="51">
        <v>26.6</v>
      </c>
      <c r="AN11" s="51">
        <v>27.4</v>
      </c>
      <c r="AO11" s="51">
        <v>27</v>
      </c>
      <c r="AP11" s="88">
        <f t="shared" si="1"/>
        <v>8</v>
      </c>
      <c r="AQ11" s="89" t="str">
        <f t="shared" si="2"/>
        <v/>
      </c>
      <c r="AR11" s="89">
        <f>IFERROR(VLOOKUP(A11,Climatologia!A:U,9+$E$2,FALSE),"")</f>
        <v>24.333982334869429</v>
      </c>
      <c r="AS11" s="89" t="str">
        <f t="shared" si="3"/>
        <v/>
      </c>
      <c r="AT11" s="90">
        <f t="shared" si="4"/>
        <v>23.6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3.6000000000000014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>
        <v>23.1</v>
      </c>
      <c r="AL12" s="51">
        <v>25.5</v>
      </c>
      <c r="AM12" s="51">
        <v>26</v>
      </c>
      <c r="AN12" s="51">
        <v>26.7</v>
      </c>
      <c r="AO12" s="51">
        <v>27.7</v>
      </c>
      <c r="AP12" s="88">
        <f t="shared" si="1"/>
        <v>8</v>
      </c>
      <c r="AQ12" s="89" t="str">
        <f t="shared" si="2"/>
        <v/>
      </c>
      <c r="AR12" s="89">
        <f>IFERROR(VLOOKUP(A12,Climatologia!A:U,9+$E$2,FALSE),"")</f>
        <v>23.252867103531361</v>
      </c>
      <c r="AS12" s="89" t="str">
        <f t="shared" si="3"/>
        <v/>
      </c>
      <c r="AT12" s="90">
        <f t="shared" si="4"/>
        <v>23.1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3.3000000000000007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>
        <v>24.8</v>
      </c>
      <c r="AL13" s="51">
        <v>24.4</v>
      </c>
      <c r="AM13" s="51">
        <v>25.2</v>
      </c>
      <c r="AN13" s="51">
        <v>26</v>
      </c>
      <c r="AO13" s="51">
        <v>25.2</v>
      </c>
      <c r="AP13" s="88">
        <f t="shared" si="1"/>
        <v>8</v>
      </c>
      <c r="AQ13" s="89" t="str">
        <f t="shared" si="2"/>
        <v/>
      </c>
      <c r="AR13" s="89">
        <f>IFERROR(VLOOKUP(A13,Climatologia!A:U,9+$E$2,FALSE),"")</f>
        <v>23.256381449473771</v>
      </c>
      <c r="AS13" s="89" t="str">
        <f t="shared" si="3"/>
        <v/>
      </c>
      <c r="AT13" s="90">
        <f t="shared" si="4"/>
        <v>24.4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4.7999999999999972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>
        <v>19.7</v>
      </c>
      <c r="AL14" s="51">
        <v>20.6</v>
      </c>
      <c r="AM14" s="51">
        <v>20.100000000000001</v>
      </c>
      <c r="AN14" s="51">
        <v>21.2</v>
      </c>
      <c r="AO14" s="51">
        <v>20</v>
      </c>
      <c r="AP14" s="88">
        <f t="shared" si="1"/>
        <v>8</v>
      </c>
      <c r="AQ14" s="89" t="str">
        <f t="shared" si="2"/>
        <v/>
      </c>
      <c r="AR14" s="89">
        <f>IFERROR(VLOOKUP(A14,Climatologia!A:U,9+$E$2,FALSE),"")</f>
        <v>18.604610712863401</v>
      </c>
      <c r="AS14" s="89" t="str">
        <f t="shared" si="3"/>
        <v/>
      </c>
      <c r="AT14" s="90">
        <f t="shared" si="4"/>
        <v>19.7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3.3000000000000007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>
        <v>23.5</v>
      </c>
      <c r="AL15" s="51">
        <v>22.4</v>
      </c>
      <c r="AM15" s="51">
        <v>25.6</v>
      </c>
      <c r="AN15" s="51">
        <v>27.5</v>
      </c>
      <c r="AO15" s="51">
        <v>24.8</v>
      </c>
      <c r="AP15" s="88">
        <f t="shared" si="1"/>
        <v>8</v>
      </c>
      <c r="AQ15" s="89" t="str">
        <f t="shared" si="2"/>
        <v/>
      </c>
      <c r="AR15" s="89">
        <f>IFERROR(VLOOKUP(A15,Climatologia!A:U,9+$E$2,FALSE),"")</f>
        <v>23.891303077493511</v>
      </c>
      <c r="AS15" s="89" t="str">
        <f t="shared" si="3"/>
        <v/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>
        <v>24.3</v>
      </c>
      <c r="AL16" s="51">
        <v>24</v>
      </c>
      <c r="AM16" s="51">
        <v>24.3</v>
      </c>
      <c r="AN16" s="51">
        <v>27.3</v>
      </c>
      <c r="AO16" s="51">
        <v>26.9</v>
      </c>
      <c r="AP16" s="88">
        <f t="shared" si="1"/>
        <v>8</v>
      </c>
      <c r="AQ16" s="89" t="str">
        <f t="shared" si="2"/>
        <v/>
      </c>
      <c r="AR16" s="89">
        <f>IFERROR(VLOOKUP(A16,Climatologia!A:U,9+$E$2,FALSE),"")</f>
        <v>23.404404619673439</v>
      </c>
      <c r="AS16" s="89" t="str">
        <f t="shared" si="3"/>
        <v/>
      </c>
      <c r="AT16" s="90">
        <f t="shared" si="4"/>
        <v>24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5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>
        <v>19</v>
      </c>
      <c r="AL17" s="51">
        <v>18.8</v>
      </c>
      <c r="AM17" s="51">
        <v>20.3</v>
      </c>
      <c r="AN17" s="51">
        <v>19</v>
      </c>
      <c r="AO17" s="51">
        <v>19.5</v>
      </c>
      <c r="AP17" s="88">
        <f t="shared" si="1"/>
        <v>8</v>
      </c>
      <c r="AQ17" s="89" t="str">
        <f t="shared" si="2"/>
        <v/>
      </c>
      <c r="AR17" s="89">
        <f>IFERROR(VLOOKUP(A17,Climatologia!A:U,9+$E$2,FALSE),"")</f>
        <v>17.58853046594982</v>
      </c>
      <c r="AS17" s="89" t="str">
        <f t="shared" si="3"/>
        <v/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>
        <v>13.4</v>
      </c>
      <c r="AL18" s="51">
        <v>12.7</v>
      </c>
      <c r="AM18" s="51">
        <v>14.6</v>
      </c>
      <c r="AN18" s="51">
        <v>12.5</v>
      </c>
      <c r="AO18" s="51">
        <v>12.5</v>
      </c>
      <c r="AP18" s="88">
        <f t="shared" si="1"/>
        <v>8</v>
      </c>
      <c r="AQ18" s="89" t="str">
        <f t="shared" si="2"/>
        <v/>
      </c>
      <c r="AR18" s="89">
        <f>IFERROR(VLOOKUP(A18,Climatologia!A:U,9+$E$2,FALSE),"")</f>
        <v>12.112884686688909</v>
      </c>
      <c r="AS18" s="89" t="str">
        <f t="shared" si="3"/>
        <v/>
      </c>
      <c r="AT18" s="90">
        <f t="shared" si="4"/>
        <v>11.2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4.1999999999999993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>
        <v>17.600000000000001</v>
      </c>
      <c r="AL19" s="51">
        <v>17.8</v>
      </c>
      <c r="AM19" s="51">
        <v>18.600000000000001</v>
      </c>
      <c r="AN19" s="51">
        <v>18.8</v>
      </c>
      <c r="AO19" s="51">
        <v>19.2</v>
      </c>
      <c r="AP19" s="88">
        <f t="shared" si="1"/>
        <v>8</v>
      </c>
      <c r="AQ19" s="89" t="str">
        <f t="shared" si="2"/>
        <v/>
      </c>
      <c r="AR19" s="89">
        <f>IFERROR(VLOOKUP(A19,Climatologia!A:U,9+$E$2,FALSE),"")</f>
        <v>17.60198511166254</v>
      </c>
      <c r="AS19" s="89" t="str">
        <f t="shared" si="3"/>
        <v/>
      </c>
      <c r="AT19" s="90">
        <f t="shared" si="4"/>
        <v>17.600000000000001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4.4000000000000021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>
        <v>17.100000000000001</v>
      </c>
      <c r="AL20" s="51">
        <v>17.8</v>
      </c>
      <c r="AM20" s="51">
        <v>16.7</v>
      </c>
      <c r="AN20" s="51">
        <v>17.600000000000001</v>
      </c>
      <c r="AO20" s="51">
        <v>17.5</v>
      </c>
      <c r="AP20" s="88">
        <f t="shared" si="1"/>
        <v>8</v>
      </c>
      <c r="AQ20" s="89" t="str">
        <f t="shared" si="2"/>
        <v/>
      </c>
      <c r="AR20" s="89">
        <f>IFERROR(VLOOKUP(A20,Climatologia!A:U,9+$E$2,FALSE),"")</f>
        <v>16.759506289039098</v>
      </c>
      <c r="AS20" s="89" t="str">
        <f t="shared" si="3"/>
        <v/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>
        <v>19</v>
      </c>
      <c r="AL21" s="51">
        <v>20.3</v>
      </c>
      <c r="AM21" s="51">
        <v>21.6</v>
      </c>
      <c r="AN21" s="51">
        <v>21.4</v>
      </c>
      <c r="AO21" s="51">
        <v>21.2</v>
      </c>
      <c r="AP21" s="88">
        <f t="shared" si="1"/>
        <v>8</v>
      </c>
      <c r="AQ21" s="89" t="str">
        <f t="shared" si="2"/>
        <v/>
      </c>
      <c r="AR21" s="89">
        <f>IFERROR(VLOOKUP(A21,Climatologia!A:U,9+$E$2,FALSE),"")</f>
        <v>19.456815855631209</v>
      </c>
      <c r="AS21" s="89" t="str">
        <f t="shared" si="3"/>
        <v/>
      </c>
      <c r="AT21" s="90">
        <f t="shared" si="4"/>
        <v>19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3.1999999999999993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>
        <v>9.8000000000000007</v>
      </c>
      <c r="AL22" s="51">
        <v>6.7</v>
      </c>
      <c r="AM22" s="51">
        <v>9</v>
      </c>
      <c r="AN22" s="51">
        <v>10.8</v>
      </c>
      <c r="AO22" s="51">
        <v>6.7</v>
      </c>
      <c r="AP22" s="88">
        <f t="shared" si="1"/>
        <v>8</v>
      </c>
      <c r="AQ22" s="89" t="str">
        <f t="shared" si="2"/>
        <v/>
      </c>
      <c r="AR22" s="89">
        <f>IFERROR(VLOOKUP(A22,Climatologia!A:U,9+$E$2,FALSE),"")</f>
        <v>8.3796136733122264</v>
      </c>
      <c r="AS22" s="89" t="str">
        <f t="shared" si="3"/>
        <v/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>
        <v>18.899999999999999</v>
      </c>
      <c r="AL23" s="51">
        <v>19.7</v>
      </c>
      <c r="AM23" s="51">
        <v>18.2</v>
      </c>
      <c r="AN23" s="51">
        <v>18.8</v>
      </c>
      <c r="AO23" s="51">
        <v>20.100000000000001</v>
      </c>
      <c r="AP23" s="88">
        <f t="shared" si="1"/>
        <v>8</v>
      </c>
      <c r="AQ23" s="89" t="str">
        <f t="shared" si="2"/>
        <v/>
      </c>
      <c r="AR23" s="89">
        <f>IFERROR(VLOOKUP(A23,Climatologia!A:U,9+$E$2,FALSE),"")</f>
        <v>18.46166778427882</v>
      </c>
      <c r="AS23" s="89" t="str">
        <f t="shared" si="3"/>
        <v/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>
        <v>22.7</v>
      </c>
      <c r="AL24" s="51">
        <v>22.8</v>
      </c>
      <c r="AM24" s="51">
        <v>22.8</v>
      </c>
      <c r="AN24" s="51">
        <v>24.8</v>
      </c>
      <c r="AO24" s="51">
        <v>25</v>
      </c>
      <c r="AP24" s="88">
        <f t="shared" si="1"/>
        <v>8</v>
      </c>
      <c r="AQ24" s="89" t="str">
        <f t="shared" si="2"/>
        <v/>
      </c>
      <c r="AR24" s="89">
        <f>IFERROR(VLOOKUP(A24,Climatologia!A:U,9+$E$2,FALSE),"")</f>
        <v>23.298802867383511</v>
      </c>
      <c r="AS24" s="89" t="str">
        <f t="shared" si="3"/>
        <v/>
      </c>
      <c r="AT24" s="90">
        <f t="shared" si="4"/>
        <v>22.7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4.1999999999999993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>
        <v>14.8</v>
      </c>
      <c r="AL25" s="51">
        <v>14</v>
      </c>
      <c r="AM25" s="51">
        <v>14.4</v>
      </c>
      <c r="AN25" s="51">
        <v>16.2</v>
      </c>
      <c r="AO25" s="51">
        <v>17.2</v>
      </c>
      <c r="AP25" s="88">
        <f t="shared" si="1"/>
        <v>8</v>
      </c>
      <c r="AQ25" s="89" t="str">
        <f t="shared" si="2"/>
        <v/>
      </c>
      <c r="AR25" s="89">
        <f>IFERROR(VLOOKUP(A25,Climatologia!A:U,9+$E$2,FALSE),"")</f>
        <v>14.619937099422639</v>
      </c>
      <c r="AS25" s="89" t="str">
        <f t="shared" si="3"/>
        <v/>
      </c>
      <c r="AT25" s="90">
        <f t="shared" si="4"/>
        <v>14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2.8000000000000007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>
        <v>3.2</v>
      </c>
      <c r="AL26" s="51">
        <v>4.8</v>
      </c>
      <c r="AM26" s="51">
        <v>1.2</v>
      </c>
      <c r="AN26" s="51">
        <v>2.6</v>
      </c>
      <c r="AO26" s="51">
        <v>9</v>
      </c>
      <c r="AP26" s="88">
        <f t="shared" si="1"/>
        <v>8</v>
      </c>
      <c r="AQ26" s="89" t="str">
        <f t="shared" si="2"/>
        <v/>
      </c>
      <c r="AR26" s="89">
        <f>IFERROR(VLOOKUP(A26,Climatologia!A:U,9+$E$2,FALSE),"")</f>
        <v>4.8923173896922503</v>
      </c>
      <c r="AS26" s="89" t="str">
        <f t="shared" si="3"/>
        <v/>
      </c>
      <c r="AT26" s="90">
        <f t="shared" si="4"/>
        <v>1.2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2.2000000000000002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>
        <v>23.6</v>
      </c>
      <c r="AL27" s="51">
        <v>24</v>
      </c>
      <c r="AM27" s="51">
        <v>24.2</v>
      </c>
      <c r="AN27" s="51">
        <v>25.6</v>
      </c>
      <c r="AO27" s="51">
        <v>23.6</v>
      </c>
      <c r="AP27" s="88">
        <f t="shared" si="1"/>
        <v>8</v>
      </c>
      <c r="AQ27" s="89" t="str">
        <f t="shared" si="2"/>
        <v/>
      </c>
      <c r="AR27" s="89">
        <f>IFERROR(VLOOKUP(A27,Climatologia!A:U,9+$E$2,FALSE),"")</f>
        <v>23.179136204978711</v>
      </c>
      <c r="AS27" s="89" t="str">
        <f t="shared" si="3"/>
        <v/>
      </c>
      <c r="AT27" s="90">
        <f t="shared" si="4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3.2000000000000028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>
        <v>23</v>
      </c>
      <c r="AL28" s="51">
        <v>23.1</v>
      </c>
      <c r="AM28" s="51">
        <v>24.8</v>
      </c>
      <c r="AN28" s="51">
        <v>24.4</v>
      </c>
      <c r="AO28" s="51">
        <v>24</v>
      </c>
      <c r="AP28" s="88">
        <f t="shared" si="1"/>
        <v>8</v>
      </c>
      <c r="AQ28" s="89" t="str">
        <f t="shared" si="2"/>
        <v/>
      </c>
      <c r="AR28" s="89">
        <f>IFERROR(VLOOKUP(A28,Climatologia!A:U,9+$E$2,FALSE),"")</f>
        <v>22.746845081640782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>
        <v>23.8</v>
      </c>
      <c r="AL29" s="51">
        <v>25</v>
      </c>
      <c r="AM29" s="51">
        <v>25.4</v>
      </c>
      <c r="AN29" s="51">
        <v>25.6</v>
      </c>
      <c r="AO29" s="51">
        <v>24.4</v>
      </c>
      <c r="AP29" s="88">
        <f t="shared" si="1"/>
        <v>8</v>
      </c>
      <c r="AQ29" s="89" t="str">
        <f t="shared" si="2"/>
        <v/>
      </c>
      <c r="AR29" s="89">
        <f>IFERROR(VLOOKUP(A29,Climatologia!A:U,9+$E$2,FALSE),"")</f>
        <v>23.54566184649611</v>
      </c>
      <c r="AS29" s="89" t="str">
        <f t="shared" si="3"/>
        <v/>
      </c>
      <c r="AT29" s="90">
        <f t="shared" si="4"/>
        <v>23.8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3.8000000000000007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>
        <v>22</v>
      </c>
      <c r="AL30" s="51">
        <v>20.6</v>
      </c>
      <c r="AM30" s="51">
        <v>21.6</v>
      </c>
      <c r="AN30" s="51">
        <v>21.4</v>
      </c>
      <c r="AO30" s="51">
        <v>21</v>
      </c>
      <c r="AP30" s="88">
        <f t="shared" si="1"/>
        <v>8</v>
      </c>
      <c r="AQ30" s="89" t="str">
        <f t="shared" si="2"/>
        <v/>
      </c>
      <c r="AR30" s="89">
        <f>IFERROR(VLOOKUP(A30,Climatologia!A:U,9+$E$2,FALSE),"")</f>
        <v>20.53698553948831</v>
      </c>
      <c r="AS30" s="89" t="str">
        <f t="shared" si="3"/>
        <v/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>
        <v>23.1</v>
      </c>
      <c r="AL31" s="108">
        <v>22.5</v>
      </c>
      <c r="AM31" s="108">
        <v>22</v>
      </c>
      <c r="AN31" s="108">
        <v>23.4</v>
      </c>
      <c r="AO31" s="108">
        <v>24.4</v>
      </c>
      <c r="AP31" s="88">
        <f t="shared" si="1"/>
        <v>8</v>
      </c>
      <c r="AQ31" s="89" t="str">
        <f t="shared" si="2"/>
        <v/>
      </c>
      <c r="AR31" s="89">
        <f>IFERROR(VLOOKUP(A31,Climatologia!A:U,9+$E$2,FALSE),"")</f>
        <v>21.82882961124896</v>
      </c>
      <c r="AS31" s="89" t="str">
        <f t="shared" si="3"/>
        <v/>
      </c>
      <c r="AT31" s="90">
        <f t="shared" si="4"/>
        <v>22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7.4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>
        <v>14</v>
      </c>
      <c r="AL32" s="51">
        <v>15</v>
      </c>
      <c r="AM32" s="51">
        <v>12.8</v>
      </c>
      <c r="AN32" s="51">
        <v>15.2</v>
      </c>
      <c r="AO32" s="51">
        <v>13</v>
      </c>
      <c r="AP32" s="88">
        <f t="shared" si="1"/>
        <v>8</v>
      </c>
      <c r="AQ32" s="89" t="str">
        <f t="shared" si="2"/>
        <v/>
      </c>
      <c r="AR32" s="89">
        <f>IFERROR(VLOOKUP(A32,Climatologia!A:U,9+$E$2,FALSE),"")</f>
        <v>13.384747431302269</v>
      </c>
      <c r="AS32" s="89" t="str">
        <f t="shared" si="3"/>
        <v/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2.8000000000000007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>
        <v>15.4</v>
      </c>
      <c r="AL34" s="51">
        <v>15.6</v>
      </c>
      <c r="AM34" s="51">
        <v>16</v>
      </c>
      <c r="AN34" s="51">
        <v>16.2</v>
      </c>
      <c r="AO34" s="51">
        <v>16.399999999999999</v>
      </c>
      <c r="AP34" s="88">
        <f t="shared" si="1"/>
        <v>8</v>
      </c>
      <c r="AQ34" s="89" t="str">
        <f t="shared" si="2"/>
        <v/>
      </c>
      <c r="AR34" s="89">
        <f>IFERROR(VLOOKUP(A34,Climatologia!A:U,9+$E$2,FALSE),"")</f>
        <v>14.78540372493654</v>
      </c>
      <c r="AS34" s="89" t="str">
        <f t="shared" si="3"/>
        <v/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>
        <v>15</v>
      </c>
      <c r="AL35" s="51">
        <v>15.2</v>
      </c>
      <c r="AM35" s="51">
        <v>15</v>
      </c>
      <c r="AN35" s="51">
        <v>15.4</v>
      </c>
      <c r="AO35" s="51">
        <v>14.8</v>
      </c>
      <c r="AP35" s="88">
        <f t="shared" si="1"/>
        <v>7</v>
      </c>
      <c r="AQ35" s="89" t="str">
        <f t="shared" si="2"/>
        <v/>
      </c>
      <c r="AR35" s="89">
        <f>IFERROR(VLOOKUP(A35,Climatologia!A:U,9+$E$2,FALSE),"")</f>
        <v>13.2928973207542</v>
      </c>
      <c r="AS35" s="89" t="str">
        <f t="shared" si="3"/>
        <v/>
      </c>
      <c r="AT35" s="90">
        <f t="shared" si="4"/>
        <v>14.8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5.8000000000000007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>
        <v>20</v>
      </c>
      <c r="AL36" s="51">
        <v>18</v>
      </c>
      <c r="AM36" s="51">
        <v>18.2</v>
      </c>
      <c r="AN36" s="51">
        <v>19.600000000000001</v>
      </c>
      <c r="AO36" s="51">
        <v>18.2</v>
      </c>
      <c r="AP36" s="88">
        <f t="shared" si="1"/>
        <v>8</v>
      </c>
      <c r="AQ36" s="89" t="str">
        <f t="shared" si="2"/>
        <v/>
      </c>
      <c r="AR36" s="89">
        <f>IFERROR(VLOOKUP(A36,Climatologia!A:U,9+$E$2,FALSE),"")</f>
        <v>19.435919418842811</v>
      </c>
      <c r="AS36" s="89" t="str">
        <f t="shared" si="3"/>
        <v/>
      </c>
      <c r="AT36" s="90">
        <f t="shared" si="4"/>
        <v>16.8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>
        <v>8.6</v>
      </c>
      <c r="AL37" s="51">
        <v>6</v>
      </c>
      <c r="AM37" s="51">
        <v>10</v>
      </c>
      <c r="AN37" s="51">
        <v>10.4</v>
      </c>
      <c r="AO37" s="51">
        <v>9.1999999999999993</v>
      </c>
      <c r="AP37" s="88">
        <f t="shared" si="1"/>
        <v>8</v>
      </c>
      <c r="AQ37" s="89" t="str">
        <f t="shared" si="2"/>
        <v/>
      </c>
      <c r="AR37" s="89">
        <f>IFERROR(VLOOKUP(A37,Climatologia!A:U,9+$E$2,FALSE),"")</f>
        <v>9.4603029050299927</v>
      </c>
      <c r="AS37" s="89" t="str">
        <f t="shared" si="3"/>
        <v/>
      </c>
      <c r="AT37" s="90">
        <f t="shared" si="4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>
        <v>16</v>
      </c>
      <c r="AL38" s="51">
        <v>15.8</v>
      </c>
      <c r="AM38" s="51">
        <v>17</v>
      </c>
      <c r="AN38" s="51">
        <v>17</v>
      </c>
      <c r="AO38" s="51">
        <v>17</v>
      </c>
      <c r="AP38" s="88">
        <f t="shared" si="1"/>
        <v>8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15.8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1.8000000000000007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>
        <v>17.2</v>
      </c>
      <c r="AL39" s="51">
        <v>19</v>
      </c>
      <c r="AM39" s="51">
        <v>20.6</v>
      </c>
      <c r="AN39" s="51">
        <v>20.2</v>
      </c>
      <c r="AO39" s="51">
        <v>20.8</v>
      </c>
      <c r="AP39" s="88">
        <f t="shared" si="1"/>
        <v>8</v>
      </c>
      <c r="AQ39" s="89" t="str">
        <f t="shared" si="2"/>
        <v/>
      </c>
      <c r="AR39" s="89">
        <f>IFERROR(VLOOKUP(A39,Climatologia!A:U,9+$E$2,FALSE),"")</f>
        <v>17.324090157154679</v>
      </c>
      <c r="AS39" s="89" t="str">
        <f t="shared" si="3"/>
        <v/>
      </c>
      <c r="AT39" s="90">
        <f t="shared" si="4"/>
        <v>17.2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5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>
        <v>14.8</v>
      </c>
      <c r="AL40" s="51">
        <v>14</v>
      </c>
      <c r="AM40" s="51">
        <v>14.4</v>
      </c>
      <c r="AN40" s="51">
        <v>15</v>
      </c>
      <c r="AO40" s="51">
        <v>14.4</v>
      </c>
      <c r="AP40" s="88">
        <f t="shared" si="1"/>
        <v>8</v>
      </c>
      <c r="AQ40" s="89" t="str">
        <f t="shared" si="2"/>
        <v/>
      </c>
      <c r="AR40" s="89">
        <f>IFERROR(VLOOKUP(A40,Climatologia!A:U,9+$E$2,FALSE),"")</f>
        <v>13.024959037378389</v>
      </c>
      <c r="AS40" s="89" t="str">
        <f t="shared" si="3"/>
        <v/>
      </c>
      <c r="AT40" s="90">
        <f t="shared" si="4"/>
        <v>13.2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3.7999999999999989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>
        <v>24</v>
      </c>
      <c r="AL41" s="51">
        <v>23.8</v>
      </c>
      <c r="AM41" s="51">
        <v>25</v>
      </c>
      <c r="AN41" s="51">
        <v>26.8</v>
      </c>
      <c r="AO41" s="51">
        <v>26.4</v>
      </c>
      <c r="AP41" s="88">
        <f t="shared" si="1"/>
        <v>8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23.8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6.6000000000000014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>
        <v>24.2</v>
      </c>
      <c r="AL42" s="51">
        <v>25</v>
      </c>
      <c r="AM42" s="51">
        <v>26.6</v>
      </c>
      <c r="AN42" s="51">
        <v>27.2</v>
      </c>
      <c r="AO42" s="51">
        <v>27.4</v>
      </c>
      <c r="AP42" s="88">
        <f t="shared" si="1"/>
        <v>7</v>
      </c>
      <c r="AQ42" s="89" t="str">
        <f t="shared" si="2"/>
        <v/>
      </c>
      <c r="AR42" s="89">
        <f>IFERROR(VLOOKUP(A42,Climatologia!A:U,9+$E$2,FALSE),"")</f>
        <v>24.242887721454171</v>
      </c>
      <c r="AS42" s="89" t="str">
        <f t="shared" si="3"/>
        <v/>
      </c>
      <c r="AT42" s="90">
        <f t="shared" si="4"/>
        <v>24.2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>
        <v>22</v>
      </c>
      <c r="AL43" s="51">
        <v>24.4</v>
      </c>
      <c r="AM43" s="51">
        <v>25.4</v>
      </c>
      <c r="AN43" s="51">
        <v>26.2</v>
      </c>
      <c r="AO43" s="51">
        <v>22.4</v>
      </c>
      <c r="AP43" s="88">
        <f t="shared" si="1"/>
        <v>7</v>
      </c>
      <c r="AQ43" s="89" t="str">
        <f t="shared" si="2"/>
        <v/>
      </c>
      <c r="AR43" s="89">
        <f>IFERROR(VLOOKUP(A43,Climatologia!A:U,9+$E$2,FALSE),"")</f>
        <v>23.780114118567958</v>
      </c>
      <c r="AS43" s="89" t="str">
        <f t="shared" si="3"/>
        <v/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>
        <v>23</v>
      </c>
      <c r="AL44" s="51">
        <v>23.2</v>
      </c>
      <c r="AM44" s="51">
        <v>24.4</v>
      </c>
      <c r="AN44" s="51">
        <v>25.8</v>
      </c>
      <c r="AO44" s="51">
        <v>25.4</v>
      </c>
      <c r="AP44" s="88">
        <f t="shared" si="1"/>
        <v>8</v>
      </c>
      <c r="AQ44" s="89" t="str">
        <f t="shared" si="2"/>
        <v/>
      </c>
      <c r="AR44" s="89">
        <f>IFERROR(VLOOKUP(A44,Climatologia!A:U,9+$E$2,FALSE),"")</f>
        <v>23.0554149406661</v>
      </c>
      <c r="AS44" s="89" t="str">
        <f t="shared" si="3"/>
        <v/>
      </c>
      <c r="AT44" s="90">
        <f t="shared" si="4"/>
        <v>23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6.8000000000000007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>
        <v>23</v>
      </c>
      <c r="AL47" s="51">
        <v>23.2</v>
      </c>
      <c r="AM47" s="51">
        <v>25.2</v>
      </c>
      <c r="AN47" s="51">
        <v>25.4</v>
      </c>
      <c r="AO47" s="51">
        <v>27</v>
      </c>
      <c r="AP47" s="88">
        <f t="shared" si="1"/>
        <v>8</v>
      </c>
      <c r="AQ47" s="89" t="str">
        <f t="shared" si="2"/>
        <v/>
      </c>
      <c r="AR47" s="89">
        <f>IFERROR(VLOOKUP(A47,Climatologia!A:U,9+$E$2,FALSE),"")</f>
        <v>22.672444338506629</v>
      </c>
      <c r="AS47" s="89" t="str">
        <f t="shared" si="3"/>
        <v/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4.6000000000000014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>
        <v>22.6</v>
      </c>
      <c r="AL51" s="51">
        <v>22.8</v>
      </c>
      <c r="AM51" s="51">
        <v>26</v>
      </c>
      <c r="AN51" s="51">
        <v>26.2</v>
      </c>
      <c r="AO51" s="51">
        <v>27</v>
      </c>
      <c r="AP51" s="88">
        <f t="shared" si="1"/>
        <v>8</v>
      </c>
      <c r="AQ51" s="89" t="str">
        <f t="shared" si="2"/>
        <v/>
      </c>
      <c r="AR51" s="89">
        <f>IFERROR(VLOOKUP(A51,Climatologia!A:U,9+$E$2,FALSE),"")</f>
        <v>23.046735261401551</v>
      </c>
      <c r="AS51" s="89" t="str">
        <f t="shared" si="3"/>
        <v/>
      </c>
      <c r="AT51" s="90">
        <f t="shared" si="4"/>
        <v>22.6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5.6000000000000014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>
        <v>23.2</v>
      </c>
      <c r="AL52" s="51">
        <v>23.2</v>
      </c>
      <c r="AM52" s="51">
        <v>23.2</v>
      </c>
      <c r="AN52" s="51">
        <v>23</v>
      </c>
      <c r="AO52" s="51">
        <v>23.2</v>
      </c>
      <c r="AP52" s="88">
        <f t="shared" si="1"/>
        <v>8</v>
      </c>
      <c r="AQ52" s="89" t="str">
        <f t="shared" si="2"/>
        <v/>
      </c>
      <c r="AR52" s="89">
        <f>IFERROR(VLOOKUP(A52,Climatologia!A:U,9+$E$2,FALSE),"")</f>
        <v>22.42011697979439</v>
      </c>
      <c r="AS52" s="89" t="str">
        <f t="shared" si="3"/>
        <v/>
      </c>
      <c r="AT52" s="90">
        <f t="shared" si="4"/>
        <v>23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>
        <v>22.8</v>
      </c>
      <c r="AL53" s="51">
        <v>22.6</v>
      </c>
      <c r="AM53" s="51">
        <v>25.8</v>
      </c>
      <c r="AN53" s="51">
        <v>25.6</v>
      </c>
      <c r="AO53" s="51">
        <v>25.6</v>
      </c>
      <c r="AP53" s="88">
        <f t="shared" si="1"/>
        <v>8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22.6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5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>
        <v>21</v>
      </c>
      <c r="AL54" s="51">
        <v>22.2</v>
      </c>
      <c r="AM54" s="51">
        <v>22.6</v>
      </c>
      <c r="AN54" s="51">
        <v>23</v>
      </c>
      <c r="AO54" s="51">
        <v>24.2</v>
      </c>
      <c r="AP54" s="88">
        <f t="shared" si="1"/>
        <v>8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>
        <v>24</v>
      </c>
      <c r="AL57" s="51">
        <v>25</v>
      </c>
      <c r="AM57" s="51">
        <v>25.2</v>
      </c>
      <c r="AN57" s="51">
        <v>25.4</v>
      </c>
      <c r="AO57" s="51">
        <v>26.4</v>
      </c>
      <c r="AP57" s="88">
        <f t="shared" si="1"/>
        <v>8</v>
      </c>
      <c r="AQ57" s="89" t="str">
        <f t="shared" si="2"/>
        <v/>
      </c>
      <c r="AR57" s="89">
        <f>IFERROR(VLOOKUP(A57,Climatologia!A:U,9+$E$2,FALSE),"")</f>
        <v>23.979265352535649</v>
      </c>
      <c r="AS57" s="89" t="str">
        <f t="shared" si="3"/>
        <v/>
      </c>
      <c r="AT57" s="90">
        <f t="shared" si="4"/>
        <v>24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6.1999999999999993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>
        <v>23.2</v>
      </c>
      <c r="AL58" s="51">
        <v>23.2</v>
      </c>
      <c r="AM58" s="51">
        <v>23</v>
      </c>
      <c r="AN58" s="51"/>
      <c r="AO58" s="51"/>
      <c r="AP58" s="88">
        <f t="shared" si="1"/>
        <v>3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23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7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>
        <v>21.4</v>
      </c>
      <c r="AL60" s="51">
        <v>23</v>
      </c>
      <c r="AM60" s="51">
        <v>22.8</v>
      </c>
      <c r="AN60" s="51">
        <v>22.4</v>
      </c>
      <c r="AO60" s="51">
        <v>22</v>
      </c>
      <c r="AP60" s="88">
        <f t="shared" si="1"/>
        <v>8</v>
      </c>
      <c r="AQ60" s="89" t="str">
        <f t="shared" si="2"/>
        <v/>
      </c>
      <c r="AR60" s="89">
        <f>IFERROR(VLOOKUP(A60,Climatologia!A:U,9+$E$2,FALSE),"")</f>
        <v>21.421723438405142</v>
      </c>
      <c r="AS60" s="89" t="str">
        <f t="shared" si="3"/>
        <v/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>
        <v>21.8</v>
      </c>
      <c r="AL63" s="51">
        <v>22.8</v>
      </c>
      <c r="AM63" s="51">
        <v>23</v>
      </c>
      <c r="AN63" s="51">
        <v>22</v>
      </c>
      <c r="AO63" s="51">
        <v>21.4</v>
      </c>
      <c r="AP63" s="88">
        <f t="shared" si="1"/>
        <v>7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>
        <v>23</v>
      </c>
      <c r="AL64" s="51">
        <v>23</v>
      </c>
      <c r="AM64" s="51">
        <v>24.4</v>
      </c>
      <c r="AN64" s="51">
        <v>22.6</v>
      </c>
      <c r="AO64" s="51">
        <v>22.2</v>
      </c>
      <c r="AP64" s="88">
        <f t="shared" si="1"/>
        <v>8</v>
      </c>
      <c r="AQ64" s="89" t="str">
        <f t="shared" si="2"/>
        <v/>
      </c>
      <c r="AR64" s="89">
        <f>IFERROR(VLOOKUP(A64,Climatologia!A:U,9+$E$2,FALSE),"")</f>
        <v>21.829845625062539</v>
      </c>
      <c r="AS64" s="89" t="str">
        <f t="shared" si="3"/>
        <v/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>
        <v>22.2</v>
      </c>
      <c r="AL65" s="51">
        <v>22</v>
      </c>
      <c r="AM65" s="51">
        <v>22.2</v>
      </c>
      <c r="AN65" s="51">
        <v>22</v>
      </c>
      <c r="AO65" s="51">
        <v>22</v>
      </c>
      <c r="AP65" s="88">
        <f t="shared" si="1"/>
        <v>8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>
        <v>19</v>
      </c>
      <c r="AL67" s="51">
        <v>20.399999999999999</v>
      </c>
      <c r="AM67" s="51">
        <v>20.6</v>
      </c>
      <c r="AN67" s="51">
        <v>20</v>
      </c>
      <c r="AO67" s="51">
        <v>19.8</v>
      </c>
      <c r="AP67" s="88">
        <f t="shared" si="1"/>
        <v>8</v>
      </c>
      <c r="AQ67" s="89" t="str">
        <f t="shared" si="2"/>
        <v/>
      </c>
      <c r="AR67" s="89">
        <f>IFERROR(VLOOKUP(A67,Climatologia!A:U,9+$E$2,FALSE),"")</f>
        <v>21.155438855480959</v>
      </c>
      <c r="AS67" s="89" t="str">
        <f t="shared" si="3"/>
        <v/>
      </c>
      <c r="AT67" s="90">
        <f t="shared" si="4"/>
        <v>19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>
        <v>21.6</v>
      </c>
      <c r="AL68" s="51">
        <v>20</v>
      </c>
      <c r="AM68" s="51">
        <v>19.600000000000001</v>
      </c>
      <c r="AN68" s="51">
        <v>20</v>
      </c>
      <c r="AO68" s="51">
        <v>21</v>
      </c>
      <c r="AP68" s="88">
        <f t="shared" si="1"/>
        <v>8</v>
      </c>
      <c r="AQ68" s="89" t="str">
        <f t="shared" si="2"/>
        <v/>
      </c>
      <c r="AR68" s="89">
        <f>IFERROR(VLOOKUP(A68,Climatologia!A:U,9+$E$2,FALSE),"")</f>
        <v>21.17954086440843</v>
      </c>
      <c r="AS68" s="89" t="str">
        <f t="shared" si="3"/>
        <v/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/>
      <c r="M69" s="51">
        <v>22.8</v>
      </c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>
        <v>22.4</v>
      </c>
      <c r="AL69" s="51">
        <v>23.2</v>
      </c>
      <c r="AM69" s="51">
        <v>23.6</v>
      </c>
      <c r="AN69" s="51">
        <v>22.2</v>
      </c>
      <c r="AO69" s="51">
        <v>21.8</v>
      </c>
      <c r="AP69" s="88">
        <f t="shared" ref="AP69:AP132" si="6">COUNTIF(K69:AO69,"&gt;0")</f>
        <v>7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>
        <v>23.1</v>
      </c>
      <c r="AL70" s="51">
        <v>24</v>
      </c>
      <c r="AM70" s="51">
        <v>24.4</v>
      </c>
      <c r="AN70" s="51">
        <v>23.4</v>
      </c>
      <c r="AO70" s="51">
        <v>22.4</v>
      </c>
      <c r="AP70" s="88">
        <f t="shared" si="6"/>
        <v>8</v>
      </c>
      <c r="AQ70" s="89" t="str">
        <f t="shared" si="7"/>
        <v/>
      </c>
      <c r="AR70" s="89">
        <f>IFERROR(VLOOKUP(A70,Climatologia!A:U,9+$E$2,FALSE),"")</f>
        <v>22.49395085458767</v>
      </c>
      <c r="AS70" s="89" t="str">
        <f t="shared" si="8"/>
        <v/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6.7999999999999989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>
        <v>22.4</v>
      </c>
      <c r="AL71" s="51">
        <v>21.2</v>
      </c>
      <c r="AM71" s="51">
        <v>21.4</v>
      </c>
      <c r="AN71" s="51">
        <v>23</v>
      </c>
      <c r="AO71" s="51">
        <v>22</v>
      </c>
      <c r="AP71" s="88">
        <f t="shared" si="6"/>
        <v>8</v>
      </c>
      <c r="AQ71" s="89" t="str">
        <f t="shared" si="7"/>
        <v/>
      </c>
      <c r="AR71" s="89">
        <f>IFERROR(VLOOKUP(A71,Climatologia!A:U,9+$E$2,FALSE),"")</f>
        <v>21.499102150537631</v>
      </c>
      <c r="AS71" s="89" t="str">
        <f t="shared" si="8"/>
        <v/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>
        <v>21</v>
      </c>
      <c r="AL72" s="51"/>
      <c r="AM72" s="51">
        <v>23.2</v>
      </c>
      <c r="AN72" s="51">
        <v>21.2</v>
      </c>
      <c r="AO72" s="51">
        <v>20.6</v>
      </c>
      <c r="AP72" s="88">
        <f t="shared" si="6"/>
        <v>6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>
        <v>18.2</v>
      </c>
      <c r="AL73" s="51">
        <v>18.399999999999999</v>
      </c>
      <c r="AM73" s="51">
        <v>19</v>
      </c>
      <c r="AN73" s="51">
        <v>17.2</v>
      </c>
      <c r="AO73" s="51">
        <v>17.2</v>
      </c>
      <c r="AP73" s="88">
        <f t="shared" si="6"/>
        <v>8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17.2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3.6999999999999993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>
        <v>12.2</v>
      </c>
      <c r="AL74" s="51">
        <v>12.8</v>
      </c>
      <c r="AM74" s="51">
        <v>12.6</v>
      </c>
      <c r="AN74" s="51">
        <v>13.2</v>
      </c>
      <c r="AO74" s="51">
        <v>12.2</v>
      </c>
      <c r="AP74" s="88">
        <f t="shared" si="6"/>
        <v>7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/>
      <c r="M75" s="51">
        <v>13.2</v>
      </c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>
        <v>14.6</v>
      </c>
      <c r="AL75" s="51">
        <v>15.2</v>
      </c>
      <c r="AM75" s="51">
        <v>15</v>
      </c>
      <c r="AN75" s="51">
        <v>17.2</v>
      </c>
      <c r="AO75" s="51">
        <v>16.2</v>
      </c>
      <c r="AP75" s="88">
        <f t="shared" si="6"/>
        <v>7</v>
      </c>
      <c r="AQ75" s="89" t="str">
        <f t="shared" si="7"/>
        <v/>
      </c>
      <c r="AR75" s="89">
        <f>IFERROR(VLOOKUP(A75,Climatologia!A:U,9+$E$2,FALSE),"")</f>
        <v>15.418794564997761</v>
      </c>
      <c r="AS75" s="89" t="str">
        <f t="shared" si="8"/>
        <v/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>
        <v>17.2</v>
      </c>
      <c r="AL76" s="51">
        <v>16.399999999999999</v>
      </c>
      <c r="AM76" s="51">
        <v>16.600000000000001</v>
      </c>
      <c r="AN76" s="51">
        <v>17</v>
      </c>
      <c r="AO76" s="51">
        <v>16.8</v>
      </c>
      <c r="AP76" s="88">
        <f t="shared" si="6"/>
        <v>8</v>
      </c>
      <c r="AQ76" s="89" t="str">
        <f t="shared" si="7"/>
        <v/>
      </c>
      <c r="AR76" s="89">
        <f>IFERROR(VLOOKUP(A76,Climatologia!A:U,9+$E$2,FALSE),"")</f>
        <v>18.47633867500863</v>
      </c>
      <c r="AS76" s="89" t="str">
        <f t="shared" si="8"/>
        <v/>
      </c>
      <c r="AT76" s="90">
        <f t="shared" si="9"/>
        <v>16.399999999999999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0.99999999999999822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>
        <v>25</v>
      </c>
      <c r="AL77" s="51">
        <v>26.4</v>
      </c>
      <c r="AM77" s="51">
        <v>25</v>
      </c>
      <c r="AN77" s="51">
        <v>27.8</v>
      </c>
      <c r="AO77" s="51">
        <v>26.6</v>
      </c>
      <c r="AP77" s="88">
        <f t="shared" si="6"/>
        <v>8</v>
      </c>
      <c r="AQ77" s="89" t="str">
        <f t="shared" si="7"/>
        <v/>
      </c>
      <c r="AR77" s="89">
        <f>IFERROR(VLOOKUP(A77,Climatologia!A:U,9+$E$2,FALSE),"")</f>
        <v>24.545433207708651</v>
      </c>
      <c r="AS77" s="89" t="str">
        <f t="shared" si="8"/>
        <v/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>
        <v>24</v>
      </c>
      <c r="AL78" s="51">
        <v>25.4</v>
      </c>
      <c r="AM78" s="51">
        <v>26.2</v>
      </c>
      <c r="AN78" s="51">
        <v>26.6</v>
      </c>
      <c r="AO78" s="51">
        <v>25.6</v>
      </c>
      <c r="AP78" s="88">
        <f t="shared" si="6"/>
        <v>8</v>
      </c>
      <c r="AQ78" s="89" t="str">
        <f t="shared" si="7"/>
        <v/>
      </c>
      <c r="AR78" s="89">
        <f>IFERROR(VLOOKUP(A78,Climatologia!A:U,9+$E$2,FALSE),"")</f>
        <v>23.46580771270726</v>
      </c>
      <c r="AS78" s="89" t="str">
        <f t="shared" si="8"/>
        <v/>
      </c>
      <c r="AT78" s="90">
        <f t="shared" si="9"/>
        <v>24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5.8000000000000007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>
        <v>13.6</v>
      </c>
      <c r="AL79" s="51">
        <v>15.2</v>
      </c>
      <c r="AM79" s="51">
        <v>13.6</v>
      </c>
      <c r="AN79" s="51">
        <v>17.600000000000001</v>
      </c>
      <c r="AO79" s="51"/>
      <c r="AP79" s="88">
        <f t="shared" si="6"/>
        <v>7</v>
      </c>
      <c r="AQ79" s="89" t="str">
        <f t="shared" si="7"/>
        <v/>
      </c>
      <c r="AR79" s="89">
        <f>IFERROR(VLOOKUP(A79,Climatologia!A:U,9+$E$2,FALSE),"")</f>
        <v>15.28784620132488</v>
      </c>
      <c r="AS79" s="89" t="str">
        <f t="shared" si="8"/>
        <v/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>
        <v>23.8</v>
      </c>
      <c r="AL81" s="51">
        <v>23.6</v>
      </c>
      <c r="AM81" s="51">
        <v>23.8</v>
      </c>
      <c r="AN81" s="51">
        <v>22.8</v>
      </c>
      <c r="AO81" s="51">
        <v>23.2</v>
      </c>
      <c r="AP81" s="88">
        <f t="shared" si="6"/>
        <v>8</v>
      </c>
      <c r="AQ81" s="89" t="str">
        <f t="shared" si="7"/>
        <v/>
      </c>
      <c r="AR81" s="89">
        <f>IFERROR(VLOOKUP(A81,Climatologia!A:U,9+$E$2,FALSE),"")</f>
        <v>21.715420961210111</v>
      </c>
      <c r="AS81" s="89" t="str">
        <f t="shared" si="8"/>
        <v/>
      </c>
      <c r="AT81" s="90">
        <f t="shared" si="9"/>
        <v>22.8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6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 t="s">
        <v>1272</v>
      </c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>
        <v>24</v>
      </c>
      <c r="AL83" s="51">
        <v>27.2</v>
      </c>
      <c r="AM83" s="51">
        <v>27.4</v>
      </c>
      <c r="AN83" s="51">
        <v>28.2</v>
      </c>
      <c r="AO83" s="51">
        <v>27</v>
      </c>
      <c r="AP83" s="88">
        <f t="shared" si="6"/>
        <v>8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5.6000000000000014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>
        <v>24.8</v>
      </c>
      <c r="AL84" s="51">
        <v>26.2</v>
      </c>
      <c r="AM84" s="51">
        <v>26.6</v>
      </c>
      <c r="AN84" s="51">
        <v>26.8</v>
      </c>
      <c r="AO84" s="51">
        <v>25.6</v>
      </c>
      <c r="AP84" s="88">
        <f t="shared" si="6"/>
        <v>8</v>
      </c>
      <c r="AQ84" s="89" t="str">
        <f t="shared" si="7"/>
        <v/>
      </c>
      <c r="AR84" s="89">
        <f>IFERROR(VLOOKUP(A84,Climatologia!A:U,9+$E$2,FALSE),"")</f>
        <v>23.659247311827961</v>
      </c>
      <c r="AS84" s="89" t="str">
        <f t="shared" si="8"/>
        <v/>
      </c>
      <c r="AT84" s="90">
        <f t="shared" si="9"/>
        <v>24.8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7.4000000000000021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>
        <v>24.2</v>
      </c>
      <c r="AL85" s="51">
        <v>24.2</v>
      </c>
      <c r="AM85" s="51">
        <v>25.6</v>
      </c>
      <c r="AN85" s="51">
        <v>26.4</v>
      </c>
      <c r="AO85" s="51">
        <v>25.6</v>
      </c>
      <c r="AP85" s="88">
        <f t="shared" si="6"/>
        <v>8</v>
      </c>
      <c r="AQ85" s="89" t="str">
        <f t="shared" si="7"/>
        <v/>
      </c>
      <c r="AR85" s="89">
        <f>IFERROR(VLOOKUP(A85,Climatologia!A:U,9+$E$2,FALSE),"")</f>
        <v>23.235308274059729</v>
      </c>
      <c r="AS85" s="89" t="str">
        <f t="shared" si="8"/>
        <v/>
      </c>
      <c r="AT85" s="90">
        <f t="shared" si="9"/>
        <v>23.8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4.6000000000000014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>
        <v>19.8</v>
      </c>
      <c r="AL86" s="51">
        <v>20.6</v>
      </c>
      <c r="AM86" s="51">
        <v>20.2</v>
      </c>
      <c r="AN86" s="51">
        <v>20.399999999999999</v>
      </c>
      <c r="AO86" s="51">
        <v>22</v>
      </c>
      <c r="AP86" s="88">
        <f t="shared" si="6"/>
        <v>8</v>
      </c>
      <c r="AQ86" s="89" t="str">
        <f t="shared" si="7"/>
        <v/>
      </c>
      <c r="AR86" s="89">
        <f>IFERROR(VLOOKUP(A86,Climatologia!A:U,9+$E$2,FALSE),"")</f>
        <v>22.828530465949822</v>
      </c>
      <c r="AS86" s="89" t="str">
        <f t="shared" si="8"/>
        <v/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1.3000000000000007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>
        <v>24.6</v>
      </c>
      <c r="AL87" s="51">
        <v>24.4</v>
      </c>
      <c r="AM87" s="51">
        <v>27.6</v>
      </c>
      <c r="AN87" s="51">
        <v>27.6</v>
      </c>
      <c r="AO87" s="51">
        <v>28.6</v>
      </c>
      <c r="AP87" s="88">
        <f t="shared" si="6"/>
        <v>8</v>
      </c>
      <c r="AQ87" s="89" t="str">
        <f t="shared" si="7"/>
        <v/>
      </c>
      <c r="AR87" s="89">
        <f>IFERROR(VLOOKUP(A87,Climatologia!A:U,9+$E$2,FALSE),"")</f>
        <v>23.725363919312059</v>
      </c>
      <c r="AS87" s="89" t="str">
        <f t="shared" si="8"/>
        <v/>
      </c>
      <c r="AT87" s="90">
        <f t="shared" si="9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6.3999999999999986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>
        <v>24.8</v>
      </c>
      <c r="AL88" s="51">
        <v>23.4</v>
      </c>
      <c r="AM88" s="51">
        <v>27.4</v>
      </c>
      <c r="AN88" s="51">
        <v>28.2</v>
      </c>
      <c r="AO88" s="51"/>
      <c r="AP88" s="88">
        <f t="shared" si="6"/>
        <v>7</v>
      </c>
      <c r="AQ88" s="89" t="str">
        <f t="shared" si="7"/>
        <v/>
      </c>
      <c r="AR88" s="89">
        <f>IFERROR(VLOOKUP(A88,Climatologia!A:U,9+$E$2,FALSE),"")</f>
        <v>23.148531221247211</v>
      </c>
      <c r="AS88" s="89" t="str">
        <f t="shared" si="8"/>
        <v/>
      </c>
      <c r="AT88" s="90">
        <f t="shared" si="9"/>
        <v>23.4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7.1999999999999993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>
        <v>25</v>
      </c>
      <c r="AM89" s="116">
        <v>25.6</v>
      </c>
      <c r="AN89" s="116">
        <v>25</v>
      </c>
      <c r="AO89" s="116">
        <v>26.4</v>
      </c>
      <c r="AP89" s="88">
        <f t="shared" si="6"/>
        <v>6</v>
      </c>
      <c r="AQ89" s="89" t="str">
        <f t="shared" si="7"/>
        <v/>
      </c>
      <c r="AR89" s="89">
        <f>IFERROR(VLOOKUP(A89,Climatologia!A:U,9+$E$2,FALSE),"")</f>
        <v>22.80687536416124</v>
      </c>
      <c r="AS89" s="89" t="str">
        <f t="shared" si="8"/>
        <v/>
      </c>
      <c r="AT89" s="90">
        <f t="shared" si="9"/>
        <v>25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10.199999999999999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>
        <v>11.2</v>
      </c>
      <c r="AL90" s="51">
        <v>9</v>
      </c>
      <c r="AM90" s="51">
        <v>11.2</v>
      </c>
      <c r="AN90" s="51">
        <v>13.8</v>
      </c>
      <c r="AO90" s="51">
        <v>14</v>
      </c>
      <c r="AP90" s="88">
        <f t="shared" si="6"/>
        <v>8</v>
      </c>
      <c r="AQ90" s="89" t="str">
        <f t="shared" si="7"/>
        <v/>
      </c>
      <c r="AR90" s="89">
        <f>IFERROR(VLOOKUP(A90,Climatologia!A:U,9+$E$2,FALSE),"")</f>
        <v>11.03161290322581</v>
      </c>
      <c r="AS90" s="89" t="str">
        <f t="shared" si="8"/>
        <v/>
      </c>
      <c r="AT90" s="90">
        <f t="shared" si="9"/>
        <v>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4.8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>
        <v>18</v>
      </c>
      <c r="AL91" s="51">
        <v>18.399999999999999</v>
      </c>
      <c r="AM91" s="51">
        <v>18.600000000000001</v>
      </c>
      <c r="AN91" s="51">
        <v>18.399999999999999</v>
      </c>
      <c r="AO91" s="51">
        <v>18.600000000000001</v>
      </c>
      <c r="AP91" s="88">
        <f t="shared" si="6"/>
        <v>8</v>
      </c>
      <c r="AQ91" s="89" t="str">
        <f t="shared" si="7"/>
        <v/>
      </c>
      <c r="AR91" s="89">
        <f>IFERROR(VLOOKUP(A91,Climatologia!A:U,9+$E$2,FALSE),"")</f>
        <v>17.610862560172901</v>
      </c>
      <c r="AS91" s="89" t="str">
        <f t="shared" si="8"/>
        <v/>
      </c>
      <c r="AT91" s="90">
        <f t="shared" si="9"/>
        <v>17.8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4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>
        <v>9</v>
      </c>
      <c r="AL92" s="51">
        <v>7.8</v>
      </c>
      <c r="AM92" s="51">
        <v>12.4</v>
      </c>
      <c r="AN92" s="51">
        <v>12.6</v>
      </c>
      <c r="AO92" s="51">
        <v>12.6</v>
      </c>
      <c r="AP92" s="88">
        <f t="shared" si="6"/>
        <v>8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7.8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1.7999999999999998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>
        <v>10.4</v>
      </c>
      <c r="AL93" s="51">
        <v>4.8</v>
      </c>
      <c r="AM93" s="51">
        <v>7.6</v>
      </c>
      <c r="AN93" s="51">
        <v>8</v>
      </c>
      <c r="AO93" s="51">
        <v>11</v>
      </c>
      <c r="AP93" s="88">
        <f t="shared" si="6"/>
        <v>8</v>
      </c>
      <c r="AQ93" s="89" t="str">
        <f t="shared" si="7"/>
        <v/>
      </c>
      <c r="AR93" s="89">
        <f>IFERROR(VLOOKUP(A93,Climatologia!A:U,9+$E$2,FALSE),"")</f>
        <v>8.6931200495597167</v>
      </c>
      <c r="AS93" s="89" t="str">
        <f t="shared" si="8"/>
        <v/>
      </c>
      <c r="AT93" s="90">
        <f t="shared" si="9"/>
        <v>4.8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4.3999999999999995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>
        <v>7.8</v>
      </c>
      <c r="AL96" s="51">
        <v>4.8</v>
      </c>
      <c r="AM96" s="51">
        <v>5.2</v>
      </c>
      <c r="AN96" s="51">
        <v>9.6</v>
      </c>
      <c r="AO96" s="51">
        <v>9</v>
      </c>
      <c r="AP96" s="88">
        <f t="shared" si="6"/>
        <v>8</v>
      </c>
      <c r="AQ96" s="89" t="str">
        <f t="shared" si="7"/>
        <v/>
      </c>
      <c r="AR96" s="89">
        <f>IFERROR(VLOOKUP(A96,Climatologia!A:U,9+$E$2,FALSE),"")</f>
        <v>7.1833471822125867</v>
      </c>
      <c r="AS96" s="89" t="str">
        <f t="shared" si="8"/>
        <v/>
      </c>
      <c r="AT96" s="90">
        <f t="shared" si="9"/>
        <v>4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5.6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>
        <v>6.8</v>
      </c>
      <c r="AL97" s="51">
        <v>6</v>
      </c>
      <c r="AM97" s="51">
        <v>6.5</v>
      </c>
      <c r="AN97" s="51">
        <v>7</v>
      </c>
      <c r="AO97" s="51">
        <v>7.6</v>
      </c>
      <c r="AP97" s="88">
        <f t="shared" si="6"/>
        <v>8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>
        <v>6.8</v>
      </c>
      <c r="AL98" s="51">
        <v>8.1999999999999993</v>
      </c>
      <c r="AM98" s="51">
        <v>4.8</v>
      </c>
      <c r="AN98" s="51">
        <v>8.4</v>
      </c>
      <c r="AO98" s="51">
        <v>5.6</v>
      </c>
      <c r="AP98" s="88">
        <f t="shared" si="6"/>
        <v>8</v>
      </c>
      <c r="AQ98" s="89" t="str">
        <f t="shared" si="7"/>
        <v/>
      </c>
      <c r="AR98" s="89">
        <f>IFERROR(VLOOKUP(A98,Climatologia!A:U,9+$E$2,FALSE),"")</f>
        <v>6.5568614692818183</v>
      </c>
      <c r="AS98" s="89" t="str">
        <f t="shared" si="8"/>
        <v/>
      </c>
      <c r="AT98" s="90">
        <f t="shared" si="9"/>
        <v>3.4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4.5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>
        <v>10.199999999999999</v>
      </c>
      <c r="AL99" s="51">
        <v>7.2</v>
      </c>
      <c r="AM99" s="51">
        <v>6.8</v>
      </c>
      <c r="AN99" s="51">
        <v>10</v>
      </c>
      <c r="AO99" s="51">
        <v>10.8</v>
      </c>
      <c r="AP99" s="88">
        <f t="shared" si="6"/>
        <v>8</v>
      </c>
      <c r="AQ99" s="89" t="str">
        <f t="shared" si="7"/>
        <v/>
      </c>
      <c r="AR99" s="89">
        <f>IFERROR(VLOOKUP(A99,Climatologia!A:U,9+$E$2,FALSE),"")</f>
        <v>8.4968567690188941</v>
      </c>
      <c r="AS99" s="89" t="str">
        <f t="shared" si="8"/>
        <v/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>
        <v>6.6</v>
      </c>
      <c r="AL100" s="51">
        <v>5</v>
      </c>
      <c r="AM100" s="51">
        <v>6.6</v>
      </c>
      <c r="AN100" s="51">
        <v>6.8</v>
      </c>
      <c r="AO100" s="51">
        <v>8</v>
      </c>
      <c r="AP100" s="88">
        <f t="shared" si="6"/>
        <v>8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5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>
        <v>14</v>
      </c>
      <c r="AL103" s="51">
        <v>10</v>
      </c>
      <c r="AM103" s="51">
        <v>10.8</v>
      </c>
      <c r="AN103" s="51">
        <v>12</v>
      </c>
      <c r="AO103" s="51">
        <v>13</v>
      </c>
      <c r="AP103" s="88">
        <f t="shared" si="6"/>
        <v>8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>
        <v>7.5</v>
      </c>
      <c r="AL104" s="51">
        <v>-0.4</v>
      </c>
      <c r="AM104" s="51">
        <v>1.4</v>
      </c>
      <c r="AN104" s="51">
        <v>4.2</v>
      </c>
      <c r="AO104" s="51">
        <v>4.2</v>
      </c>
      <c r="AP104" s="88">
        <f t="shared" si="6"/>
        <v>6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-0.4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2.6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>
        <v>6.8</v>
      </c>
      <c r="AL105" s="51">
        <v>4.5999999999999996</v>
      </c>
      <c r="AM105" s="51">
        <v>3.8</v>
      </c>
      <c r="AN105" s="51">
        <v>5</v>
      </c>
      <c r="AO105" s="51">
        <v>8.1999999999999993</v>
      </c>
      <c r="AP105" s="88">
        <f t="shared" si="6"/>
        <v>8</v>
      </c>
      <c r="AQ105" s="89" t="str">
        <f t="shared" si="7"/>
        <v/>
      </c>
      <c r="AR105" s="89">
        <f>IFERROR(VLOOKUP(A105,Climatologia!A:U,9+$E$2,FALSE),"")</f>
        <v>6.6867982257377889</v>
      </c>
      <c r="AS105" s="89" t="str">
        <f t="shared" si="8"/>
        <v/>
      </c>
      <c r="AT105" s="90">
        <f t="shared" si="9"/>
        <v>2.2000000000000002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2.4000000000000004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>
        <v>10.8</v>
      </c>
      <c r="AL106" s="51">
        <v>8.4</v>
      </c>
      <c r="AM106" s="51">
        <v>9.8000000000000007</v>
      </c>
      <c r="AN106" s="51">
        <v>9.8000000000000007</v>
      </c>
      <c r="AO106" s="51">
        <v>9</v>
      </c>
      <c r="AP106" s="88">
        <f t="shared" si="6"/>
        <v>8</v>
      </c>
      <c r="AQ106" s="89" t="str">
        <f t="shared" si="7"/>
        <v/>
      </c>
      <c r="AR106" s="89">
        <f>IFERROR(VLOOKUP(A106,Climatologia!A:U,9+$E$2,FALSE),"")</f>
        <v>9.9225433842748103</v>
      </c>
      <c r="AS106" s="89" t="str">
        <f t="shared" si="8"/>
        <v/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>
        <v>14.2</v>
      </c>
      <c r="AL107" s="51">
        <v>12.4</v>
      </c>
      <c r="AM107" s="51">
        <v>14</v>
      </c>
      <c r="AN107" s="51">
        <v>15.2</v>
      </c>
      <c r="AO107" s="51">
        <v>14.6</v>
      </c>
      <c r="AP107" s="88">
        <f t="shared" si="6"/>
        <v>7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12.4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5.4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>
        <v>11.6</v>
      </c>
      <c r="AL108" s="51">
        <v>9</v>
      </c>
      <c r="AM108" s="51">
        <v>9.4</v>
      </c>
      <c r="AN108" s="51">
        <v>13</v>
      </c>
      <c r="AO108" s="51">
        <v>13.6</v>
      </c>
      <c r="AP108" s="88">
        <f t="shared" si="6"/>
        <v>8</v>
      </c>
      <c r="AQ108" s="89" t="str">
        <f t="shared" si="7"/>
        <v/>
      </c>
      <c r="AR108" s="89">
        <f>IFERROR(VLOOKUP(A108,Climatologia!A:U,9+$E$2,FALSE),"")</f>
        <v>11.71482091212458</v>
      </c>
      <c r="AS108" s="89" t="str">
        <f t="shared" si="8"/>
        <v/>
      </c>
      <c r="AT108" s="90">
        <f t="shared" si="9"/>
        <v>9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6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>
        <v>14</v>
      </c>
      <c r="AL109" s="51">
        <v>12.4</v>
      </c>
      <c r="AM109" s="51">
        <v>15.4</v>
      </c>
      <c r="AN109" s="51">
        <v>15.4</v>
      </c>
      <c r="AO109" s="51">
        <v>14.6</v>
      </c>
      <c r="AP109" s="88">
        <f t="shared" si="6"/>
        <v>8</v>
      </c>
      <c r="AQ109" s="89" t="str">
        <f t="shared" si="7"/>
        <v/>
      </c>
      <c r="AR109" s="89">
        <f>IFERROR(VLOOKUP(A109,Climatologia!A:U,9+$E$2,FALSE),"")</f>
        <v>13.486598754951901</v>
      </c>
      <c r="AS109" s="89" t="str">
        <f t="shared" si="8"/>
        <v/>
      </c>
      <c r="AT109" s="90">
        <f t="shared" si="9"/>
        <v>12.4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4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>
        <v>15.2</v>
      </c>
      <c r="AL110" s="51">
        <v>13.8</v>
      </c>
      <c r="AM110" s="51">
        <v>15.4</v>
      </c>
      <c r="AN110" s="51">
        <v>16.399999999999999</v>
      </c>
      <c r="AO110" s="51">
        <v>16.399999999999999</v>
      </c>
      <c r="AP110" s="88">
        <f t="shared" si="6"/>
        <v>8</v>
      </c>
      <c r="AQ110" s="89" t="str">
        <f t="shared" si="7"/>
        <v/>
      </c>
      <c r="AR110" s="89">
        <f>IFERROR(VLOOKUP(A110,Climatologia!A:U,9+$E$2,FALSE),"")</f>
        <v>13.526900330851941</v>
      </c>
      <c r="AS110" s="89" t="str">
        <f t="shared" si="8"/>
        <v/>
      </c>
      <c r="AT110" s="90">
        <f t="shared" si="9"/>
        <v>13.8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5.3000000000000007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>
        <v>17.8</v>
      </c>
      <c r="AL111" s="51">
        <v>16.399999999999999</v>
      </c>
      <c r="AM111" s="51">
        <v>19.600000000000001</v>
      </c>
      <c r="AN111" s="51">
        <v>19.2</v>
      </c>
      <c r="AO111" s="51"/>
      <c r="AP111" s="88">
        <f t="shared" si="6"/>
        <v>7</v>
      </c>
      <c r="AQ111" s="89" t="str">
        <f t="shared" si="7"/>
        <v/>
      </c>
      <c r="AR111" s="89">
        <f>IFERROR(VLOOKUP(A111,Climatologia!A:U,9+$E$2,FALSE),"")</f>
        <v>16.8655441109516</v>
      </c>
      <c r="AS111" s="89" t="str">
        <f t="shared" si="8"/>
        <v/>
      </c>
      <c r="AT111" s="90">
        <f t="shared" si="9"/>
        <v>16.399999999999999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4.9999999999999982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>
        <v>23.6</v>
      </c>
      <c r="AL112" s="51">
        <v>23.6</v>
      </c>
      <c r="AM112" s="51">
        <v>23.2</v>
      </c>
      <c r="AN112" s="51">
        <v>23.4</v>
      </c>
      <c r="AO112" s="51">
        <v>23.2</v>
      </c>
      <c r="AP112" s="88">
        <f t="shared" si="6"/>
        <v>8</v>
      </c>
      <c r="AQ112" s="89" t="str">
        <f t="shared" si="7"/>
        <v/>
      </c>
      <c r="AR112" s="89">
        <f>IFERROR(VLOOKUP(A112,Climatologia!A:U,9+$E$2,FALSE),"")</f>
        <v>22.5308162078518</v>
      </c>
      <c r="AS112" s="89" t="str">
        <f t="shared" si="8"/>
        <v/>
      </c>
      <c r="AT112" s="90">
        <f t="shared" si="9"/>
        <v>23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>
        <v>14.2</v>
      </c>
      <c r="AL113" s="51">
        <v>14.4</v>
      </c>
      <c r="AM113" s="51">
        <v>15.6</v>
      </c>
      <c r="AN113" s="51">
        <v>15.7</v>
      </c>
      <c r="AO113" s="51">
        <v>16</v>
      </c>
      <c r="AP113" s="88">
        <f t="shared" si="6"/>
        <v>8</v>
      </c>
      <c r="AQ113" s="89" t="str">
        <f t="shared" si="7"/>
        <v/>
      </c>
      <c r="AR113" s="89">
        <f>IFERROR(VLOOKUP(A113,Climatologia!A:U,9+$E$2,FALSE),"")</f>
        <v>15.24686243974787</v>
      </c>
      <c r="AS113" s="89" t="str">
        <f t="shared" si="8"/>
        <v/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4.1999999999999993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>
        <v>19</v>
      </c>
      <c r="AL114" s="51">
        <v>19.8</v>
      </c>
      <c r="AM114" s="51">
        <v>21</v>
      </c>
      <c r="AN114" s="51">
        <v>20.2</v>
      </c>
      <c r="AO114" s="51">
        <v>19.399999999999999</v>
      </c>
      <c r="AP114" s="88">
        <f t="shared" si="6"/>
        <v>8</v>
      </c>
      <c r="AQ114" s="89" t="str">
        <f t="shared" si="7"/>
        <v/>
      </c>
      <c r="AR114" s="89">
        <f>IFERROR(VLOOKUP(A114,Climatologia!A:U,9+$E$2,FALSE),"")</f>
        <v>22.117682198327358</v>
      </c>
      <c r="AS114" s="89" t="str">
        <f t="shared" si="8"/>
        <v/>
      </c>
      <c r="AT114" s="90">
        <f t="shared" si="9"/>
        <v>19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1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>
        <v>22.6</v>
      </c>
      <c r="AL115" s="51">
        <v>23.6</v>
      </c>
      <c r="AM115" s="51">
        <v>23.4</v>
      </c>
      <c r="AN115" s="51">
        <v>23</v>
      </c>
      <c r="AO115" s="51">
        <v>22.6</v>
      </c>
      <c r="AP115" s="88">
        <f t="shared" si="6"/>
        <v>8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22.6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>
        <v>20.2</v>
      </c>
      <c r="AL116" s="51">
        <v>21.2</v>
      </c>
      <c r="AM116" s="51">
        <v>20.2</v>
      </c>
      <c r="AN116" s="51">
        <v>20.2</v>
      </c>
      <c r="AO116" s="51">
        <v>22.4</v>
      </c>
      <c r="AP116" s="88">
        <f t="shared" si="6"/>
        <v>8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20.2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>
        <v>22</v>
      </c>
      <c r="AO117" s="51">
        <v>22.2</v>
      </c>
      <c r="AP117" s="88">
        <f t="shared" si="6"/>
        <v>5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>
        <v>5.8</v>
      </c>
      <c r="AL119" s="51">
        <v>6</v>
      </c>
      <c r="AM119" s="51">
        <v>7.6</v>
      </c>
      <c r="AN119" s="51">
        <v>10</v>
      </c>
      <c r="AO119" s="51"/>
      <c r="AP119" s="88">
        <f t="shared" si="6"/>
        <v>7</v>
      </c>
      <c r="AQ119" s="89" t="str">
        <f t="shared" si="7"/>
        <v/>
      </c>
      <c r="AR119" s="89">
        <f>IFERROR(VLOOKUP(A119,Climatologia!A:U,9+$E$2,FALSE),"")</f>
        <v>5.9386052057570407</v>
      </c>
      <c r="AS119" s="89" t="str">
        <f t="shared" si="8"/>
        <v/>
      </c>
      <c r="AT119" s="90">
        <f t="shared" si="9"/>
        <v>5.8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8.1999999999999993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>
        <v>10.5</v>
      </c>
      <c r="AL121" s="51">
        <v>11.7</v>
      </c>
      <c r="AM121" s="51"/>
      <c r="AN121" s="51">
        <v>14.6</v>
      </c>
      <c r="AO121" s="51">
        <v>12.7</v>
      </c>
      <c r="AP121" s="88">
        <f t="shared" si="6"/>
        <v>4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>
        <f t="shared" si="9"/>
        <v>10.5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8.6999999999999993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>
        <v>7</v>
      </c>
      <c r="AL123" s="51">
        <v>9.4</v>
      </c>
      <c r="AM123" s="51">
        <v>5</v>
      </c>
      <c r="AN123" s="51">
        <v>9.8000000000000007</v>
      </c>
      <c r="AO123" s="51">
        <v>9.6</v>
      </c>
      <c r="AP123" s="88">
        <f t="shared" si="6"/>
        <v>8</v>
      </c>
      <c r="AQ123" s="89" t="str">
        <f t="shared" si="7"/>
        <v/>
      </c>
      <c r="AR123" s="89">
        <f>IFERROR(VLOOKUP(A123,Climatologia!A:U,9+$E$2,FALSE),"")</f>
        <v>7.6782114198549483</v>
      </c>
      <c r="AS123" s="89" t="str">
        <f t="shared" si="8"/>
        <v/>
      </c>
      <c r="AT123" s="90">
        <f t="shared" si="9"/>
        <v>5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3.8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>
        <v>12.2</v>
      </c>
      <c r="AL126" s="51">
        <v>13.3</v>
      </c>
      <c r="AM126" s="51">
        <v>13.9</v>
      </c>
      <c r="AN126" s="51"/>
      <c r="AO126" s="51"/>
      <c r="AP126" s="88">
        <f t="shared" si="6"/>
        <v>6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>
        <v>13.8</v>
      </c>
      <c r="AL127" s="51">
        <v>13.6</v>
      </c>
      <c r="AM127" s="51">
        <v>14</v>
      </c>
      <c r="AN127" s="51">
        <v>14.4</v>
      </c>
      <c r="AO127" s="51">
        <v>14.2</v>
      </c>
      <c r="AP127" s="88">
        <f t="shared" si="6"/>
        <v>8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>
        <f t="shared" si="9"/>
        <v>13.6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5.6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>
        <v>10</v>
      </c>
      <c r="AL129" s="51">
        <v>10.6</v>
      </c>
      <c r="AM129" s="51">
        <v>9.4</v>
      </c>
      <c r="AN129" s="51">
        <v>11.4</v>
      </c>
      <c r="AO129" s="51">
        <v>11.4</v>
      </c>
      <c r="AP129" s="88">
        <f t="shared" si="6"/>
        <v>8</v>
      </c>
      <c r="AQ129" s="89" t="str">
        <f t="shared" si="7"/>
        <v/>
      </c>
      <c r="AR129" s="89">
        <f>IFERROR(VLOOKUP(A129,Climatologia!A:U,9+$E$2,FALSE),"")</f>
        <v>9.236293266429529</v>
      </c>
      <c r="AS129" s="89" t="str">
        <f t="shared" si="8"/>
        <v/>
      </c>
      <c r="AT129" s="90">
        <f t="shared" si="9"/>
        <v>9.4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5.2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>
        <v>9.8000000000000007</v>
      </c>
      <c r="AL130" s="51">
        <v>11.2</v>
      </c>
      <c r="AM130" s="51">
        <v>9.6</v>
      </c>
      <c r="AN130" s="51">
        <v>10.199999999999999</v>
      </c>
      <c r="AO130" s="51">
        <v>13</v>
      </c>
      <c r="AP130" s="88">
        <f t="shared" si="6"/>
        <v>8</v>
      </c>
      <c r="AQ130" s="89" t="str">
        <f t="shared" si="7"/>
        <v/>
      </c>
      <c r="AR130" s="89">
        <f>IFERROR(VLOOKUP(A130,Climatologia!A:U,9+$E$2,FALSE),"")</f>
        <v>10.41098422703651</v>
      </c>
      <c r="AS130" s="89" t="str">
        <f t="shared" si="8"/>
        <v/>
      </c>
      <c r="AT130" s="90">
        <f t="shared" si="9"/>
        <v>9.1999999999999993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2.7999999999999989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>
        <v>16</v>
      </c>
      <c r="AL131" s="51">
        <v>15.2</v>
      </c>
      <c r="AM131" s="51">
        <v>16.600000000000001</v>
      </c>
      <c r="AN131" s="51">
        <v>17.399999999999999</v>
      </c>
      <c r="AO131" s="51">
        <v>17.8</v>
      </c>
      <c r="AP131" s="88">
        <f t="shared" si="6"/>
        <v>8</v>
      </c>
      <c r="AQ131" s="89" t="str">
        <f t="shared" si="7"/>
        <v/>
      </c>
      <c r="AR131" s="89">
        <f>IFERROR(VLOOKUP(A131,Climatologia!A:U,9+$E$2,FALSE),"")</f>
        <v>14.78700374480772</v>
      </c>
      <c r="AS131" s="89" t="str">
        <f t="shared" si="8"/>
        <v/>
      </c>
      <c r="AT131" s="90">
        <f t="shared" si="9"/>
        <v>15.2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4.1999999999999993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>
        <v>4.8</v>
      </c>
      <c r="AL132" s="51"/>
      <c r="AM132" s="51">
        <v>3.2</v>
      </c>
      <c r="AN132" s="51">
        <v>2.8</v>
      </c>
      <c r="AO132" s="51">
        <v>5.2</v>
      </c>
      <c r="AP132" s="88">
        <f t="shared" si="6"/>
        <v>7</v>
      </c>
      <c r="AQ132" s="89" t="str">
        <f t="shared" si="7"/>
        <v/>
      </c>
      <c r="AR132" s="89">
        <f>IFERROR(VLOOKUP(A132,Climatologia!A:U,9+$E$2,FALSE),"")</f>
        <v>5.8955999815287932</v>
      </c>
      <c r="AS132" s="89" t="str">
        <f t="shared" si="8"/>
        <v/>
      </c>
      <c r="AT132" s="90">
        <f t="shared" si="9"/>
        <v>2.8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1.5999999999999999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>
        <v>14</v>
      </c>
      <c r="AL134" s="51">
        <v>14</v>
      </c>
      <c r="AM134" s="51">
        <v>13.8</v>
      </c>
      <c r="AN134" s="51">
        <v>16</v>
      </c>
      <c r="AO134" s="51">
        <v>16.399999999999999</v>
      </c>
      <c r="AP134" s="88">
        <f t="shared" si="11"/>
        <v>8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13.8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5.8000000000000007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>
        <v>10.199999999999999</v>
      </c>
      <c r="AL135" s="51">
        <v>10</v>
      </c>
      <c r="AM135" s="51">
        <v>10.1</v>
      </c>
      <c r="AN135" s="51">
        <v>12.1</v>
      </c>
      <c r="AO135" s="51">
        <v>12</v>
      </c>
      <c r="AP135" s="88">
        <f t="shared" si="11"/>
        <v>8</v>
      </c>
      <c r="AQ135" s="89" t="str">
        <f t="shared" si="12"/>
        <v/>
      </c>
      <c r="AR135" s="89">
        <f>IFERROR(VLOOKUP(A135,Climatologia!A:U,9+$E$2,FALSE),"")</f>
        <v>9.1065439288804146</v>
      </c>
      <c r="AS135" s="89" t="str">
        <f t="shared" si="13"/>
        <v/>
      </c>
      <c r="AT135" s="90">
        <f t="shared" si="14"/>
        <v>10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5.0999999999999996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>
        <v>12.6</v>
      </c>
      <c r="AL136" s="51">
        <v>13.4</v>
      </c>
      <c r="AM136" s="51">
        <v>10.4</v>
      </c>
      <c r="AN136" s="51">
        <v>13.6</v>
      </c>
      <c r="AO136" s="51">
        <v>14.8</v>
      </c>
      <c r="AP136" s="88">
        <f t="shared" si="11"/>
        <v>8</v>
      </c>
      <c r="AQ136" s="89" t="str">
        <f t="shared" si="12"/>
        <v/>
      </c>
      <c r="AR136" s="89">
        <f>IFERROR(VLOOKUP(A136,Climatologia!A:U,9+$E$2,FALSE),"")</f>
        <v>12.59594623655914</v>
      </c>
      <c r="AS136" s="89" t="str">
        <f t="shared" si="13"/>
        <v/>
      </c>
      <c r="AT136" s="90">
        <f t="shared" si="14"/>
        <v>10.4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2.6000000000000005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>
        <v>8.1999999999999993</v>
      </c>
      <c r="AL137" s="51">
        <v>10.4</v>
      </c>
      <c r="AM137" s="51">
        <v>5.4</v>
      </c>
      <c r="AN137" s="51">
        <v>11.4</v>
      </c>
      <c r="AO137" s="51">
        <v>11.2</v>
      </c>
      <c r="AP137" s="88">
        <f t="shared" si="11"/>
        <v>8</v>
      </c>
      <c r="AQ137" s="89" t="str">
        <f t="shared" si="12"/>
        <v/>
      </c>
      <c r="AR137" s="89">
        <f>IFERROR(VLOOKUP(A137,Climatologia!A:U,9+$E$2,FALSE),"")</f>
        <v>8.5766227213911144</v>
      </c>
      <c r="AS137" s="89" t="str">
        <f t="shared" si="13"/>
        <v/>
      </c>
      <c r="AT137" s="90">
        <f t="shared" si="14"/>
        <v>5.4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3.0000000000000004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>
        <v>7.4</v>
      </c>
      <c r="AL138" s="51">
        <v>7.2</v>
      </c>
      <c r="AM138" s="51">
        <v>5</v>
      </c>
      <c r="AN138" s="51">
        <v>7.2</v>
      </c>
      <c r="AO138" s="51">
        <v>9</v>
      </c>
      <c r="AP138" s="88">
        <f t="shared" si="11"/>
        <v>8</v>
      </c>
      <c r="AQ138" s="89" t="str">
        <f t="shared" si="12"/>
        <v/>
      </c>
      <c r="AR138" s="89">
        <f>IFERROR(VLOOKUP(A138,Climatologia!A:U,9+$E$2,FALSE),"")</f>
        <v>6.6337893956247704</v>
      </c>
      <c r="AS138" s="89" t="str">
        <f t="shared" si="13"/>
        <v/>
      </c>
      <c r="AT138" s="90">
        <f t="shared" si="14"/>
        <v>5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>
        <v>24.6</v>
      </c>
      <c r="AL139" s="51">
        <v>24.4</v>
      </c>
      <c r="AM139" s="51">
        <v>24.2</v>
      </c>
      <c r="AN139" s="51">
        <v>25.2</v>
      </c>
      <c r="AO139" s="51">
        <v>25.2</v>
      </c>
      <c r="AP139" s="88">
        <f t="shared" si="11"/>
        <v>8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24.2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>
        <v>11</v>
      </c>
      <c r="AL140" s="51">
        <v>8</v>
      </c>
      <c r="AM140" s="51">
        <v>10.8</v>
      </c>
      <c r="AN140" s="51"/>
      <c r="AO140" s="51">
        <v>11.6</v>
      </c>
      <c r="AP140" s="88">
        <f t="shared" si="11"/>
        <v>7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8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>
        <v>15</v>
      </c>
      <c r="AL141" s="51">
        <v>14</v>
      </c>
      <c r="AM141" s="51">
        <v>14</v>
      </c>
      <c r="AN141" s="51">
        <v>15.2</v>
      </c>
      <c r="AO141" s="51">
        <v>15.6</v>
      </c>
      <c r="AP141" s="88">
        <f t="shared" si="11"/>
        <v>8</v>
      </c>
      <c r="AQ141" s="89" t="str">
        <f t="shared" si="12"/>
        <v/>
      </c>
      <c r="AR141" s="89">
        <f>IFERROR(VLOOKUP(A141,Climatologia!A:U,9+$E$2,FALSE),"")</f>
        <v>14.39065028161802</v>
      </c>
      <c r="AS141" s="89" t="str">
        <f t="shared" si="13"/>
        <v/>
      </c>
      <c r="AT141" s="90">
        <f t="shared" si="14"/>
        <v>14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1.8000000000000007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/>
      <c r="L142" s="51"/>
      <c r="M142" s="51">
        <v>26.4</v>
      </c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>
        <v>23.8</v>
      </c>
      <c r="AL142" s="51">
        <v>21.2</v>
      </c>
      <c r="AM142" s="51">
        <v>23.2</v>
      </c>
      <c r="AN142" s="51">
        <v>23</v>
      </c>
      <c r="AO142" s="51">
        <v>26.2</v>
      </c>
      <c r="AP142" s="88">
        <f t="shared" si="11"/>
        <v>6</v>
      </c>
      <c r="AQ142" s="89" t="str">
        <f t="shared" si="12"/>
        <v/>
      </c>
      <c r="AR142" s="89">
        <f>IFERROR(VLOOKUP(A142,Climatologia!A:U,9+$E$2,FALSE),"")</f>
        <v>22.55356989247311</v>
      </c>
      <c r="AS142" s="89" t="str">
        <f t="shared" si="13"/>
        <v/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>
        <v>19.2</v>
      </c>
      <c r="AL143" s="51">
        <v>19</v>
      </c>
      <c r="AM143" s="51">
        <v>20.6</v>
      </c>
      <c r="AN143" s="51">
        <v>20.399999999999999</v>
      </c>
      <c r="AO143" s="51">
        <v>20.399999999999999</v>
      </c>
      <c r="AP143" s="88">
        <f t="shared" si="11"/>
        <v>8</v>
      </c>
      <c r="AQ143" s="89" t="str">
        <f t="shared" si="12"/>
        <v/>
      </c>
      <c r="AR143" s="89">
        <f>IFERROR(VLOOKUP(A143,Climatologia!A:U,9+$E$2,FALSE),"")</f>
        <v>19.318198924731181</v>
      </c>
      <c r="AS143" s="89" t="str">
        <f t="shared" si="13"/>
        <v/>
      </c>
      <c r="AT143" s="90">
        <f t="shared" si="14"/>
        <v>19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3.8000000000000007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>
        <v>24.2</v>
      </c>
      <c r="AL144" s="51">
        <v>22.4</v>
      </c>
      <c r="AM144" s="51">
        <v>24.2</v>
      </c>
      <c r="AN144" s="51">
        <v>25.4</v>
      </c>
      <c r="AO144" s="51">
        <v>24.6</v>
      </c>
      <c r="AP144" s="88">
        <f t="shared" si="11"/>
        <v>8</v>
      </c>
      <c r="AQ144" s="89" t="str">
        <f t="shared" si="12"/>
        <v/>
      </c>
      <c r="AR144" s="89">
        <f>IFERROR(VLOOKUP(A144,Climatologia!A:U,9+$E$2,FALSE),"")</f>
        <v>23.19416875486397</v>
      </c>
      <c r="AS144" s="89" t="str">
        <f t="shared" si="13"/>
        <v/>
      </c>
      <c r="AT144" s="90">
        <f t="shared" si="14"/>
        <v>22.4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5.1999999999999993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>
        <v>18.2</v>
      </c>
      <c r="AL145" s="51">
        <v>17.2</v>
      </c>
      <c r="AM145" s="51">
        <v>18.2</v>
      </c>
      <c r="AN145" s="51">
        <v>16.399999999999999</v>
      </c>
      <c r="AO145" s="51">
        <v>17.2</v>
      </c>
      <c r="AP145" s="88">
        <f t="shared" si="11"/>
        <v>8</v>
      </c>
      <c r="AQ145" s="89" t="str">
        <f t="shared" si="12"/>
        <v/>
      </c>
      <c r="AR145" s="89">
        <f>IFERROR(VLOOKUP(A145,Climatologia!A:U,9+$E$2,FALSE),"")</f>
        <v>15.79466943151284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/>
      <c r="M146" s="51">
        <v>11.6</v>
      </c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>
        <v>11.8</v>
      </c>
      <c r="AL146" s="51">
        <v>13.2</v>
      </c>
      <c r="AM146" s="51">
        <v>12.6</v>
      </c>
      <c r="AN146" s="51">
        <v>13</v>
      </c>
      <c r="AO146" s="51">
        <v>13.2</v>
      </c>
      <c r="AP146" s="88">
        <f t="shared" si="11"/>
        <v>7</v>
      </c>
      <c r="AQ146" s="89" t="str">
        <f t="shared" si="12"/>
        <v/>
      </c>
      <c r="AR146" s="89">
        <f>IFERROR(VLOOKUP(A146,Climatologia!A:U,9+$E$2,FALSE),"")</f>
        <v>13.67439615180003</v>
      </c>
      <c r="AS146" s="89" t="str">
        <f t="shared" si="13"/>
        <v/>
      </c>
      <c r="AT146" s="90">
        <f t="shared" si="14"/>
        <v>11.6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3.1999999999999993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>
        <v>16.2</v>
      </c>
      <c r="AL147" s="51">
        <v>14.6</v>
      </c>
      <c r="AM147" s="51">
        <v>15.2</v>
      </c>
      <c r="AN147" s="51">
        <v>16.399999999999999</v>
      </c>
      <c r="AO147" s="51"/>
      <c r="AP147" s="88">
        <f t="shared" si="11"/>
        <v>7</v>
      </c>
      <c r="AQ147" s="89" t="str">
        <f t="shared" si="12"/>
        <v/>
      </c>
      <c r="AR147" s="89">
        <f>IFERROR(VLOOKUP(A147,Climatologia!A:U,9+$E$2,FALSE),"")</f>
        <v>14.54256377143717</v>
      </c>
      <c r="AS147" s="89" t="str">
        <f t="shared" si="13"/>
        <v/>
      </c>
      <c r="AT147" s="90">
        <f t="shared" si="14"/>
        <v>14.6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4.1999999999999993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/>
      <c r="M150" s="51">
        <v>25</v>
      </c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>
        <v>23.2</v>
      </c>
      <c r="AL150" s="51">
        <v>24.8</v>
      </c>
      <c r="AM150" s="51">
        <v>24.6</v>
      </c>
      <c r="AN150" s="51">
        <v>24.8</v>
      </c>
      <c r="AO150" s="51">
        <v>24.8</v>
      </c>
      <c r="AP150" s="88">
        <f t="shared" si="11"/>
        <v>7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23.2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4.1999999999999993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>
        <v>24.8</v>
      </c>
      <c r="AL151" s="51">
        <v>24.8</v>
      </c>
      <c r="AM151" s="51">
        <v>24.4</v>
      </c>
      <c r="AN151" s="51">
        <v>25.2</v>
      </c>
      <c r="AO151" s="51">
        <v>24</v>
      </c>
      <c r="AP151" s="88">
        <f t="shared" si="11"/>
        <v>8</v>
      </c>
      <c r="AQ151" s="89" t="str">
        <f t="shared" si="12"/>
        <v/>
      </c>
      <c r="AR151" s="89">
        <f>IFERROR(VLOOKUP(A151,Climatologia!A:U,9+$E$2,FALSE),"")</f>
        <v>23.435096179938832</v>
      </c>
      <c r="AS151" s="89" t="str">
        <f t="shared" si="13"/>
        <v/>
      </c>
      <c r="AT151" s="90">
        <f t="shared" si="14"/>
        <v>24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7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>
        <v>14.6</v>
      </c>
      <c r="AL152" s="51">
        <v>13.4</v>
      </c>
      <c r="AM152" s="51">
        <v>14.2</v>
      </c>
      <c r="AN152" s="51">
        <v>16.399999999999999</v>
      </c>
      <c r="AO152" s="51">
        <v>16</v>
      </c>
      <c r="AP152" s="88">
        <f t="shared" si="11"/>
        <v>8</v>
      </c>
      <c r="AQ152" s="89" t="str">
        <f t="shared" si="12"/>
        <v/>
      </c>
      <c r="AR152" s="89">
        <f>IFERROR(VLOOKUP(A152,Climatologia!A:U,9+$E$2,FALSE),"")</f>
        <v>14.28172753446659</v>
      </c>
      <c r="AS152" s="89" t="str">
        <f t="shared" si="13"/>
        <v/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>
        <v>21</v>
      </c>
      <c r="AL153" s="51">
        <v>19.399999999999999</v>
      </c>
      <c r="AM153" s="51">
        <v>19.399999999999999</v>
      </c>
      <c r="AN153" s="51">
        <v>20.399999999999999</v>
      </c>
      <c r="AO153" s="51">
        <v>20.8</v>
      </c>
      <c r="AP153" s="88">
        <f t="shared" si="11"/>
        <v>8</v>
      </c>
      <c r="AQ153" s="89" t="str">
        <f t="shared" si="12"/>
        <v/>
      </c>
      <c r="AR153" s="89">
        <f>IFERROR(VLOOKUP(A153,Climatologia!A:U,9+$E$2,FALSE),"")</f>
        <v>19.33438505823419</v>
      </c>
      <c r="AS153" s="89" t="str">
        <f t="shared" si="13"/>
        <v/>
      </c>
      <c r="AT153" s="90">
        <f t="shared" si="14"/>
        <v>19.399999999999999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2.8999999999999986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>
        <v>16.600000000000001</v>
      </c>
      <c r="AL154" s="51">
        <v>16</v>
      </c>
      <c r="AM154" s="51">
        <v>17</v>
      </c>
      <c r="AN154" s="51">
        <v>16</v>
      </c>
      <c r="AO154" s="51">
        <v>16.2</v>
      </c>
      <c r="AP154" s="88">
        <f t="shared" si="11"/>
        <v>8</v>
      </c>
      <c r="AQ154" s="89" t="str">
        <f t="shared" si="12"/>
        <v/>
      </c>
      <c r="AR154" s="89">
        <f>IFERROR(VLOOKUP(A154,Climatologia!A:U,9+$E$2,FALSE),"")</f>
        <v>15.34016874367072</v>
      </c>
      <c r="AS154" s="89" t="str">
        <f t="shared" si="13"/>
        <v/>
      </c>
      <c r="AT154" s="90">
        <f t="shared" si="14"/>
        <v>15.8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4.8000000000000007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>
        <v>18.8</v>
      </c>
      <c r="AL155" s="51">
        <v>19.2</v>
      </c>
      <c r="AM155" s="51">
        <v>18.600000000000001</v>
      </c>
      <c r="AN155" s="51">
        <v>19</v>
      </c>
      <c r="AO155" s="51">
        <v>19.399999999999999</v>
      </c>
      <c r="AP155" s="88">
        <f t="shared" si="11"/>
        <v>7</v>
      </c>
      <c r="AQ155" s="89" t="str">
        <f t="shared" si="12"/>
        <v/>
      </c>
      <c r="AR155" s="89">
        <f>IFERROR(VLOOKUP(A155,Climatologia!A:U,9+$E$2,FALSE),"")</f>
        <v>17.753898511573709</v>
      </c>
      <c r="AS155" s="89" t="str">
        <f t="shared" si="13"/>
        <v/>
      </c>
      <c r="AT155" s="90">
        <f t="shared" si="14"/>
        <v>18.600000000000001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5.6000000000000014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>
        <v>9.8000000000000007</v>
      </c>
      <c r="AL157" s="51">
        <v>8.6</v>
      </c>
      <c r="AM157" s="51">
        <v>10.8</v>
      </c>
      <c r="AN157" s="51">
        <v>11.8</v>
      </c>
      <c r="AO157" s="51"/>
      <c r="AP157" s="88">
        <f t="shared" si="11"/>
        <v>7</v>
      </c>
      <c r="AQ157" s="89" t="str">
        <f t="shared" si="12"/>
        <v/>
      </c>
      <c r="AR157" s="89">
        <f>IFERROR(VLOOKUP(A157,Climatologia!A:U,9+$E$2,FALSE),"")</f>
        <v>9.0629738863287237</v>
      </c>
      <c r="AS157" s="89" t="str">
        <f t="shared" si="13"/>
        <v/>
      </c>
      <c r="AT157" s="90">
        <f t="shared" si="14"/>
        <v>8.6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2.5999999999999996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>
        <v>13.6</v>
      </c>
      <c r="AL158" s="51">
        <v>13.4</v>
      </c>
      <c r="AM158" s="51">
        <v>14</v>
      </c>
      <c r="AN158" s="51">
        <v>14</v>
      </c>
      <c r="AO158" s="51">
        <v>14.8</v>
      </c>
      <c r="AP158" s="88">
        <f t="shared" si="11"/>
        <v>8</v>
      </c>
      <c r="AQ158" s="89" t="str">
        <f t="shared" si="12"/>
        <v/>
      </c>
      <c r="AR158" s="89">
        <f>IFERROR(VLOOKUP(A158,Climatologia!A:U,9+$E$2,FALSE),"")</f>
        <v>13.99486833930705</v>
      </c>
      <c r="AS158" s="89" t="str">
        <f t="shared" si="13"/>
        <v/>
      </c>
      <c r="AT158" s="90">
        <f t="shared" si="14"/>
        <v>13.4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2.8000000000000007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>
        <v>21.2</v>
      </c>
      <c r="AL159" s="51">
        <v>20.399999999999999</v>
      </c>
      <c r="AM159" s="51">
        <v>20.8</v>
      </c>
      <c r="AN159" s="51">
        <v>21.4</v>
      </c>
      <c r="AO159" s="51">
        <v>21</v>
      </c>
      <c r="AP159" s="88">
        <f t="shared" si="11"/>
        <v>8</v>
      </c>
      <c r="AQ159" s="89" t="str">
        <f t="shared" si="12"/>
        <v/>
      </c>
      <c r="AR159" s="89">
        <f>IFERROR(VLOOKUP(A159,Climatologia!A:U,9+$E$2,FALSE),"")</f>
        <v>19.80259102706712</v>
      </c>
      <c r="AS159" s="89" t="str">
        <f t="shared" si="13"/>
        <v/>
      </c>
      <c r="AT159" s="90">
        <f t="shared" si="14"/>
        <v>20.399999999999999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3.3999999999999986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>
        <v>6.2</v>
      </c>
      <c r="AL160" s="51">
        <v>3.8</v>
      </c>
      <c r="AM160" s="51">
        <v>5.8</v>
      </c>
      <c r="AN160" s="51">
        <v>6.8</v>
      </c>
      <c r="AO160" s="51">
        <v>6.8</v>
      </c>
      <c r="AP160" s="88">
        <f t="shared" si="11"/>
        <v>8</v>
      </c>
      <c r="AQ160" s="89" t="str">
        <f t="shared" si="12"/>
        <v/>
      </c>
      <c r="AR160" s="89">
        <f>IFERROR(VLOOKUP(A160,Climatologia!A:U,9+$E$2,FALSE),"")</f>
        <v>5.545852566091324</v>
      </c>
      <c r="AS160" s="89" t="str">
        <f t="shared" si="13"/>
        <v/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>
        <v>20.6</v>
      </c>
      <c r="AL161" s="51">
        <v>20</v>
      </c>
      <c r="AM161" s="51">
        <v>21.4</v>
      </c>
      <c r="AN161" s="51">
        <v>22.2</v>
      </c>
      <c r="AO161" s="51">
        <v>21</v>
      </c>
      <c r="AP161" s="88">
        <f t="shared" si="11"/>
        <v>8</v>
      </c>
      <c r="AQ161" s="89" t="str">
        <f t="shared" si="12"/>
        <v/>
      </c>
      <c r="AR161" s="89">
        <f>IFERROR(VLOOKUP(A161,Climatologia!A:U,9+$E$2,FALSE),"")</f>
        <v>20.699024154274429</v>
      </c>
      <c r="AS161" s="89" t="str">
        <f t="shared" si="13"/>
        <v/>
      </c>
      <c r="AT161" s="90">
        <f t="shared" si="14"/>
        <v>20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3.8000000000000007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>
        <v>15</v>
      </c>
      <c r="AL162" s="51">
        <v>15</v>
      </c>
      <c r="AM162" s="51">
        <v>15</v>
      </c>
      <c r="AN162" s="51">
        <v>15</v>
      </c>
      <c r="AO162" s="51">
        <v>15</v>
      </c>
      <c r="AP162" s="88">
        <f t="shared" si="11"/>
        <v>8</v>
      </c>
      <c r="AQ162" s="89" t="str">
        <f t="shared" si="12"/>
        <v/>
      </c>
      <c r="AR162" s="89">
        <f>IFERROR(VLOOKUP(A162,Climatologia!A:U,9+$E$2,FALSE),"")</f>
        <v>13.81981919292388</v>
      </c>
      <c r="AS162" s="89" t="str">
        <f t="shared" si="13"/>
        <v/>
      </c>
      <c r="AT162" s="90">
        <f t="shared" si="14"/>
        <v>15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>
        <v>17.600000000000001</v>
      </c>
      <c r="AL163" s="51">
        <v>19</v>
      </c>
      <c r="AM163" s="51">
        <v>18.600000000000001</v>
      </c>
      <c r="AN163" s="51">
        <v>19.600000000000001</v>
      </c>
      <c r="AO163" s="51">
        <v>19</v>
      </c>
      <c r="AP163" s="88">
        <f t="shared" si="11"/>
        <v>8</v>
      </c>
      <c r="AQ163" s="89" t="str">
        <f t="shared" si="12"/>
        <v/>
      </c>
      <c r="AR163" s="89">
        <f>IFERROR(VLOOKUP(A163,Climatologia!A:U,9+$E$2,FALSE),"")</f>
        <v>17.92353706847765</v>
      </c>
      <c r="AS163" s="89" t="str">
        <f t="shared" si="13"/>
        <v/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13.4</v>
      </c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>
        <v>18.399999999999999</v>
      </c>
      <c r="AL164" s="51">
        <v>20.8</v>
      </c>
      <c r="AM164" s="51">
        <v>18.8</v>
      </c>
      <c r="AN164" s="51">
        <v>22.4</v>
      </c>
      <c r="AO164" s="51">
        <v>20.8</v>
      </c>
      <c r="AP164" s="88">
        <f t="shared" si="11"/>
        <v>8</v>
      </c>
      <c r="AQ164" s="89" t="str">
        <f t="shared" si="12"/>
        <v/>
      </c>
      <c r="AR164" s="89">
        <f>IFERROR(VLOOKUP(A164,Climatologia!A:U,9+$E$2,FALSE),"")</f>
        <v>19.04428975316489</v>
      </c>
      <c r="AS164" s="89" t="str">
        <f t="shared" si="13"/>
        <v/>
      </c>
      <c r="AT164" s="90">
        <f t="shared" si="14"/>
        <v>13.4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-1.5999999999999996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>
        <v>10.6</v>
      </c>
      <c r="AL165" s="51">
        <v>11</v>
      </c>
      <c r="AM165" s="51">
        <v>9.8000000000000007</v>
      </c>
      <c r="AN165" s="51">
        <v>10</v>
      </c>
      <c r="AO165" s="51">
        <v>11.6</v>
      </c>
      <c r="AP165" s="88">
        <f t="shared" si="11"/>
        <v>8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9.8000000000000007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8.2000000000000011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3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>
        <v>18.399999999999999</v>
      </c>
      <c r="AL169" s="51">
        <v>18.600000000000001</v>
      </c>
      <c r="AM169" s="51">
        <v>19.399999999999999</v>
      </c>
      <c r="AN169" s="51">
        <v>19.600000000000001</v>
      </c>
      <c r="AO169" s="51">
        <v>20.399999999999999</v>
      </c>
      <c r="AP169" s="88">
        <f t="shared" si="11"/>
        <v>8</v>
      </c>
      <c r="AQ169" s="89" t="str">
        <f t="shared" si="12"/>
        <v/>
      </c>
      <c r="AR169" s="89">
        <f>IFERROR(VLOOKUP(A169,Climatologia!A:U,9+$E$2,FALSE),"")</f>
        <v>18.98804930581305</v>
      </c>
      <c r="AS169" s="89" t="str">
        <f t="shared" si="13"/>
        <v/>
      </c>
      <c r="AT169" s="90">
        <f t="shared" si="14"/>
        <v>18.399999999999999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3.3999999999999986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>
        <v>14</v>
      </c>
      <c r="AL170" s="51">
        <v>14.6</v>
      </c>
      <c r="AM170" s="51">
        <v>14.2</v>
      </c>
      <c r="AN170" s="51">
        <v>14.8</v>
      </c>
      <c r="AO170" s="51">
        <v>14</v>
      </c>
      <c r="AP170" s="88">
        <f t="shared" si="11"/>
        <v>8</v>
      </c>
      <c r="AQ170" s="89" t="str">
        <f t="shared" si="12"/>
        <v/>
      </c>
      <c r="AR170" s="89">
        <f>IFERROR(VLOOKUP(A170,Climatologia!A:U,9+$E$2,FALSE),"")</f>
        <v>13.515835523098669</v>
      </c>
      <c r="AS170" s="89" t="str">
        <f t="shared" si="13"/>
        <v/>
      </c>
      <c r="AT170" s="90">
        <f t="shared" si="14"/>
        <v>13.8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4.8000000000000007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>
        <v>22.4</v>
      </c>
      <c r="AL172" s="51">
        <v>23.2</v>
      </c>
      <c r="AM172" s="51">
        <v>23.8</v>
      </c>
      <c r="AN172" s="51">
        <v>25.2</v>
      </c>
      <c r="AO172" s="51"/>
      <c r="AP172" s="88">
        <f t="shared" si="11"/>
        <v>7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22.4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4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>
        <v>19</v>
      </c>
      <c r="AL175" s="51">
        <v>22</v>
      </c>
      <c r="AM175" s="51">
        <v>21.6</v>
      </c>
      <c r="AN175" s="51">
        <v>21.8</v>
      </c>
      <c r="AO175" s="51">
        <v>23</v>
      </c>
      <c r="AP175" s="88">
        <f t="shared" si="11"/>
        <v>8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>
        <v>22.8</v>
      </c>
      <c r="AL176" s="51">
        <v>25.2</v>
      </c>
      <c r="AM176" s="51">
        <v>24.8</v>
      </c>
      <c r="AN176" s="51">
        <v>22.6</v>
      </c>
      <c r="AO176" s="51">
        <v>22.6</v>
      </c>
      <c r="AP176" s="88">
        <f t="shared" si="11"/>
        <v>8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>
        <v>12.4</v>
      </c>
      <c r="AL179" s="51">
        <v>13</v>
      </c>
      <c r="AM179" s="51">
        <v>13.8</v>
      </c>
      <c r="AN179" s="51">
        <v>14.4</v>
      </c>
      <c r="AO179" s="51">
        <v>13.2</v>
      </c>
      <c r="AP179" s="88">
        <f t="shared" si="11"/>
        <v>8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12.4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>
        <v>24.8</v>
      </c>
      <c r="AL180" s="51">
        <v>25</v>
      </c>
      <c r="AM180" s="51">
        <v>25.4</v>
      </c>
      <c r="AN180" s="51"/>
      <c r="AO180" s="51"/>
      <c r="AP180" s="88">
        <f t="shared" si="11"/>
        <v>6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>
        <v>23.2</v>
      </c>
      <c r="AL181" s="51">
        <v>23</v>
      </c>
      <c r="AM181" s="51">
        <v>24.2</v>
      </c>
      <c r="AN181" s="51">
        <v>22.6</v>
      </c>
      <c r="AO181" s="51">
        <v>23.6</v>
      </c>
      <c r="AP181" s="88">
        <f t="shared" si="11"/>
        <v>8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>
        <v>11.8</v>
      </c>
      <c r="AL182" s="51">
        <v>12.4</v>
      </c>
      <c r="AM182" s="51">
        <v>13.6</v>
      </c>
      <c r="AN182" s="51">
        <v>14.2</v>
      </c>
      <c r="AO182" s="51">
        <v>13.2</v>
      </c>
      <c r="AP182" s="88">
        <f t="shared" si="11"/>
        <v>8</v>
      </c>
      <c r="AQ182" s="89" t="str">
        <f t="shared" si="12"/>
        <v/>
      </c>
      <c r="AR182" s="89">
        <f>IFERROR(VLOOKUP(A182,Climatologia!A:U,9+$E$2,FALSE),"")</f>
        <v>14.173503840245781</v>
      </c>
      <c r="AS182" s="89" t="str">
        <f t="shared" si="13"/>
        <v/>
      </c>
      <c r="AT182" s="90">
        <f t="shared" si="14"/>
        <v>11.8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0.80000000000000071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>
        <v>18.600000000000001</v>
      </c>
      <c r="AL183" s="51">
        <v>18.2</v>
      </c>
      <c r="AM183" s="51">
        <v>19.399999999999999</v>
      </c>
      <c r="AN183" s="51">
        <v>19.2</v>
      </c>
      <c r="AO183" s="51">
        <v>19</v>
      </c>
      <c r="AP183" s="88">
        <f t="shared" si="11"/>
        <v>8</v>
      </c>
      <c r="AQ183" s="89" t="str">
        <f t="shared" si="12"/>
        <v/>
      </c>
      <c r="AR183" s="89">
        <f>IFERROR(VLOOKUP(A183,Climatologia!A:U,9+$E$2,FALSE),"")</f>
        <v>20.070986681091949</v>
      </c>
      <c r="AS183" s="89" t="str">
        <f t="shared" si="13"/>
        <v/>
      </c>
      <c r="AT183" s="90">
        <f t="shared" si="14"/>
        <v>18.2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1.3999999999999986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>
        <v>20.8</v>
      </c>
      <c r="AL184" s="51">
        <v>21.6</v>
      </c>
      <c r="AM184" s="51">
        <v>21.4</v>
      </c>
      <c r="AN184" s="51">
        <v>21.8</v>
      </c>
      <c r="AO184" s="51">
        <v>21.2</v>
      </c>
      <c r="AP184" s="88">
        <f t="shared" si="11"/>
        <v>8</v>
      </c>
      <c r="AQ184" s="89" t="str">
        <f t="shared" si="12"/>
        <v/>
      </c>
      <c r="AR184" s="89">
        <f>IFERROR(VLOOKUP(A184,Climatologia!A:U,9+$E$2,FALSE),"")</f>
        <v>20.076368634370251</v>
      </c>
      <c r="AS184" s="89" t="str">
        <f t="shared" si="13"/>
        <v/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>
        <v>15.4</v>
      </c>
      <c r="AL185" s="51">
        <v>15.4</v>
      </c>
      <c r="AM185" s="51">
        <v>16.399999999999999</v>
      </c>
      <c r="AN185" s="51">
        <v>17.600000000000001</v>
      </c>
      <c r="AO185" s="51">
        <v>16.600000000000001</v>
      </c>
      <c r="AP185" s="88">
        <f t="shared" si="11"/>
        <v>8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>
        <v>21.6</v>
      </c>
      <c r="AL186" s="51">
        <v>21</v>
      </c>
      <c r="AM186" s="51">
        <v>21.6</v>
      </c>
      <c r="AN186" s="51">
        <v>23.6</v>
      </c>
      <c r="AO186" s="51">
        <v>25.2</v>
      </c>
      <c r="AP186" s="88">
        <f t="shared" si="11"/>
        <v>8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21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5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>
        <v>17.600000000000001</v>
      </c>
      <c r="AL187" s="51">
        <v>17.8</v>
      </c>
      <c r="AM187" s="51">
        <v>18.8</v>
      </c>
      <c r="AN187" s="51">
        <v>18</v>
      </c>
      <c r="AO187" s="51">
        <v>18</v>
      </c>
      <c r="AP187" s="88">
        <f t="shared" si="11"/>
        <v>8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3.1999999999999993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>
        <v>21.4</v>
      </c>
      <c r="AL188" s="51">
        <v>21.8</v>
      </c>
      <c r="AM188" s="51">
        <v>22.8</v>
      </c>
      <c r="AN188" s="51">
        <v>23.2</v>
      </c>
      <c r="AO188" s="51">
        <v>21.4</v>
      </c>
      <c r="AP188" s="88">
        <f t="shared" si="11"/>
        <v>8</v>
      </c>
      <c r="AQ188" s="89" t="str">
        <f t="shared" si="12"/>
        <v/>
      </c>
      <c r="AR188" s="89">
        <f>IFERROR(VLOOKUP(A188,Climatologia!A:U,9+$E$2,FALSE),"")</f>
        <v>20.28174546114397</v>
      </c>
      <c r="AS188" s="89" t="str">
        <f t="shared" si="13"/>
        <v/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>
        <v>17.2</v>
      </c>
      <c r="AL189" s="51">
        <v>18.399999999999999</v>
      </c>
      <c r="AM189" s="51">
        <v>19.2</v>
      </c>
      <c r="AN189" s="51">
        <v>19.399999999999999</v>
      </c>
      <c r="AO189" s="51">
        <v>17.2</v>
      </c>
      <c r="AP189" s="88">
        <f t="shared" si="11"/>
        <v>8</v>
      </c>
      <c r="AQ189" s="89" t="str">
        <f t="shared" si="12"/>
        <v/>
      </c>
      <c r="AR189" s="89">
        <f>IFERROR(VLOOKUP(A189,Climatologia!A:U,9+$E$2,FALSE),"")</f>
        <v>15.63081985682097</v>
      </c>
      <c r="AS189" s="89" t="str">
        <f t="shared" si="13"/>
        <v/>
      </c>
      <c r="AT189" s="90">
        <f t="shared" si="14"/>
        <v>17.2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5.1999999999999993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>
        <v>11.2</v>
      </c>
      <c r="AL190" s="51">
        <v>12.4</v>
      </c>
      <c r="AM190" s="51">
        <v>13.2</v>
      </c>
      <c r="AN190" s="51">
        <v>14.2</v>
      </c>
      <c r="AO190" s="51">
        <v>13.2</v>
      </c>
      <c r="AP190" s="88">
        <f t="shared" si="11"/>
        <v>8</v>
      </c>
      <c r="AQ190" s="89" t="str">
        <f t="shared" si="12"/>
        <v/>
      </c>
      <c r="AR190" s="89">
        <f>IFERROR(VLOOKUP(A190,Climatologia!A:U,9+$E$2,FALSE),"")</f>
        <v>11.261282597948339</v>
      </c>
      <c r="AS190" s="89" t="str">
        <f t="shared" si="13"/>
        <v/>
      </c>
      <c r="AT190" s="90">
        <f t="shared" si="14"/>
        <v>11.2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>
        <v>8</v>
      </c>
      <c r="AL191" s="51">
        <v>5</v>
      </c>
      <c r="AM191" s="51">
        <v>7</v>
      </c>
      <c r="AN191" s="51">
        <v>10</v>
      </c>
      <c r="AO191" s="51">
        <v>8</v>
      </c>
      <c r="AP191" s="88">
        <f t="shared" si="11"/>
        <v>8</v>
      </c>
      <c r="AQ191" s="89" t="str">
        <f t="shared" si="12"/>
        <v/>
      </c>
      <c r="AR191" s="89">
        <f>IFERROR(VLOOKUP(A191,Climatologia!A:U,9+$E$2,FALSE),"")</f>
        <v>6.994628239761723</v>
      </c>
      <c r="AS191" s="89" t="str">
        <f t="shared" si="13"/>
        <v/>
      </c>
      <c r="AT191" s="90">
        <f t="shared" si="14"/>
        <v>5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6.5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>
        <v>21.6</v>
      </c>
      <c r="AL192" s="51">
        <v>21.6</v>
      </c>
      <c r="AM192" s="51">
        <v>22.6</v>
      </c>
      <c r="AN192" s="51">
        <v>23.6</v>
      </c>
      <c r="AO192" s="51"/>
      <c r="AP192" s="88">
        <f t="shared" si="11"/>
        <v>6</v>
      </c>
      <c r="AQ192" s="89" t="str">
        <f t="shared" si="12"/>
        <v/>
      </c>
      <c r="AR192" s="89">
        <f>IFERROR(VLOOKUP(A192,Climatologia!A:U,9+$E$2,FALSE),"")</f>
        <v>19.908691930571798</v>
      </c>
      <c r="AS192" s="89" t="str">
        <f t="shared" si="13"/>
        <v/>
      </c>
      <c r="AT192" s="90">
        <f t="shared" si="14"/>
        <v>21.6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>
        <v>9</v>
      </c>
      <c r="AL193" s="51">
        <v>4.2</v>
      </c>
      <c r="AM193" s="51">
        <v>5.6</v>
      </c>
      <c r="AN193" s="51"/>
      <c r="AO193" s="51"/>
      <c r="AP193" s="88">
        <f t="shared" si="11"/>
        <v>6</v>
      </c>
      <c r="AQ193" s="89" t="str">
        <f t="shared" si="12"/>
        <v/>
      </c>
      <c r="AR193" s="89">
        <f>IFERROR(VLOOKUP(A193,Climatologia!A:U,9+$E$2,FALSE),"")</f>
        <v>8.0869853706863069</v>
      </c>
      <c r="AS193" s="89" t="str">
        <f t="shared" si="13"/>
        <v/>
      </c>
      <c r="AT193" s="90">
        <f t="shared" si="14"/>
        <v>4.2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2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>
        <v>7</v>
      </c>
      <c r="AL194" s="51">
        <v>6</v>
      </c>
      <c r="AM194" s="51"/>
      <c r="AN194" s="51"/>
      <c r="AO194" s="51"/>
      <c r="AP194" s="88">
        <f t="shared" si="11"/>
        <v>2</v>
      </c>
      <c r="AQ194" s="89" t="str">
        <f t="shared" si="12"/>
        <v/>
      </c>
      <c r="AR194" s="89">
        <f>IFERROR(VLOOKUP(A194,Climatologia!A:U,9+$E$2,FALSE),"")</f>
        <v>7.6640343615186746</v>
      </c>
      <c r="AS194" s="89" t="str">
        <f t="shared" si="13"/>
        <v/>
      </c>
      <c r="AT194" s="90">
        <f t="shared" si="14"/>
        <v>6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3.6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>
        <v>8</v>
      </c>
      <c r="AL196" s="51">
        <v>2.8</v>
      </c>
      <c r="AM196" s="51">
        <v>5.8</v>
      </c>
      <c r="AN196" s="51">
        <v>4.8</v>
      </c>
      <c r="AO196" s="51">
        <v>7.4</v>
      </c>
      <c r="AP196" s="88">
        <f t="shared" si="11"/>
        <v>8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>
        <v>9.8000000000000007</v>
      </c>
      <c r="AL197" s="51">
        <v>3.8</v>
      </c>
      <c r="AM197" s="51">
        <v>6.4</v>
      </c>
      <c r="AN197" s="51">
        <v>10.199999999999999</v>
      </c>
      <c r="AO197" s="51">
        <v>5</v>
      </c>
      <c r="AP197" s="88">
        <f t="shared" ref="AP197:AP208" si="16">COUNTIF(K197:AO197,"&gt;0")</f>
        <v>7</v>
      </c>
      <c r="AQ197" s="89" t="str">
        <f t="shared" ref="AQ197:AQ208" si="17">IF(AP197&gt;14,AVERAGE(K197:AO197),"")</f>
        <v/>
      </c>
      <c r="AR197" s="89">
        <f>IFERROR(VLOOKUP(A197,Climatologia!A:U,9+$E$2,FALSE),"")</f>
        <v>6.382935282589119</v>
      </c>
      <c r="AS197" s="89" t="str">
        <f t="shared" ref="AS197:AS208" si="18">IF(OR(AQ197="",AR197=""),"",IFERROR(AQ197-AR197,""))</f>
        <v/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>
        <v>7.8</v>
      </c>
      <c r="AL198" s="51">
        <v>2.8</v>
      </c>
      <c r="AM198" s="51">
        <v>9.8000000000000007</v>
      </c>
      <c r="AN198" s="51">
        <v>11.2</v>
      </c>
      <c r="AO198" s="51"/>
      <c r="AP198" s="88">
        <f t="shared" si="16"/>
        <v>7</v>
      </c>
      <c r="AQ198" s="89" t="str">
        <f t="shared" si="17"/>
        <v/>
      </c>
      <c r="AR198" s="89">
        <f>IFERROR(VLOOKUP(A198,Climatologia!A:U,9+$E$2,FALSE),"")</f>
        <v>7.491938037728997</v>
      </c>
      <c r="AS198" s="89" t="str">
        <f t="shared" si="18"/>
        <v/>
      </c>
      <c r="AT198" s="90">
        <f t="shared" si="19"/>
        <v>2.8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3.1999999999999997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>
        <v>9</v>
      </c>
      <c r="AL199" s="51">
        <v>6.2</v>
      </c>
      <c r="AM199" s="51">
        <v>10</v>
      </c>
      <c r="AN199" s="51">
        <v>12</v>
      </c>
      <c r="AO199" s="51"/>
      <c r="AP199" s="88">
        <f t="shared" si="16"/>
        <v>7</v>
      </c>
      <c r="AQ199" s="89" t="str">
        <f t="shared" si="17"/>
        <v/>
      </c>
      <c r="AR199" s="89">
        <f>IFERROR(VLOOKUP(A199,Climatologia!A:U,9+$E$2,FALSE),"")</f>
        <v>7.4487940592962838</v>
      </c>
      <c r="AS199" s="89" t="str">
        <f t="shared" si="18"/>
        <v/>
      </c>
      <c r="AT199" s="90">
        <f t="shared" si="19"/>
        <v>6.2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9.1999999999999993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>
        <v>11</v>
      </c>
      <c r="AL200" s="51">
        <v>6</v>
      </c>
      <c r="AM200" s="51">
        <v>8</v>
      </c>
      <c r="AN200" s="51">
        <v>11.6</v>
      </c>
      <c r="AO200" s="51">
        <v>10</v>
      </c>
      <c r="AP200" s="88">
        <f t="shared" si="16"/>
        <v>7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>
        <v>7.4</v>
      </c>
      <c r="AL201" s="51">
        <v>6</v>
      </c>
      <c r="AM201" s="51">
        <v>7.2</v>
      </c>
      <c r="AN201" s="51">
        <v>10.199999999999999</v>
      </c>
      <c r="AO201" s="51">
        <v>6.8</v>
      </c>
      <c r="AP201" s="88">
        <f t="shared" si="16"/>
        <v>6</v>
      </c>
      <c r="AQ201" s="89" t="str">
        <f t="shared" si="17"/>
        <v/>
      </c>
      <c r="AR201" s="89">
        <f>IFERROR(VLOOKUP(A201,Climatologia!A:U,9+$E$2,FALSE),"")</f>
        <v>6.8025057736192744</v>
      </c>
      <c r="AS201" s="89" t="str">
        <f t="shared" si="18"/>
        <v/>
      </c>
      <c r="AT201" s="90">
        <f t="shared" si="19"/>
        <v>6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6.7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>
        <v>5.2</v>
      </c>
      <c r="AL202" s="51">
        <v>6.2</v>
      </c>
      <c r="AM202" s="51">
        <v>6.2</v>
      </c>
      <c r="AN202" s="51">
        <v>10.199999999999999</v>
      </c>
      <c r="AO202" s="51">
        <v>9</v>
      </c>
      <c r="AP202" s="88">
        <f t="shared" si="16"/>
        <v>6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5.2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>
        <v>8.1999999999999993</v>
      </c>
      <c r="AL203" s="51">
        <v>6.4</v>
      </c>
      <c r="AM203" s="51">
        <v>7.2</v>
      </c>
      <c r="AN203" s="51">
        <v>10.6</v>
      </c>
      <c r="AO203" s="51">
        <v>7.8</v>
      </c>
      <c r="AP203" s="88">
        <f t="shared" si="16"/>
        <v>8</v>
      </c>
      <c r="AQ203" s="89" t="str">
        <f t="shared" si="17"/>
        <v/>
      </c>
      <c r="AR203" s="89">
        <f>IFERROR(VLOOKUP(A203,Climatologia!A:U,9+$E$2,FALSE),"")</f>
        <v>7.9932587877038674</v>
      </c>
      <c r="AS203" s="89" t="str">
        <f t="shared" si="18"/>
        <v/>
      </c>
      <c r="AT203" s="90">
        <f t="shared" si="19"/>
        <v>6.2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5.3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>
        <v>4.5999999999999996</v>
      </c>
      <c r="AL204" s="51">
        <v>5.2</v>
      </c>
      <c r="AM204" s="51">
        <v>5</v>
      </c>
      <c r="AN204" s="51">
        <v>5.4</v>
      </c>
      <c r="AO204" s="51">
        <v>5</v>
      </c>
      <c r="AP204" s="88">
        <f t="shared" si="16"/>
        <v>8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4.3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2.2999999999999998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>
        <v>11.8</v>
      </c>
      <c r="AL206" s="51">
        <v>6.4</v>
      </c>
      <c r="AM206" s="51">
        <v>8.8000000000000007</v>
      </c>
      <c r="AN206" s="51"/>
      <c r="AO206" s="51"/>
      <c r="AP206" s="88">
        <f t="shared" si="16"/>
        <v>4</v>
      </c>
      <c r="AQ206" s="89" t="str">
        <f t="shared" si="17"/>
        <v/>
      </c>
      <c r="AR206" s="89">
        <f>IFERROR(VLOOKUP(A206,Climatologia!A:U,9+$E$2,FALSE),"")</f>
        <v>9.3415228944019546</v>
      </c>
      <c r="AS206" s="89" t="str">
        <f t="shared" si="18"/>
        <v/>
      </c>
      <c r="AT206" s="90">
        <f t="shared" si="19"/>
        <v>6.4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5.2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>
        <v>5.4</v>
      </c>
      <c r="AL207" s="51">
        <v>4.5999999999999996</v>
      </c>
      <c r="AM207" s="51">
        <v>6.2</v>
      </c>
      <c r="AN207" s="51">
        <v>7</v>
      </c>
      <c r="AO207" s="51">
        <v>6</v>
      </c>
      <c r="AP207" s="88">
        <f t="shared" si="16"/>
        <v>6</v>
      </c>
      <c r="AQ207" s="89" t="str">
        <f t="shared" si="17"/>
        <v/>
      </c>
      <c r="AR207" s="89">
        <f>IFERROR(VLOOKUP(A207,Climatologia!A:U,9+$E$2,FALSE),"")</f>
        <v>5.0408940752175297</v>
      </c>
      <c r="AS207" s="89" t="str">
        <f t="shared" si="18"/>
        <v/>
      </c>
      <c r="AT207" s="90">
        <f t="shared" si="19"/>
        <v>4.5999999999999996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4.5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>
        <v>22</v>
      </c>
      <c r="AL208" s="51">
        <v>22.6</v>
      </c>
      <c r="AM208" s="51">
        <v>23</v>
      </c>
      <c r="AN208" s="51">
        <v>21</v>
      </c>
      <c r="AO208" s="51">
        <v>21.4</v>
      </c>
      <c r="AP208" s="88">
        <f t="shared" si="16"/>
        <v>8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23" t="s">
        <v>850</v>
      </c>
      <c r="I1" s="124"/>
      <c r="J1" s="125"/>
      <c r="K1" s="123" t="s">
        <v>851</v>
      </c>
      <c r="L1" s="124"/>
      <c r="M1" s="125"/>
      <c r="N1" s="123" t="s">
        <v>852</v>
      </c>
      <c r="O1" s="124"/>
      <c r="P1" s="125"/>
      <c r="Q1" s="123" t="s">
        <v>853</v>
      </c>
      <c r="R1" s="124"/>
      <c r="S1" s="125"/>
      <c r="T1" s="123" t="s">
        <v>854</v>
      </c>
      <c r="U1" s="124"/>
      <c r="V1" s="125"/>
      <c r="W1" s="123" t="s">
        <v>855</v>
      </c>
      <c r="X1" s="124"/>
      <c r="Y1" s="125"/>
      <c r="Z1" s="123" t="s">
        <v>856</v>
      </c>
      <c r="AA1" s="124"/>
      <c r="AB1" s="125"/>
      <c r="AC1" s="123" t="s">
        <v>857</v>
      </c>
      <c r="AD1" s="124"/>
      <c r="AE1" s="125"/>
      <c r="AF1" s="123" t="s">
        <v>858</v>
      </c>
      <c r="AG1" s="124"/>
      <c r="AH1" s="125"/>
      <c r="AI1" s="123" t="s">
        <v>859</v>
      </c>
      <c r="AJ1" s="124"/>
      <c r="AK1" s="125"/>
      <c r="AL1" s="123" t="s">
        <v>860</v>
      </c>
      <c r="AM1" s="124"/>
      <c r="AN1" s="125"/>
      <c r="AO1" s="123" t="s">
        <v>861</v>
      </c>
      <c r="AP1" s="124"/>
      <c r="AQ1" s="125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2026-08-03T15:27:30Z</dcterms:modified>
</cp:coreProperties>
</file>