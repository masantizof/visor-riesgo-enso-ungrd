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4588718A-8D0C-4262-83A3-A722A5C43E39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Temperatura!$N$1:$N$208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7" i="1" l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S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W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S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W191" i="1" s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S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/>
  <c r="AT183" i="1"/>
  <c r="AW183" i="1" s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W181" i="1" s="1"/>
  <c r="AR181" i="1"/>
  <c r="AP181" i="1"/>
  <c r="AQ181" i="1" s="1"/>
  <c r="AV180" i="1" a="1"/>
  <c r="AV180" i="1" s="1"/>
  <c r="AU180" i="1" a="1"/>
  <c r="AU180" i="1" s="1"/>
  <c r="AW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S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/>
  <c r="AT174" i="1"/>
  <c r="AR174" i="1"/>
  <c r="AP174" i="1"/>
  <c r="AQ174" i="1" s="1"/>
  <c r="AS174" i="1" s="1"/>
  <c r="AV173" i="1" a="1"/>
  <c r="AV173" i="1" s="1"/>
  <c r="AU173" i="1" a="1"/>
  <c r="AU173" i="1" s="1"/>
  <c r="AT173" i="1"/>
  <c r="AR173" i="1"/>
  <c r="AP173" i="1"/>
  <c r="AQ173" i="1" s="1"/>
  <c r="AS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S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W166" i="1" s="1"/>
  <c r="AT166" i="1"/>
  <c r="AR166" i="1"/>
  <c r="AP166" i="1"/>
  <c r="AQ166" i="1" s="1"/>
  <c r="AS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S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S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S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S146" i="1" s="1"/>
  <c r="AV145" i="1" a="1"/>
  <c r="AV145" i="1" s="1"/>
  <c r="AU145" i="1" a="1"/>
  <c r="AU145" i="1" s="1"/>
  <c r="AT145" i="1"/>
  <c r="AR145" i="1"/>
  <c r="AP145" i="1"/>
  <c r="AQ145" i="1" s="1"/>
  <c r="AS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S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S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W137" i="1" s="1"/>
  <c r="AT137" i="1"/>
  <c r="AR137" i="1"/>
  <c r="AP137" i="1"/>
  <c r="AQ137" i="1" s="1"/>
  <c r="AS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S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S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S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S121" i="1" s="1"/>
  <c r="AV120" i="1" a="1"/>
  <c r="AV120" i="1" s="1"/>
  <c r="AU120" i="1" a="1"/>
  <c r="AU120" i="1" s="1"/>
  <c r="AT120" i="1"/>
  <c r="AR120" i="1"/>
  <c r="AP120" i="1"/>
  <c r="AQ120" i="1" s="1"/>
  <c r="AS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S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S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S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S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S94" i="1" s="1"/>
  <c r="AV93" i="1" a="1"/>
  <c r="AV93" i="1" s="1"/>
  <c r="AU93" i="1" a="1"/>
  <c r="AU93" i="1" s="1"/>
  <c r="AT93" i="1"/>
  <c r="AR93" i="1"/>
  <c r="AP93" i="1"/>
  <c r="AQ93" i="1" s="1"/>
  <c r="AS93" i="1" s="1"/>
  <c r="AV92" i="1" a="1"/>
  <c r="AV92" i="1" s="1"/>
  <c r="AU92" i="1" a="1"/>
  <c r="AU92" i="1" s="1"/>
  <c r="AT92" i="1"/>
  <c r="AR92" i="1"/>
  <c r="AP92" i="1"/>
  <c r="AQ92" i="1" s="1"/>
  <c r="AS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S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S87" i="1" s="1"/>
  <c r="AV86" i="1" a="1"/>
  <c r="AV86" i="1" s="1"/>
  <c r="AU86" i="1" a="1"/>
  <c r="AU86" i="1" s="1"/>
  <c r="AT86" i="1"/>
  <c r="AR86" i="1"/>
  <c r="AP86" i="1"/>
  <c r="AQ86" i="1" s="1"/>
  <c r="AS86" i="1" s="1"/>
  <c r="AV85" i="1" a="1"/>
  <c r="AV85" i="1"/>
  <c r="AU85" i="1" a="1"/>
  <c r="AU85" i="1" s="1"/>
  <c r="AT85" i="1"/>
  <c r="AR85" i="1"/>
  <c r="AP85" i="1"/>
  <c r="AQ85" i="1" s="1"/>
  <c r="AS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S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S78" i="1" s="1"/>
  <c r="AV77" i="1" a="1"/>
  <c r="AV77" i="1" s="1"/>
  <c r="AU77" i="1" a="1"/>
  <c r="AU77" i="1" s="1"/>
  <c r="AT77" i="1"/>
  <c r="AW77" i="1" s="1"/>
  <c r="AR77" i="1"/>
  <c r="AP77" i="1"/>
  <c r="AQ77" i="1" s="1"/>
  <c r="AS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S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S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S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S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S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/>
  <c r="AT55" i="1"/>
  <c r="AR55" i="1"/>
  <c r="AP55" i="1"/>
  <c r="AQ55" i="1" s="1"/>
  <c r="AS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S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/>
  <c r="AU49" i="1" a="1"/>
  <c r="AU49" i="1" s="1"/>
  <c r="AT49" i="1"/>
  <c r="AR49" i="1"/>
  <c r="AP49" i="1"/>
  <c r="AQ49" i="1" s="1"/>
  <c r="AS49" i="1" s="1"/>
  <c r="AV48" i="1" a="1"/>
  <c r="AV48" i="1" s="1"/>
  <c r="AU48" i="1" a="1"/>
  <c r="AU48" i="1" s="1"/>
  <c r="AT48" i="1"/>
  <c r="AR48" i="1"/>
  <c r="AP48" i="1"/>
  <c r="AQ48" i="1" s="1"/>
  <c r="AS48" i="1" s="1"/>
  <c r="AV47" i="1" a="1"/>
  <c r="AV47" i="1" s="1"/>
  <c r="AU47" i="1" a="1"/>
  <c r="AU47" i="1"/>
  <c r="AT47" i="1"/>
  <c r="AW47" i="1" s="1"/>
  <c r="AR47" i="1"/>
  <c r="AP47" i="1"/>
  <c r="AQ47" i="1" s="1"/>
  <c r="AS47" i="1" s="1"/>
  <c r="AV46" i="1" a="1"/>
  <c r="AV46" i="1" s="1"/>
  <c r="AU46" i="1" a="1"/>
  <c r="AU46" i="1" s="1"/>
  <c r="AT46" i="1"/>
  <c r="AR46" i="1"/>
  <c r="AP46" i="1"/>
  <c r="AQ46" i="1" s="1"/>
  <c r="AS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W44" i="1" s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S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S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S36" i="1" s="1"/>
  <c r="AV35" i="1" a="1"/>
  <c r="AV35" i="1" s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S32" i="1" s="1"/>
  <c r="AV31" i="1" a="1"/>
  <c r="AV31" i="1" s="1"/>
  <c r="AU31" i="1" a="1"/>
  <c r="AU31" i="1" s="1"/>
  <c r="AT31" i="1"/>
  <c r="AR31" i="1"/>
  <c r="AP31" i="1"/>
  <c r="AQ31" i="1" s="1"/>
  <c r="AS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S28" i="1" s="1"/>
  <c r="AV27" i="1" a="1"/>
  <c r="AV27" i="1" s="1"/>
  <c r="AU27" i="1" a="1"/>
  <c r="AU27" i="1" s="1"/>
  <c r="AT27" i="1"/>
  <c r="AR27" i="1"/>
  <c r="AP27" i="1"/>
  <c r="AQ27" i="1" s="1"/>
  <c r="AS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S23" i="1" s="1"/>
  <c r="AV22" i="1" a="1"/>
  <c r="AV22" i="1" s="1"/>
  <c r="AU22" i="1" a="1"/>
  <c r="AU22" i="1" s="1"/>
  <c r="AT22" i="1"/>
  <c r="AR22" i="1"/>
  <c r="AP22" i="1"/>
  <c r="AQ22" i="1" s="1"/>
  <c r="AV21" i="1" a="1"/>
  <c r="AV21" i="1"/>
  <c r="AU21" i="1" a="1"/>
  <c r="AU21" i="1" s="1"/>
  <c r="AT21" i="1"/>
  <c r="AR21" i="1"/>
  <c r="AP21" i="1"/>
  <c r="AQ21" i="1" s="1"/>
  <c r="AS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 s="1"/>
  <c r="AT16" i="1"/>
  <c r="AR16" i="1"/>
  <c r="AP16" i="1"/>
  <c r="AQ16" i="1" s="1"/>
  <c r="AS16" i="1" s="1"/>
  <c r="AV15" i="1" a="1"/>
  <c r="AV15" i="1" s="1"/>
  <c r="AU15" i="1" a="1"/>
  <c r="AU15" i="1"/>
  <c r="AT15" i="1"/>
  <c r="AW15" i="1" s="1"/>
  <c r="AR15" i="1"/>
  <c r="AP15" i="1"/>
  <c r="AQ15" i="1" s="1"/>
  <c r="AS15" i="1" s="1"/>
  <c r="AV14" i="1" a="1"/>
  <c r="AV14" i="1" s="1"/>
  <c r="AU14" i="1" a="1"/>
  <c r="AU14" i="1" s="1"/>
  <c r="AT14" i="1"/>
  <c r="AR14" i="1"/>
  <c r="AP14" i="1"/>
  <c r="AQ14" i="1" s="1"/>
  <c r="AS14" i="1" s="1"/>
  <c r="AV13" i="1" a="1"/>
  <c r="AV13" i="1" s="1"/>
  <c r="AU13" i="1" a="1"/>
  <c r="AU13" i="1"/>
  <c r="AT13" i="1"/>
  <c r="AR13" i="1"/>
  <c r="AP13" i="1"/>
  <c r="AQ13" i="1" s="1"/>
  <c r="AV12" i="1" a="1"/>
  <c r="AV12" i="1" s="1"/>
  <c r="AU12" i="1" a="1"/>
  <c r="AU12" i="1" s="1"/>
  <c r="AT12" i="1"/>
  <c r="AW12" i="1" s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S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S7" i="1" s="1"/>
  <c r="AV6" i="1" a="1"/>
  <c r="AV6" i="1"/>
  <c r="AU6" i="1" a="1"/>
  <c r="AU6" i="1" s="1"/>
  <c r="AT6" i="1"/>
  <c r="AR6" i="1"/>
  <c r="AP6" i="1"/>
  <c r="AQ6" i="1" s="1"/>
  <c r="AS6" i="1" s="1"/>
  <c r="AV5" i="1" a="1"/>
  <c r="AV5" i="1" s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171" i="1" l="1"/>
  <c r="AW22" i="1"/>
  <c r="AW97" i="1"/>
  <c r="AW109" i="1"/>
  <c r="AS147" i="1"/>
  <c r="AW122" i="1"/>
  <c r="AS12" i="1"/>
  <c r="AS37" i="1"/>
  <c r="AW173" i="1"/>
  <c r="AW124" i="1"/>
  <c r="AW174" i="1"/>
  <c r="AW123" i="1"/>
  <c r="AS26" i="1"/>
  <c r="AS138" i="1"/>
  <c r="AS175" i="1"/>
  <c r="AS200" i="1"/>
  <c r="AS152" i="1"/>
  <c r="AW99" i="1"/>
  <c r="AS41" i="1"/>
  <c r="AS165" i="1"/>
  <c r="AS177" i="1"/>
  <c r="AS66" i="1"/>
  <c r="AW165" i="1"/>
  <c r="AS79" i="1"/>
  <c r="AS116" i="1"/>
  <c r="AW29" i="1"/>
  <c r="AS154" i="1"/>
  <c r="AW117" i="1"/>
  <c r="AS206" i="1"/>
  <c r="AW118" i="1"/>
  <c r="AW45" i="1"/>
  <c r="AW120" i="1"/>
  <c r="AS96" i="1"/>
  <c r="AS108" i="1"/>
  <c r="AS133" i="1"/>
  <c r="AS34" i="1"/>
  <c r="AS84" i="1"/>
  <c r="AS158" i="1"/>
  <c r="AW13" i="1"/>
  <c r="AW25" i="1"/>
  <c r="AW26" i="1"/>
  <c r="AW148" i="1"/>
  <c r="AW184" i="1"/>
  <c r="AW38" i="1"/>
  <c r="AS100" i="1"/>
  <c r="AS112" i="1"/>
  <c r="AS161" i="1"/>
  <c r="AS64" i="1"/>
  <c r="AW100" i="1"/>
  <c r="AW149" i="1"/>
  <c r="AS185" i="1"/>
  <c r="AW185" i="1"/>
  <c r="AS198" i="1"/>
  <c r="AW94" i="1"/>
  <c r="AS186" i="1"/>
  <c r="AS69" i="1"/>
  <c r="AS82" i="1"/>
  <c r="AS42" i="1"/>
  <c r="AS115" i="1"/>
  <c r="AS90" i="1"/>
  <c r="AW76" i="1"/>
  <c r="AW16" i="1"/>
  <c r="AS104" i="1"/>
  <c r="AS141" i="1"/>
  <c r="AW188" i="1"/>
  <c r="AW89" i="1"/>
  <c r="AW101" i="1"/>
  <c r="AW92" i="1"/>
  <c r="AS44" i="1"/>
  <c r="AS68" i="1"/>
  <c r="AW104" i="1"/>
  <c r="AS129" i="1"/>
  <c r="AW141" i="1"/>
  <c r="AW201" i="1"/>
  <c r="AW176" i="1"/>
  <c r="AS202" i="1"/>
  <c r="AW200" i="1"/>
  <c r="AW116" i="1"/>
  <c r="AS8" i="1"/>
  <c r="AW202" i="1"/>
  <c r="AW178" i="1"/>
  <c r="AW69" i="1"/>
  <c r="AS179" i="1"/>
  <c r="AS191" i="1"/>
  <c r="AW9" i="1"/>
  <c r="AW70" i="1"/>
  <c r="AW83" i="1"/>
  <c r="AS22" i="1"/>
  <c r="AS168" i="1"/>
  <c r="AS180" i="1"/>
  <c r="AS192" i="1"/>
  <c r="AW144" i="1"/>
  <c r="AS59" i="1"/>
  <c r="AS193" i="1"/>
  <c r="AW205" i="1"/>
  <c r="AS122" i="1"/>
  <c r="AP2" i="1"/>
  <c r="AS74" i="1"/>
  <c r="AW86" i="1"/>
  <c r="AS183" i="1"/>
  <c r="AS135" i="1"/>
  <c r="AS50" i="1"/>
  <c r="AS103" i="1"/>
  <c r="AS187" i="1"/>
  <c r="AW197" i="1"/>
  <c r="AW156" i="1"/>
  <c r="AS167" i="1"/>
  <c r="AW187" i="1"/>
  <c r="AW135" i="1"/>
  <c r="AW177" i="1"/>
  <c r="AS125" i="1"/>
  <c r="AS157" i="1"/>
  <c r="AW167" i="1"/>
  <c r="AW146" i="1"/>
  <c r="AW62" i="1"/>
  <c r="AW72" i="1"/>
  <c r="AW125" i="1"/>
  <c r="AW157" i="1"/>
  <c r="AS188" i="1"/>
  <c r="AS136" i="1"/>
  <c r="AS178" i="1"/>
  <c r="AW18" i="1"/>
  <c r="AS199" i="1"/>
  <c r="AW115" i="1"/>
  <c r="AW136" i="1"/>
  <c r="AW147" i="1"/>
  <c r="AW61" i="1"/>
  <c r="AW19" i="1"/>
  <c r="AS20" i="1"/>
  <c r="AW41" i="1"/>
  <c r="AS52" i="1"/>
  <c r="AW73" i="1"/>
  <c r="AS105" i="1"/>
  <c r="AW126" i="1"/>
  <c r="AW158" i="1"/>
  <c r="AW168" i="1"/>
  <c r="AW199" i="1"/>
  <c r="AW82" i="1"/>
  <c r="AW189" i="1"/>
  <c r="AW51" i="1"/>
  <c r="AW10" i="1"/>
  <c r="AS95" i="1"/>
  <c r="AW105" i="1"/>
  <c r="AW179" i="1"/>
  <c r="AW95" i="1"/>
  <c r="AS106" i="1"/>
  <c r="AS127" i="1"/>
  <c r="AS159" i="1"/>
  <c r="AW169" i="1"/>
  <c r="AS190" i="1"/>
  <c r="AS11" i="1"/>
  <c r="AW106" i="1"/>
  <c r="AW127" i="1"/>
  <c r="AW159" i="1"/>
  <c r="AW190" i="1"/>
  <c r="AW138" i="1"/>
  <c r="AS170" i="1"/>
  <c r="AW43" i="1"/>
  <c r="AW75" i="1"/>
  <c r="AW85" i="1"/>
  <c r="AW96" i="1"/>
  <c r="AS117" i="1"/>
  <c r="AS128" i="1"/>
  <c r="AS149" i="1"/>
  <c r="AS160" i="1"/>
  <c r="AW170" i="1"/>
  <c r="AS33" i="1"/>
  <c r="AS54" i="1"/>
  <c r="AS65" i="1"/>
  <c r="AS107" i="1"/>
  <c r="AS139" i="1"/>
  <c r="AS201" i="1"/>
  <c r="AW103" i="1"/>
  <c r="AW63" i="1"/>
  <c r="AW32" i="1"/>
  <c r="AW53" i="1"/>
  <c r="AW128" i="1"/>
  <c r="AW160" i="1"/>
  <c r="AW33" i="1"/>
  <c r="AW54" i="1"/>
  <c r="AW65" i="1"/>
  <c r="AW107" i="1"/>
  <c r="AW114" i="1"/>
  <c r="AW52" i="1"/>
  <c r="AW64" i="1"/>
  <c r="AS76" i="1"/>
  <c r="AS97" i="1"/>
  <c r="AS118" i="1"/>
  <c r="AS171" i="1"/>
  <c r="AS181" i="1"/>
  <c r="AS10" i="1"/>
  <c r="AW150" i="1"/>
  <c r="AW30" i="1"/>
  <c r="AW84" i="1"/>
  <c r="AS13" i="1"/>
  <c r="AW34" i="1"/>
  <c r="AS45" i="1"/>
  <c r="AW55" i="1"/>
  <c r="AW66" i="1"/>
  <c r="AW129" i="1"/>
  <c r="AW140" i="1"/>
  <c r="AW161" i="1"/>
  <c r="AW192" i="1"/>
  <c r="AW50" i="1"/>
  <c r="AS98" i="1"/>
  <c r="AS119" i="1"/>
  <c r="AS182" i="1"/>
  <c r="AS203" i="1"/>
  <c r="AS72" i="1"/>
  <c r="AS172" i="1"/>
  <c r="AW8" i="1"/>
  <c r="AS24" i="1"/>
  <c r="AS56" i="1"/>
  <c r="AW98" i="1"/>
  <c r="AS109" i="1"/>
  <c r="AW119" i="1"/>
  <c r="AS130" i="1"/>
  <c r="AS151" i="1"/>
  <c r="AS162" i="1"/>
  <c r="AW182" i="1"/>
  <c r="AW203" i="1"/>
  <c r="AW172" i="1"/>
  <c r="AW130" i="1"/>
  <c r="AW151" i="1"/>
  <c r="AW162" i="1"/>
  <c r="AS88" i="1"/>
  <c r="AS204" i="1"/>
  <c r="AS30" i="1"/>
  <c r="AW67" i="1"/>
  <c r="AW14" i="1"/>
  <c r="AS25" i="1"/>
  <c r="AW46" i="1"/>
  <c r="AS57" i="1"/>
  <c r="AS194" i="1"/>
  <c r="AW204" i="1"/>
  <c r="AS142" i="1"/>
  <c r="AW152" i="1"/>
  <c r="AS163" i="1"/>
  <c r="AW194" i="1"/>
  <c r="AW131" i="1"/>
  <c r="AW142" i="1"/>
  <c r="AW163" i="1"/>
  <c r="AW93" i="1"/>
  <c r="AS184" i="1"/>
  <c r="AW40" i="1"/>
  <c r="AS195" i="1"/>
  <c r="AW35" i="1"/>
  <c r="AW78" i="1"/>
  <c r="AW68" i="1"/>
  <c r="AW5" i="1"/>
  <c r="AS111" i="1"/>
  <c r="AW132" i="1"/>
  <c r="AW164" i="1"/>
  <c r="AW195" i="1"/>
  <c r="AS153" i="1"/>
  <c r="AW143" i="1"/>
  <c r="AW57" i="1"/>
  <c r="AW90" i="1"/>
  <c r="AS101" i="1"/>
  <c r="AW111" i="1"/>
  <c r="AS19" i="1"/>
  <c r="AW153" i="1"/>
  <c r="AS80" i="1"/>
  <c r="AW74" i="1"/>
  <c r="AW21" i="1"/>
  <c r="AW121" i="1"/>
  <c r="AW154" i="1"/>
  <c r="AS38" i="1"/>
  <c r="AW48" i="1"/>
  <c r="AS70" i="1"/>
  <c r="AS91" i="1"/>
  <c r="AW133" i="1"/>
  <c r="AS144" i="1"/>
  <c r="AW206" i="1"/>
  <c r="AS67" i="1"/>
  <c r="AW175" i="1"/>
  <c r="AS51" i="1"/>
  <c r="AW11" i="1"/>
  <c r="AW91" i="1"/>
  <c r="AS123" i="1"/>
  <c r="AS155" i="1"/>
  <c r="AW20" i="1"/>
  <c r="AW110" i="1"/>
  <c r="AW79" i="1"/>
  <c r="AW196" i="1"/>
  <c r="AW56" i="1"/>
  <c r="AS132" i="1"/>
  <c r="AW27" i="1"/>
  <c r="AW6" i="1"/>
  <c r="AW17" i="1"/>
  <c r="AW49" i="1"/>
  <c r="AW112" i="1"/>
  <c r="AW155" i="1"/>
  <c r="AS207" i="1"/>
  <c r="AS83" i="1"/>
  <c r="AW88" i="1"/>
  <c r="AW36" i="1"/>
  <c r="AW59" i="1"/>
  <c r="AW81" i="1"/>
  <c r="AS62" i="1"/>
  <c r="AW87" i="1"/>
  <c r="AW28" i="1"/>
  <c r="AS39" i="1"/>
  <c r="AW60" i="1"/>
  <c r="AS71" i="1"/>
  <c r="AW102" i="1"/>
  <c r="AS113" i="1"/>
  <c r="AW186" i="1"/>
  <c r="AW207" i="1"/>
  <c r="AW31" i="1"/>
  <c r="AW42" i="1"/>
  <c r="AW58" i="1"/>
  <c r="AW7" i="1"/>
  <c r="AW134" i="1"/>
  <c r="AW145" i="1"/>
  <c r="AS197" i="1"/>
  <c r="AW24" i="1"/>
  <c r="AW37" i="1"/>
  <c r="AS18" i="1"/>
  <c r="AS29" i="1"/>
  <c r="AW39" i="1"/>
  <c r="AS61" i="1"/>
  <c r="AW71" i="1"/>
  <c r="AW113" i="1"/>
  <c r="AS124" i="1"/>
  <c r="AS156" i="1"/>
  <c r="AW139" i="1"/>
  <c r="AW23" i="1"/>
  <c r="AW108" i="1"/>
  <c r="AW193" i="1"/>
  <c r="AW80" i="1"/>
</calcChain>
</file>

<file path=xl/sharedStrings.xml><?xml version="1.0" encoding="utf-8"?>
<sst xmlns="http://schemas.openxmlformats.org/spreadsheetml/2006/main" count="3540" uniqueCount="1272">
  <si>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</si>
  <si>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</si>
  <si>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</si>
  <si>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</si>
  <si>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</si>
  <si>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</si>
  <si>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</si>
  <si>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</si>
  <si>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</si>
  <si>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</si>
  <si>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</si>
  <si>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</si>
  <si>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</si>
  <si>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</si>
  <si>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</si>
  <si>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</si>
  <si>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</si>
  <si>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</si>
  <si>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</si>
  <si>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</si>
  <si>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</si>
  <si>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</si>
  <si>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</si>
  <si>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</si>
  <si>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</si>
  <si>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</si>
  <si>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</si>
  <si>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</si>
  <si>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</si>
  <si>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</si>
  <si>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</si>
  <si>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</si>
  <si>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</si>
  <si>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</si>
  <si>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</si>
  <si>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</si>
  <si>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</si>
  <si>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</si>
  <si>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</si>
  <si>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</si>
  <si>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</si>
  <si>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</si>
  <si>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</si>
  <si>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</si>
  <si>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</si>
  <si>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</si>
  <si>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</si>
  <si>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</si>
  <si>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</si>
  <si>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</si>
  <si>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</si>
  <si>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</si>
  <si>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</si>
  <si>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</si>
  <si>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</si>
  <si>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</si>
  <si>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</si>
  <si>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</si>
  <si>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</si>
  <si>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</si>
  <si>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</si>
  <si>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</si>
  <si>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</si>
  <si>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</si>
  <si>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</si>
  <si>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</si>
  <si>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</si>
  <si>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</si>
  <si>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</si>
  <si>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</si>
  <si>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</si>
  <si>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</si>
  <si>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</si>
  <si>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</si>
  <si>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</si>
  <si>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</si>
  <si>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</si>
  <si>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</si>
  <si>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</si>
  <si>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</si>
  <si>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</si>
  <si>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</si>
  <si>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</si>
  <si>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</si>
  <si>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</si>
  <si>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</si>
  <si>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</si>
  <si>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</si>
  <si>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</si>
  <si>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</si>
  <si>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</si>
  <si>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</si>
  <si>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</si>
  <si>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</si>
  <si>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</si>
  <si>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</si>
  <si>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</si>
  <si>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</si>
  <si>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</si>
  <si>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</si>
  <si>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</si>
  <si>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</si>
  <si>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</si>
  <si>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</si>
  <si>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</si>
  <si>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</si>
  <si>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</si>
  <si>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</si>
  <si>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</si>
  <si>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</si>
  <si>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</si>
  <si>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</si>
  <si>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</si>
  <si>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</si>
  <si>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</si>
  <si>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</si>
  <si>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</si>
  <si>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</si>
  <si>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</si>
  <si>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</si>
  <si>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</si>
  <si>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</si>
  <si>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</si>
  <si>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</si>
  <si>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</si>
  <si>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</si>
  <si>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</si>
  <si>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</si>
  <si>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</si>
  <si>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</si>
  <si>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</si>
  <si>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</si>
  <si>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</si>
  <si>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</si>
  <si>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</si>
  <si>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</si>
  <si>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</si>
  <si>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</si>
  <si>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</si>
  <si>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</si>
  <si>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</si>
  <si>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</si>
  <si>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</si>
  <si>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</si>
  <si>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</si>
  <si>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</si>
  <si>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</si>
  <si>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</si>
  <si>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</si>
  <si>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</si>
  <si>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</si>
  <si>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</si>
  <si>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</si>
  <si>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</si>
  <si>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</si>
  <si>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</si>
  <si>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</si>
  <si>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</si>
  <si>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</si>
  <si>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</si>
  <si>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</si>
  <si>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</si>
  <si>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</si>
  <si>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</si>
  <si>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</si>
  <si>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</si>
  <si>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</si>
  <si>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</si>
  <si>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</si>
  <si>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</si>
  <si>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</si>
  <si>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</si>
  <si>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</si>
  <si>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</si>
  <si>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</si>
  <si>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</si>
  <si>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</si>
  <si>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</si>
  <si>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</si>
  <si>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</si>
  <si>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</si>
  <si>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</si>
  <si>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</si>
  <si>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</si>
  <si>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</si>
  <si>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</si>
  <si>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</si>
  <si>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</si>
  <si>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</si>
  <si>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</si>
  <si>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</si>
  <si>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</si>
  <si>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</si>
  <si>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</si>
  <si>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</si>
  <si>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</si>
  <si>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</si>
  <si>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</si>
  <si>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</si>
  <si>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</si>
  <si>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</si>
  <si>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</si>
  <si>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</si>
  <si>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</si>
  <si>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</si>
  <si>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</si>
  <si>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</si>
  <si>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</si>
  <si>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</si>
  <si>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</si>
  <si>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</si>
  <si>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</si>
  <si>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</si>
  <si>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</si>
  <si>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</si>
  <si>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</si>
  <si>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</si>
  <si>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</si>
  <si>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</si>
  <si>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</si>
  <si>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</si>
  <si>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</si>
  <si>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</si>
  <si>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</si>
  <si>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</si>
  <si>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</si>
  <si>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</si>
  <si>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</si>
  <si>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</si>
  <si>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</si>
  <si>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</si>
  <si>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</si>
  <si>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</si>
  <si>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</si>
  <si>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</si>
  <si>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</si>
  <si>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</si>
  <si>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</si>
  <si>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</si>
  <si>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</si>
  <si>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</si>
  <si>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</si>
  <si>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</si>
  <si>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</si>
  <si>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</si>
  <si>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</si>
  <si>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</si>
  <si>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</si>
  <si>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</si>
  <si>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</si>
  <si>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</si>
  <si>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</si>
  <si>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</si>
  <si>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</si>
  <si>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</si>
  <si>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</si>
  <si>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</si>
  <si>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</si>
  <si>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</si>
  <si>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</si>
  <si>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</si>
  <si>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</si>
  <si>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</si>
  <si>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</si>
  <si>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</si>
  <si>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</si>
  <si>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</si>
  <si>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</si>
  <si>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</si>
  <si>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</si>
  <si>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</si>
  <si>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</si>
  <si>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</si>
  <si>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</si>
  <si>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</si>
  <si>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</si>
  <si>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</si>
  <si>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</si>
  <si>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</si>
  <si>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</si>
  <si>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</si>
  <si>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</si>
  <si>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</si>
  <si>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</si>
  <si>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</si>
  <si>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</si>
  <si>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</si>
  <si>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</si>
  <si>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</si>
  <si>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</si>
  <si>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</si>
  <si>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</si>
  <si>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</si>
  <si>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</si>
  <si>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</si>
  <si>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</si>
  <si>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</si>
  <si>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</si>
  <si>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</si>
  <si>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</si>
  <si>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</si>
  <si>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</si>
  <si>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</si>
  <si>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</si>
  <si>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</si>
  <si>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</si>
  <si>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</si>
  <si>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</si>
  <si>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</si>
  <si>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</si>
  <si>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</si>
  <si>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</si>
  <si>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</si>
  <si>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</si>
  <si>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</si>
  <si>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</si>
  <si>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</si>
  <si>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</si>
  <si>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</si>
  <si>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</si>
  <si>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</si>
  <si>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</si>
  <si>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</si>
  <si>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</si>
  <si>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</si>
  <si>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</si>
  <si>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</si>
  <si>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</si>
  <si>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</si>
  <si>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</si>
  <si>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</si>
  <si>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</si>
  <si>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</si>
  <si>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</si>
  <si>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</si>
  <si>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</si>
  <si>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</si>
  <si>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</si>
  <si>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</si>
  <si>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</si>
  <si>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</si>
  <si>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</si>
  <si>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</si>
  <si>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</si>
  <si>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</si>
  <si>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</si>
  <si>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</si>
  <si>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</si>
  <si>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</si>
  <si>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</si>
  <si>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</si>
  <si>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</si>
  <si>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</si>
  <si>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</si>
  <si>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</si>
  <si>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</si>
  <si>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</si>
  <si>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</si>
  <si>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</si>
  <si>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</si>
  <si>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</si>
  <si>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</si>
  <si>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</si>
  <si>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</si>
  <si>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</si>
  <si>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</si>
  <si>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</si>
  <si>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</si>
  <si>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</si>
  <si>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</si>
  <si>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</si>
  <si>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</si>
  <si>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</si>
  <si>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</si>
  <si>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</si>
  <si>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</si>
  <si>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</si>
  <si>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</si>
  <si>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</si>
  <si>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</si>
  <si>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</si>
  <si>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</si>
  <si>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</si>
  <si>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</si>
  <si>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</si>
  <si>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</si>
  <si>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</si>
  <si>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</si>
  <si>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</si>
  <si>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</si>
  <si>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</si>
  <si>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</si>
  <si>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</si>
  <si>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</si>
  <si>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</si>
  <si>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</si>
  <si>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</si>
  <si>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</si>
  <si>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</si>
  <si>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</si>
  <si>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</si>
  <si>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</si>
  <si>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</si>
  <si>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</si>
  <si>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</si>
  <si>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</si>
  <si>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</si>
  <si>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</si>
  <si>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</si>
  <si>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</si>
  <si>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</si>
  <si>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</si>
  <si>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</si>
  <si>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</si>
  <si>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</si>
  <si>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</si>
  <si>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</si>
  <si>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</si>
  <si>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</si>
  <si>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</si>
  <si>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</si>
  <si>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</si>
  <si>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</si>
  <si>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</si>
  <si>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</si>
  <si>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</si>
  <si>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</si>
  <si>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</si>
  <si>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</si>
  <si>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</si>
  <si>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</si>
  <si>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</si>
  <si>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</si>
  <si>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</si>
  <si>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</si>
  <si>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</si>
  <si>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</si>
  <si>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</si>
  <si>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</si>
  <si>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</si>
  <si>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</si>
  <si>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</si>
  <si>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</si>
  <si>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</si>
  <si>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</si>
  <si>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</si>
  <si>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</si>
  <si>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</si>
  <si>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</si>
  <si>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</si>
  <si>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</si>
  <si>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</si>
  <si>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</si>
  <si>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</si>
  <si>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</si>
  <si>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</si>
  <si>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</si>
  <si>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</si>
  <si>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</si>
  <si>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</si>
  <si>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</si>
  <si>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</si>
  <si>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</si>
  <si>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</si>
  <si>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</si>
  <si>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</si>
  <si>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</si>
  <si>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</si>
  <si>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</si>
  <si>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</si>
  <si>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</si>
  <si>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</si>
  <si>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</si>
  <si>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</si>
  <si>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</si>
  <si>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</si>
  <si>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</si>
  <si>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</si>
  <si>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</si>
  <si>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</si>
  <si>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</si>
  <si>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</si>
  <si>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</si>
  <si>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</si>
  <si>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</si>
  <si>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</si>
  <si>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</si>
  <si>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</si>
  <si>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</si>
  <si>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</si>
  <si>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</si>
  <si>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</si>
  <si>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</si>
  <si>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</si>
  <si>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</si>
  <si>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</si>
  <si>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</si>
  <si>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</si>
  <si>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</si>
  <si>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</si>
  <si>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</si>
  <si>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</si>
  <si>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</si>
  <si>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</si>
  <si>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</si>
  <si>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</si>
  <si>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</si>
  <si>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</si>
  <si>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</si>
  <si>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</si>
  <si>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</si>
  <si>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</si>
  <si>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</si>
  <si>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</si>
  <si>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</si>
  <si>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</si>
  <si>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</si>
  <si>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</si>
  <si>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</si>
  <si>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</si>
  <si>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</si>
  <si>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</si>
  <si>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</si>
  <si>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</si>
  <si>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</si>
  <si>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</si>
  <si>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</si>
  <si>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</si>
  <si>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</si>
  <si>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</si>
  <si>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</si>
  <si>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</si>
  <si>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</si>
  <si>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</si>
  <si>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</si>
  <si>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</si>
  <si>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</si>
  <si>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</si>
  <si>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</si>
  <si>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</si>
  <si>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</si>
  <si>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</si>
  <si>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</si>
  <si>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</si>
  <si>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</si>
  <si>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</si>
  <si>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</si>
  <si>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</si>
  <si>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</si>
  <si>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</si>
  <si>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</si>
  <si>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</si>
  <si>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</si>
  <si>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</si>
  <si>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</si>
  <si>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</si>
  <si>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</si>
  <si>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</si>
  <si>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</si>
  <si>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</si>
  <si>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</si>
  <si>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</si>
  <si>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</si>
  <si>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</si>
  <si>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</si>
  <si>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</si>
  <si>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</si>
  <si>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</si>
  <si>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</si>
  <si>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</si>
  <si>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</si>
  <si>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</si>
  <si>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</si>
  <si>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</si>
  <si>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</si>
  <si>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</si>
  <si>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</si>
  <si>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</si>
  <si>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</si>
  <si>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</si>
  <si>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</si>
  <si>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</si>
  <si>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</si>
  <si>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</si>
  <si>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</si>
  <si>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</si>
  <si>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</si>
  <si>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</si>
  <si>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</si>
  <si>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</si>
  <si>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</si>
  <si>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</si>
  <si>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</si>
  <si>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</si>
  <si>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>Colegio Agropecuario Pailitas</t>
  </si>
  <si>
    <t>Pailitas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</si>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</sst>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4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0" borderId="12" xfId="94" applyNumberFormat="1" applyFont="1" applyBorder="1" applyAlignment="1">
      <alignment horizontal="center"/>
    </xf>
    <xf numFmtId="166" fontId="42" fillId="29" borderId="12" xfId="94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8"/>
  <sheetViews>
    <sheetView tabSelected="1" zoomScale="80" zoomScaleNormal="80" workbookViewId="0">
      <selection activeCell="S17" sqref="S17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19.85546875" style="74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09" width="32.42578125" style="74" customWidth="1"/>
    <col min="110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JULIO</v>
      </c>
      <c r="E2" s="82">
        <v>7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Y2" si="0">MIN(K5:K207)</f>
        <v>4.2</v>
      </c>
      <c r="L2" s="89">
        <f t="shared" si="0"/>
        <v>1.8</v>
      </c>
      <c r="M2" s="89">
        <f t="shared" si="0"/>
        <v>3.8</v>
      </c>
      <c r="N2" s="89">
        <f t="shared" si="0"/>
        <v>4.4000000000000004</v>
      </c>
      <c r="O2" s="89">
        <f t="shared" si="0"/>
        <v>0</v>
      </c>
      <c r="P2" s="89">
        <f t="shared" si="0"/>
        <v>0</v>
      </c>
      <c r="Q2" s="89">
        <f t="shared" si="0"/>
        <v>0</v>
      </c>
      <c r="R2" s="89">
        <f t="shared" si="0"/>
        <v>0</v>
      </c>
      <c r="S2" s="89">
        <f t="shared" si="0"/>
        <v>0</v>
      </c>
      <c r="T2" s="89">
        <f t="shared" si="0"/>
        <v>0</v>
      </c>
      <c r="U2" s="89">
        <f t="shared" si="0"/>
        <v>0</v>
      </c>
      <c r="V2" s="89">
        <f t="shared" si="0"/>
        <v>0</v>
      </c>
      <c r="W2" s="89">
        <f t="shared" si="0"/>
        <v>0</v>
      </c>
      <c r="X2" s="89">
        <f t="shared" si="0"/>
        <v>0</v>
      </c>
      <c r="Y2" s="89">
        <f t="shared" si="0"/>
        <v>0</v>
      </c>
      <c r="Z2" s="115">
        <v>4.5</v>
      </c>
      <c r="AA2" s="89">
        <f t="shared" ref="AA2:AO2" si="1">MIN(AA5:AA207)</f>
        <v>0</v>
      </c>
      <c r="AB2" s="89">
        <f t="shared" si="1"/>
        <v>0</v>
      </c>
      <c r="AC2" s="89">
        <f t="shared" si="1"/>
        <v>0</v>
      </c>
      <c r="AD2" s="89">
        <f t="shared" si="1"/>
        <v>0</v>
      </c>
      <c r="AE2" s="89">
        <f t="shared" si="1"/>
        <v>0</v>
      </c>
      <c r="AF2" s="89">
        <f t="shared" si="1"/>
        <v>0</v>
      </c>
      <c r="AG2" s="89">
        <f t="shared" si="1"/>
        <v>0</v>
      </c>
      <c r="AH2" s="89">
        <f t="shared" si="1"/>
        <v>0</v>
      </c>
      <c r="AI2" s="89">
        <f t="shared" si="1"/>
        <v>0</v>
      </c>
      <c r="AJ2" s="89">
        <f t="shared" si="1"/>
        <v>0</v>
      </c>
      <c r="AK2" s="89">
        <f t="shared" si="1"/>
        <v>0</v>
      </c>
      <c r="AL2" s="89">
        <f t="shared" si="1"/>
        <v>0</v>
      </c>
      <c r="AM2" s="89">
        <f t="shared" si="1"/>
        <v>0</v>
      </c>
      <c r="AN2" s="89">
        <f t="shared" si="1"/>
        <v>0</v>
      </c>
      <c r="AO2" s="89">
        <f t="shared" si="1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26.3</v>
      </c>
      <c r="L5" s="51">
        <v>27.9</v>
      </c>
      <c r="M5" s="51">
        <v>27.5</v>
      </c>
      <c r="N5" s="51">
        <v>26.8</v>
      </c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11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2">COUNTIF(K5:AO5,"&gt;0")</f>
        <v>4</v>
      </c>
      <c r="AQ5" s="89" t="str">
        <f t="shared" ref="AQ5:AQ68" si="3">IF(AP5&gt;14,AVERAGE(K5:AO5),"")</f>
        <v/>
      </c>
      <c r="AR5" s="89">
        <f>IFERROR(VLOOKUP(A5,Climatologia!A:U,9+$E$2,FALSE),"")</f>
        <v>26.312994914330961</v>
      </c>
      <c r="AS5" s="89" t="str">
        <f t="shared" ref="AS5:AS68" si="4">IF(OR(AQ5="",AR5=""),"",IFERROR(AQ5-AR5,""))</f>
        <v/>
      </c>
      <c r="AT5" s="90">
        <f t="shared" ref="AT5:AT68" si="5">IF(COUNT(K5:AO5)=0,"",MIN(K5:AO5))</f>
        <v>26.3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41097</v>
      </c>
      <c r="AW5" s="92">
        <f t="shared" ref="AW5:AW68" si="6">IF(OR(AT5="",AU5=""),"NA",IFERROR(AT5-AU5,"NA"))</f>
        <v>5.1999999999999993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27.4</v>
      </c>
      <c r="L6" s="51">
        <v>27.6</v>
      </c>
      <c r="M6" s="51">
        <v>27.8</v>
      </c>
      <c r="N6" s="51">
        <v>26.8</v>
      </c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11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2"/>
        <v>4</v>
      </c>
      <c r="AQ6" s="89" t="str">
        <f t="shared" si="3"/>
        <v/>
      </c>
      <c r="AR6" s="89">
        <f>IFERROR(VLOOKUP(A6,Climatologia!A:U,9+$E$2,FALSE),"")</f>
        <v>26.40894902444402</v>
      </c>
      <c r="AS6" s="89" t="str">
        <f t="shared" si="4"/>
        <v/>
      </c>
      <c r="AT6" s="90">
        <f t="shared" si="5"/>
        <v>26.8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21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38552</v>
      </c>
      <c r="AW6" s="92">
        <f t="shared" si="6"/>
        <v>5.8000000000000007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27.4</v>
      </c>
      <c r="L7" s="51">
        <v>26.4</v>
      </c>
      <c r="M7" s="51">
        <v>28.2</v>
      </c>
      <c r="N7" s="51">
        <v>27.8</v>
      </c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11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2"/>
        <v>4</v>
      </c>
      <c r="AQ7" s="89" t="str">
        <f t="shared" si="3"/>
        <v/>
      </c>
      <c r="AR7" s="89">
        <f>IFERROR(VLOOKUP(A7,Climatologia!A:U,9+$E$2,FALSE),"")</f>
        <v>24.967211716722289</v>
      </c>
      <c r="AS7" s="89" t="str">
        <f t="shared" si="4"/>
        <v/>
      </c>
      <c r="AT7" s="90">
        <f t="shared" si="5"/>
        <v>26.4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7" s="92">
        <f t="shared" si="6"/>
        <v>5.7999999999999972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26.1</v>
      </c>
      <c r="L8" s="51">
        <v>25.9</v>
      </c>
      <c r="M8" s="51">
        <v>26.7</v>
      </c>
      <c r="N8" s="51">
        <v>25.9</v>
      </c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11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2"/>
        <v>4</v>
      </c>
      <c r="AQ8" s="89" t="str">
        <f t="shared" si="3"/>
        <v/>
      </c>
      <c r="AR8" s="89">
        <f>IFERROR(VLOOKUP(A8,Climatologia!A:U,9+$E$2,FALSE),"")</f>
        <v>25.731714029697901</v>
      </c>
      <c r="AS8" s="89" t="str">
        <f t="shared" si="4"/>
        <v/>
      </c>
      <c r="AT8" s="90">
        <f t="shared" si="5"/>
        <v>25.9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20.399999999999999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8" s="92">
        <f t="shared" si="6"/>
        <v>5.5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26.1</v>
      </c>
      <c r="L9" s="51">
        <v>26</v>
      </c>
      <c r="M9" s="51">
        <v>25.9</v>
      </c>
      <c r="N9" s="51">
        <v>25.6</v>
      </c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11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2"/>
        <v>4</v>
      </c>
      <c r="AQ9" s="89" t="str">
        <f t="shared" si="3"/>
        <v/>
      </c>
      <c r="AR9" s="89">
        <f>IFERROR(VLOOKUP(A9,Climatologia!A:U,9+$E$2,FALSE),"")</f>
        <v>24.84616941928422</v>
      </c>
      <c r="AS9" s="89" t="str">
        <f t="shared" si="4"/>
        <v/>
      </c>
      <c r="AT9" s="90">
        <f t="shared" si="5"/>
        <v>25.6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21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32339</v>
      </c>
      <c r="AW9" s="92">
        <f t="shared" si="6"/>
        <v>4.6000000000000014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28.2</v>
      </c>
      <c r="L10" s="51">
        <v>27.3</v>
      </c>
      <c r="M10" s="51">
        <v>27.9</v>
      </c>
      <c r="N10" s="51">
        <v>27.7</v>
      </c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11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2"/>
        <v>4</v>
      </c>
      <c r="AQ10" s="89" t="str">
        <f t="shared" si="3"/>
        <v/>
      </c>
      <c r="AR10" s="89">
        <f>IFERROR(VLOOKUP(A10,Climatologia!A:U,9+$E$2,FALSE),"")</f>
        <v>25.91025682931615</v>
      </c>
      <c r="AS10" s="89" t="str">
        <f t="shared" si="4"/>
        <v/>
      </c>
      <c r="AT10" s="90">
        <f t="shared" si="5"/>
        <v>27.3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20.2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41484</v>
      </c>
      <c r="AW10" s="92">
        <f t="shared" si="6"/>
        <v>7.1000000000000014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28</v>
      </c>
      <c r="L11" s="51">
        <v>27.3</v>
      </c>
      <c r="M11" s="51">
        <v>27.2</v>
      </c>
      <c r="N11" s="51">
        <v>26.9</v>
      </c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11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2"/>
        <v>4</v>
      </c>
      <c r="AQ11" s="89" t="str">
        <f t="shared" si="3"/>
        <v/>
      </c>
      <c r="AR11" s="89">
        <f>IFERROR(VLOOKUP(A11,Climatologia!A:U,9+$E$2,FALSE),"")</f>
        <v>24.65002483348788</v>
      </c>
      <c r="AS11" s="89" t="str">
        <f t="shared" si="4"/>
        <v/>
      </c>
      <c r="AT11" s="90">
        <f t="shared" si="5"/>
        <v>26.9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20.8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35258</v>
      </c>
      <c r="AW11" s="92">
        <f t="shared" si="6"/>
        <v>6.0999999999999979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25.1</v>
      </c>
      <c r="L12" s="51">
        <v>27.3</v>
      </c>
      <c r="M12" s="51">
        <v>24</v>
      </c>
      <c r="N12" s="51">
        <v>23.8</v>
      </c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11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2"/>
        <v>4</v>
      </c>
      <c r="AQ12" s="89" t="str">
        <f t="shared" si="3"/>
        <v/>
      </c>
      <c r="AR12" s="89">
        <f>IFERROR(VLOOKUP(A12,Climatologia!A:U,9+$E$2,FALSE),"")</f>
        <v>23.380527878729861</v>
      </c>
      <c r="AS12" s="89" t="str">
        <f t="shared" si="4"/>
        <v/>
      </c>
      <c r="AT12" s="90">
        <f t="shared" si="5"/>
        <v>23.8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32328</v>
      </c>
      <c r="AW12" s="92">
        <f t="shared" si="6"/>
        <v>4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24</v>
      </c>
      <c r="L13" s="51">
        <v>24.2</v>
      </c>
      <c r="M13" s="51">
        <v>24.4</v>
      </c>
      <c r="N13" s="51">
        <v>23.4</v>
      </c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11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2"/>
        <v>4</v>
      </c>
      <c r="AQ13" s="89" t="str">
        <f t="shared" si="3"/>
        <v/>
      </c>
      <c r="AR13" s="89">
        <f>IFERROR(VLOOKUP(A13,Climatologia!A:U,9+$E$2,FALSE),"")</f>
        <v>23.41727263096562</v>
      </c>
      <c r="AS13" s="89" t="str">
        <f t="shared" si="4"/>
        <v/>
      </c>
      <c r="AT13" s="90">
        <f t="shared" si="5"/>
        <v>23.4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20.100000000000001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3" s="92">
        <f t="shared" si="6"/>
        <v>3.2999999999999972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18.7</v>
      </c>
      <c r="L14" s="51">
        <v>21</v>
      </c>
      <c r="M14" s="51">
        <v>20</v>
      </c>
      <c r="N14" s="51">
        <v>20</v>
      </c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11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2"/>
        <v>4</v>
      </c>
      <c r="AQ14" s="89" t="str">
        <f t="shared" si="3"/>
        <v/>
      </c>
      <c r="AR14" s="89">
        <f>IFERROR(VLOOKUP(A14,Climatologia!A:U,9+$E$2,FALSE),"")</f>
        <v>18.607906136078171</v>
      </c>
      <c r="AS14" s="89" t="str">
        <f t="shared" si="4"/>
        <v/>
      </c>
      <c r="AT14" s="90">
        <f t="shared" si="5"/>
        <v>18.7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15.2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31253</v>
      </c>
      <c r="AW14" s="92">
        <f t="shared" si="6"/>
        <v>3.5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26</v>
      </c>
      <c r="L15" s="51">
        <v>20.7</v>
      </c>
      <c r="M15" s="51">
        <v>25.7</v>
      </c>
      <c r="N15" s="51">
        <v>23.3</v>
      </c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11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2"/>
        <v>4</v>
      </c>
      <c r="AQ15" s="89" t="str">
        <f t="shared" si="3"/>
        <v/>
      </c>
      <c r="AR15" s="89">
        <f>IFERROR(VLOOKUP(A15,Climatologia!A:U,9+$E$2,FALSE),"")</f>
        <v>23.779123470522801</v>
      </c>
      <c r="AS15" s="89" t="str">
        <f t="shared" si="4"/>
        <v/>
      </c>
      <c r="AT15" s="90">
        <f t="shared" si="5"/>
        <v>20.7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19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29770</v>
      </c>
      <c r="AW15" s="92">
        <f t="shared" si="6"/>
        <v>1.6999999999999993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27.3</v>
      </c>
      <c r="L16" s="51">
        <v>25.4</v>
      </c>
      <c r="M16" s="51">
        <v>24.5</v>
      </c>
      <c r="N16" s="51">
        <v>23.4</v>
      </c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11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2"/>
        <v>4</v>
      </c>
      <c r="AQ16" s="89" t="str">
        <f t="shared" si="3"/>
        <v/>
      </c>
      <c r="AR16" s="89">
        <f>IFERROR(VLOOKUP(A16,Climatologia!A:U,9+$E$2,FALSE),"")</f>
        <v>23.317825682382139</v>
      </c>
      <c r="AS16" s="89" t="str">
        <f t="shared" si="4"/>
        <v/>
      </c>
      <c r="AT16" s="90">
        <f t="shared" si="5"/>
        <v>23.4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36729</v>
      </c>
      <c r="AW16" s="92">
        <f t="shared" si="6"/>
        <v>4.3999999999999986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19.399999999999999</v>
      </c>
      <c r="L17" s="51">
        <v>18.399999999999999</v>
      </c>
      <c r="M17" s="51">
        <v>18.600000000000001</v>
      </c>
      <c r="N17" s="51">
        <v>18.399999999999999</v>
      </c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11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2"/>
        <v>4</v>
      </c>
      <c r="AQ17" s="89" t="str">
        <f t="shared" si="3"/>
        <v/>
      </c>
      <c r="AR17" s="89">
        <f>IFERROR(VLOOKUP(A17,Climatologia!A:U,9+$E$2,FALSE),"")</f>
        <v>17.48384501297738</v>
      </c>
      <c r="AS17" s="89" t="str">
        <f t="shared" si="4"/>
        <v/>
      </c>
      <c r="AT17" s="90">
        <f t="shared" si="5"/>
        <v>18.399999999999999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31613</v>
      </c>
      <c r="AW17" s="92">
        <f t="shared" si="6"/>
        <v>7.1999999999999993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12.1</v>
      </c>
      <c r="L18" s="51">
        <v>11</v>
      </c>
      <c r="M18" s="51">
        <v>11.5</v>
      </c>
      <c r="N18" s="51">
        <v>12.8</v>
      </c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11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2"/>
        <v>4</v>
      </c>
      <c r="AQ18" s="89" t="str">
        <f t="shared" si="3"/>
        <v/>
      </c>
      <c r="AR18" s="89">
        <f>IFERROR(VLOOKUP(A18,Climatologia!A:U,9+$E$2,FALSE),"")</f>
        <v>12.078935483870969</v>
      </c>
      <c r="AS18" s="89" t="str">
        <f t="shared" si="4"/>
        <v/>
      </c>
      <c r="AT18" s="90">
        <f t="shared" si="5"/>
        <v>11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5.6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18" s="92">
        <f t="shared" si="6"/>
        <v>5.4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19.8</v>
      </c>
      <c r="L19" s="51">
        <v>18.899999999999999</v>
      </c>
      <c r="M19" s="51">
        <v>19.399999999999999</v>
      </c>
      <c r="N19" s="51">
        <v>17.8</v>
      </c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11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2"/>
        <v>4</v>
      </c>
      <c r="AQ19" s="89" t="str">
        <f t="shared" si="3"/>
        <v/>
      </c>
      <c r="AR19" s="89">
        <f>IFERROR(VLOOKUP(A19,Climatologia!A:U,9+$E$2,FALSE),"")</f>
        <v>17.615136476426802</v>
      </c>
      <c r="AS19" s="89" t="str">
        <f t="shared" si="4"/>
        <v/>
      </c>
      <c r="AT19" s="90">
        <f t="shared" si="5"/>
        <v>17.8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13.4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30506</v>
      </c>
      <c r="AW19" s="92">
        <f t="shared" si="6"/>
        <v>4.4000000000000004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19.3</v>
      </c>
      <c r="L20" s="51">
        <v>18.2</v>
      </c>
      <c r="M20" s="51">
        <v>18.3</v>
      </c>
      <c r="N20" s="51">
        <v>18.2</v>
      </c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11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2"/>
        <v>4</v>
      </c>
      <c r="AQ20" s="89" t="str">
        <f t="shared" si="3"/>
        <v/>
      </c>
      <c r="AR20" s="89">
        <f>IFERROR(VLOOKUP(A20,Climatologia!A:U,9+$E$2,FALSE),"")</f>
        <v>16.97514080901178</v>
      </c>
      <c r="AS20" s="89" t="str">
        <f t="shared" si="4"/>
        <v/>
      </c>
      <c r="AT20" s="90">
        <f t="shared" si="5"/>
        <v>18.2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20" s="92">
        <f t="shared" si="6"/>
        <v>5.7999999999999989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20.399999999999999</v>
      </c>
      <c r="L21" s="51">
        <v>20.8</v>
      </c>
      <c r="M21" s="51">
        <v>20.100000000000001</v>
      </c>
      <c r="N21" s="51">
        <v>20</v>
      </c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11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2"/>
        <v>4</v>
      </c>
      <c r="AQ21" s="89" t="str">
        <f t="shared" si="3"/>
        <v/>
      </c>
      <c r="AR21" s="89">
        <f>IFERROR(VLOOKUP(A21,Climatologia!A:U,9+$E$2,FALSE),"")</f>
        <v>19.23867916144334</v>
      </c>
      <c r="AS21" s="89" t="str">
        <f t="shared" si="4"/>
        <v/>
      </c>
      <c r="AT21" s="90">
        <f t="shared" si="5"/>
        <v>20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15.2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30886</v>
      </c>
      <c r="AW21" s="92">
        <f t="shared" si="6"/>
        <v>4.8000000000000007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11</v>
      </c>
      <c r="L22" s="51">
        <v>6.1</v>
      </c>
      <c r="M22" s="51">
        <v>11.4</v>
      </c>
      <c r="N22" s="51">
        <v>9.5</v>
      </c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11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2"/>
        <v>4</v>
      </c>
      <c r="AQ22" s="89" t="str">
        <f t="shared" si="3"/>
        <v/>
      </c>
      <c r="AR22" s="89">
        <f>IFERROR(VLOOKUP(A22,Climatologia!A:U,9+$E$2,FALSE),"")</f>
        <v>8.5669829725335838</v>
      </c>
      <c r="AS22" s="89" t="str">
        <f t="shared" si="4"/>
        <v/>
      </c>
      <c r="AT22" s="90">
        <f t="shared" si="5"/>
        <v>6.1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0.4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22" s="92">
        <f t="shared" si="6"/>
        <v>5.6999999999999993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20.399999999999999</v>
      </c>
      <c r="L23" s="51">
        <v>19.100000000000001</v>
      </c>
      <c r="M23" s="51">
        <v>20.100000000000001</v>
      </c>
      <c r="N23" s="51">
        <v>19.7</v>
      </c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11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2"/>
        <v>4</v>
      </c>
      <c r="AQ23" s="89" t="str">
        <f t="shared" si="3"/>
        <v/>
      </c>
      <c r="AR23" s="89">
        <f>IFERROR(VLOOKUP(A23,Climatologia!A:U,9+$E$2,FALSE),"")</f>
        <v>18.632546225180629</v>
      </c>
      <c r="AS23" s="89" t="str">
        <f t="shared" si="4"/>
        <v/>
      </c>
      <c r="AT23" s="90">
        <f t="shared" si="5"/>
        <v>19.100000000000001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13.6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23" s="92">
        <f t="shared" si="6"/>
        <v>5.5000000000000018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23.5</v>
      </c>
      <c r="L24" s="51">
        <v>23.6</v>
      </c>
      <c r="M24" s="51">
        <v>23.1</v>
      </c>
      <c r="N24" s="51">
        <v>23.1</v>
      </c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11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2"/>
        <v>4</v>
      </c>
      <c r="AQ24" s="89" t="str">
        <f t="shared" si="3"/>
        <v/>
      </c>
      <c r="AR24" s="89">
        <f>IFERROR(VLOOKUP(A24,Climatologia!A:U,9+$E$2,FALSE),"")</f>
        <v>22.755698924731181</v>
      </c>
      <c r="AS24" s="89" t="str">
        <f t="shared" si="4"/>
        <v/>
      </c>
      <c r="AT24" s="90">
        <f t="shared" si="5"/>
        <v>23.1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18.399999999999999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30141</v>
      </c>
      <c r="AW24" s="92">
        <f t="shared" si="6"/>
        <v>4.7000000000000028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14.5</v>
      </c>
      <c r="L25" s="51">
        <v>15.2</v>
      </c>
      <c r="M25" s="51">
        <v>15.1</v>
      </c>
      <c r="N25" s="51">
        <v>14.3</v>
      </c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11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2"/>
        <v>4</v>
      </c>
      <c r="AQ25" s="89" t="str">
        <f t="shared" si="3"/>
        <v/>
      </c>
      <c r="AR25" s="89">
        <f>IFERROR(VLOOKUP(A25,Climatologia!A:U,9+$E$2,FALSE),"")</f>
        <v>14.458778519342481</v>
      </c>
      <c r="AS25" s="89" t="str">
        <f t="shared" si="4"/>
        <v/>
      </c>
      <c r="AT25" s="90">
        <f t="shared" si="5"/>
        <v>14.3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29409</v>
      </c>
      <c r="AW25" s="92">
        <f t="shared" si="6"/>
        <v>4.3000000000000007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9.4</v>
      </c>
      <c r="L26" s="51">
        <v>8.6</v>
      </c>
      <c r="M26" s="51">
        <v>8.6</v>
      </c>
      <c r="N26" s="51">
        <v>8.8000000000000007</v>
      </c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11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2"/>
        <v>4</v>
      </c>
      <c r="AQ26" s="89" t="str">
        <f t="shared" si="3"/>
        <v/>
      </c>
      <c r="AR26" s="89">
        <f>IFERROR(VLOOKUP(A26,Climatologia!A:U,9+$E$2,FALSE),"")</f>
        <v>5.5482835334279477</v>
      </c>
      <c r="AS26" s="89" t="str">
        <f t="shared" si="4"/>
        <v/>
      </c>
      <c r="AT26" s="90">
        <f t="shared" si="5"/>
        <v>8.6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26" s="92">
        <f t="shared" si="6"/>
        <v>9.6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24</v>
      </c>
      <c r="L27" s="51">
        <v>24.2</v>
      </c>
      <c r="M27" s="51">
        <v>24.8</v>
      </c>
      <c r="N27" s="51">
        <v>23.6</v>
      </c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11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2"/>
        <v>4</v>
      </c>
      <c r="AQ27" s="89" t="str">
        <f t="shared" si="3"/>
        <v/>
      </c>
      <c r="AR27" s="89">
        <f>IFERROR(VLOOKUP(A27,Climatologia!A:U,9+$E$2,FALSE),"")</f>
        <v>23.205806451612911</v>
      </c>
      <c r="AS27" s="89" t="str">
        <f t="shared" si="4"/>
        <v/>
      </c>
      <c r="AT27" s="90">
        <f t="shared" si="5"/>
        <v>23.6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19.8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34887</v>
      </c>
      <c r="AW27" s="92">
        <f t="shared" si="6"/>
        <v>3.8000000000000007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21.9</v>
      </c>
      <c r="L28" s="51">
        <v>23.4</v>
      </c>
      <c r="M28" s="51">
        <v>23.7</v>
      </c>
      <c r="N28" s="51">
        <v>23.4</v>
      </c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11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2"/>
        <v>4</v>
      </c>
      <c r="AQ28" s="89" t="str">
        <f t="shared" si="3"/>
        <v/>
      </c>
      <c r="AR28" s="89">
        <f>IFERROR(VLOOKUP(A28,Climatologia!A:U,9+$E$2,FALSE),"")</f>
        <v>22.637933865990991</v>
      </c>
      <c r="AS28" s="89" t="str">
        <f t="shared" si="4"/>
        <v/>
      </c>
      <c r="AT28" s="90">
        <f t="shared" si="5"/>
        <v>21.9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18.8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29408</v>
      </c>
      <c r="AW28" s="92">
        <f t="shared" si="6"/>
        <v>3.0999999999999979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24.8</v>
      </c>
      <c r="L29" s="51">
        <v>25</v>
      </c>
      <c r="M29" s="51">
        <v>24.8</v>
      </c>
      <c r="N29" s="51">
        <v>22.8</v>
      </c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11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2"/>
        <v>4</v>
      </c>
      <c r="AQ29" s="89" t="str">
        <f t="shared" si="3"/>
        <v/>
      </c>
      <c r="AR29" s="89">
        <f>IFERROR(VLOOKUP(A29,Climatologia!A:U,9+$E$2,FALSE),"")</f>
        <v>23.3590368608799</v>
      </c>
      <c r="AS29" s="89" t="str">
        <f t="shared" si="4"/>
        <v/>
      </c>
      <c r="AT29" s="90">
        <f t="shared" si="5"/>
        <v>22.8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19.2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29" s="92">
        <f t="shared" si="6"/>
        <v>3.6000000000000014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20.100000000000001</v>
      </c>
      <c r="L30" s="51">
        <v>21.3</v>
      </c>
      <c r="M30" s="51">
        <v>20.6</v>
      </c>
      <c r="N30" s="51">
        <v>20.8</v>
      </c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11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2"/>
        <v>4</v>
      </c>
      <c r="AQ30" s="89" t="str">
        <f t="shared" si="3"/>
        <v/>
      </c>
      <c r="AR30" s="89">
        <f>IFERROR(VLOOKUP(A30,Climatologia!A:U,9+$E$2,FALSE),"")</f>
        <v>20.397956989247309</v>
      </c>
      <c r="AS30" s="89" t="str">
        <f t="shared" si="4"/>
        <v/>
      </c>
      <c r="AT30" s="90">
        <f t="shared" si="5"/>
        <v>20.100000000000001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16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30" s="92">
        <f t="shared" si="6"/>
        <v>4.1000000000000014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22.8</v>
      </c>
      <c r="L31" s="108">
        <v>23.2</v>
      </c>
      <c r="M31" s="108">
        <v>23.6</v>
      </c>
      <c r="N31" s="108">
        <v>24</v>
      </c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16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2"/>
        <v>4</v>
      </c>
      <c r="AQ31" s="89" t="str">
        <f t="shared" si="3"/>
        <v/>
      </c>
      <c r="AR31" s="89">
        <f>IFERROR(VLOOKUP(A31,Climatologia!A:U,9+$E$2,FALSE),"")</f>
        <v>21.59281959378734</v>
      </c>
      <c r="AS31" s="89" t="str">
        <f t="shared" si="4"/>
        <v/>
      </c>
      <c r="AT31" s="90">
        <f t="shared" si="5"/>
        <v>22.8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14.5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40377</v>
      </c>
      <c r="AW31" s="92">
        <f t="shared" si="6"/>
        <v>8.3000000000000007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14.6</v>
      </c>
      <c r="L32" s="51">
        <v>15.2</v>
      </c>
      <c r="M32" s="51">
        <v>15</v>
      </c>
      <c r="N32" s="51">
        <v>12</v>
      </c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11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2"/>
        <v>4</v>
      </c>
      <c r="AQ32" s="89" t="str">
        <f t="shared" si="3"/>
        <v/>
      </c>
      <c r="AR32" s="89">
        <f>IFERROR(VLOOKUP(A32,Climatologia!A:U,9+$E$2,FALSE),"")</f>
        <v>13.441294802867381</v>
      </c>
      <c r="AS32" s="89" t="str">
        <f t="shared" si="4"/>
        <v/>
      </c>
      <c r="AT32" s="90">
        <f t="shared" si="5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38185</v>
      </c>
      <c r="AW32" s="92">
        <f t="shared" si="6"/>
        <v>3.1999999999999993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2"/>
        <v>0</v>
      </c>
      <c r="AQ33" s="89" t="str">
        <f t="shared" si="3"/>
        <v/>
      </c>
      <c r="AR33" s="89">
        <f>IFERROR(VLOOKUP(A33,Climatologia!A:U,9+$E$2,FALSE),"")</f>
        <v>23.317238592830801</v>
      </c>
      <c r="AS33" s="89" t="str">
        <f t="shared" si="4"/>
        <v/>
      </c>
      <c r="AT33" s="90" t="str">
        <f t="shared" si="5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18.2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35257</v>
      </c>
      <c r="AW33" s="92" t="str">
        <f t="shared" si="6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15</v>
      </c>
      <c r="M34" s="51">
        <v>14.6</v>
      </c>
      <c r="N34" s="51">
        <v>15</v>
      </c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11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2"/>
        <v>4</v>
      </c>
      <c r="AQ34" s="89" t="str">
        <f t="shared" si="3"/>
        <v/>
      </c>
      <c r="AR34" s="89">
        <f>IFERROR(VLOOKUP(A34,Climatologia!A:U,9+$E$2,FALSE),"")</f>
        <v>14.773956247682611</v>
      </c>
      <c r="AS34" s="89" t="str">
        <f t="shared" si="4"/>
        <v/>
      </c>
      <c r="AT34" s="90">
        <f t="shared" si="5"/>
        <v>14.6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9.6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43293</v>
      </c>
      <c r="AW34" s="92">
        <f t="shared" si="6"/>
        <v>5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15.8</v>
      </c>
      <c r="L35" s="51">
        <v>14.4</v>
      </c>
      <c r="M35" s="51">
        <v>15</v>
      </c>
      <c r="N35" s="51">
        <v>14.6</v>
      </c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11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2"/>
        <v>4</v>
      </c>
      <c r="AQ35" s="89" t="str">
        <f t="shared" si="3"/>
        <v/>
      </c>
      <c r="AR35" s="89">
        <f>IFERROR(VLOOKUP(A35,Climatologia!A:U,9+$E$2,FALSE),"")</f>
        <v>13.253440860215051</v>
      </c>
      <c r="AS35" s="89" t="str">
        <f t="shared" si="4"/>
        <v/>
      </c>
      <c r="AT35" s="90">
        <f t="shared" si="5"/>
        <v>14.4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9.1999999999999993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37099</v>
      </c>
      <c r="AW35" s="92">
        <f t="shared" si="6"/>
        <v>5.2000000000000011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20</v>
      </c>
      <c r="L36" s="51">
        <v>19</v>
      </c>
      <c r="M36" s="51">
        <v>18.8</v>
      </c>
      <c r="N36" s="51">
        <v>20.2</v>
      </c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11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2"/>
        <v>4</v>
      </c>
      <c r="AQ36" s="89" t="str">
        <f t="shared" si="3"/>
        <v/>
      </c>
      <c r="AR36" s="89">
        <f>IFERROR(VLOOKUP(A36,Climatologia!A:U,9+$E$2,FALSE),"")</f>
        <v>19.581162337847541</v>
      </c>
      <c r="AS36" s="89" t="str">
        <f t="shared" si="4"/>
        <v/>
      </c>
      <c r="AT36" s="90">
        <f t="shared" si="5"/>
        <v>18.8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15.2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39269</v>
      </c>
      <c r="AW36" s="92">
        <f t="shared" si="6"/>
        <v>3.6000000000000014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11.8</v>
      </c>
      <c r="L37" s="51">
        <v>7.2</v>
      </c>
      <c r="M37" s="51">
        <v>10.8</v>
      </c>
      <c r="N37" s="51">
        <v>6.4</v>
      </c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11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2"/>
        <v>4</v>
      </c>
      <c r="AQ37" s="89" t="str">
        <f t="shared" si="3"/>
        <v/>
      </c>
      <c r="AR37" s="89">
        <f>IFERROR(VLOOKUP(A37,Climatologia!A:U,9+$E$2,FALSE),"")</f>
        <v>9.3349769585253455</v>
      </c>
      <c r="AS37" s="89" t="str">
        <f t="shared" si="4"/>
        <v/>
      </c>
      <c r="AT37" s="90">
        <f t="shared" si="5"/>
        <v>6.4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6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18</v>
      </c>
      <c r="L38" s="51">
        <v>17.399999999999999</v>
      </c>
      <c r="M38" s="51">
        <v>17</v>
      </c>
      <c r="N38" s="51">
        <v>16.399999999999999</v>
      </c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11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2"/>
        <v>4</v>
      </c>
      <c r="AQ38" s="89" t="str">
        <f t="shared" si="3"/>
        <v/>
      </c>
      <c r="AR38" s="89" t="str">
        <f>IFERROR(VLOOKUP(A38,Climatologia!A:U,9+$E$2,FALSE),"")</f>
        <v/>
      </c>
      <c r="AS38" s="89" t="str">
        <f t="shared" si="4"/>
        <v/>
      </c>
      <c r="AT38" s="90">
        <f t="shared" si="5"/>
        <v>16.399999999999999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44394</v>
      </c>
      <c r="AW38" s="92">
        <f t="shared" si="6"/>
        <v>2.3999999999999986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19.399999999999999</v>
      </c>
      <c r="L39" s="51">
        <v>18.399999999999999</v>
      </c>
      <c r="M39" s="51">
        <v>19.2</v>
      </c>
      <c r="N39" s="51">
        <v>18.8</v>
      </c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11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2"/>
        <v>4</v>
      </c>
      <c r="AQ39" s="89" t="str">
        <f t="shared" si="3"/>
        <v/>
      </c>
      <c r="AR39" s="89">
        <f>IFERROR(VLOOKUP(A39,Climatologia!A:U,9+$E$2,FALSE),"")</f>
        <v>17.20506668314588</v>
      </c>
      <c r="AS39" s="89" t="str">
        <f t="shared" si="4"/>
        <v/>
      </c>
      <c r="AT39" s="90">
        <f t="shared" si="5"/>
        <v>18.399999999999999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11.2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39" s="92">
        <f t="shared" si="6"/>
        <v>7.1999999999999993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15</v>
      </c>
      <c r="L40" s="51">
        <v>13.2</v>
      </c>
      <c r="M40" s="51">
        <v>13</v>
      </c>
      <c r="N40" s="51">
        <v>14.8</v>
      </c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11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2"/>
        <v>4</v>
      </c>
      <c r="AQ40" s="89" t="str">
        <f t="shared" si="3"/>
        <v/>
      </c>
      <c r="AR40" s="89">
        <f>IFERROR(VLOOKUP(A40,Climatologia!A:U,9+$E$2,FALSE),"")</f>
        <v>12.94546489563567</v>
      </c>
      <c r="AS40" s="89" t="str">
        <f t="shared" si="4"/>
        <v/>
      </c>
      <c r="AT40" s="90">
        <f t="shared" si="5"/>
        <v>13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37467</v>
      </c>
      <c r="AW40" s="92">
        <f t="shared" si="6"/>
        <v>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26.8</v>
      </c>
      <c r="L41" s="51">
        <v>26.2</v>
      </c>
      <c r="M41" s="51">
        <v>22.8</v>
      </c>
      <c r="N41" s="51">
        <v>22.6</v>
      </c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11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2"/>
        <v>4</v>
      </c>
      <c r="AQ41" s="89" t="str">
        <f t="shared" si="3"/>
        <v/>
      </c>
      <c r="AR41" s="89" t="str">
        <f>IFERROR(VLOOKUP(A41,Climatologia!A:U,9+$E$2,FALSE),"")</f>
        <v/>
      </c>
      <c r="AS41" s="89" t="str">
        <f t="shared" si="4"/>
        <v/>
      </c>
      <c r="AT41" s="90">
        <f t="shared" si="5"/>
        <v>22.6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18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1" s="92">
        <f t="shared" si="6"/>
        <v>4.6000000000000014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25.4</v>
      </c>
      <c r="L42" s="51">
        <v>27</v>
      </c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11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2"/>
        <v>2</v>
      </c>
      <c r="AQ42" s="89" t="str">
        <f t="shared" si="3"/>
        <v/>
      </c>
      <c r="AR42" s="89">
        <f>IFERROR(VLOOKUP(A42,Climatologia!A:U,9+$E$2,FALSE),"")</f>
        <v>24.432895496420521</v>
      </c>
      <c r="AS42" s="89" t="str">
        <f t="shared" si="4"/>
        <v/>
      </c>
      <c r="AT42" s="90">
        <f t="shared" si="5"/>
        <v>25.4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6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23.8</v>
      </c>
      <c r="L43" s="51">
        <v>26.6</v>
      </c>
      <c r="M43" s="51">
        <v>23.4</v>
      </c>
      <c r="N43" s="51">
        <v>23.3</v>
      </c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11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2"/>
        <v>4</v>
      </c>
      <c r="AQ43" s="89" t="str">
        <f t="shared" si="3"/>
        <v/>
      </c>
      <c r="AR43" s="89">
        <f>IFERROR(VLOOKUP(A43,Climatologia!A:U,9+$E$2,FALSE),"")</f>
        <v>23.70475716371773</v>
      </c>
      <c r="AS43" s="89" t="str">
        <f t="shared" si="4"/>
        <v/>
      </c>
      <c r="AT43" s="90">
        <f t="shared" si="5"/>
        <v>23.3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39649</v>
      </c>
      <c r="AW43" s="92">
        <f t="shared" si="6"/>
        <v>4.3000000000000007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25.4</v>
      </c>
      <c r="L44" s="51">
        <v>25.8</v>
      </c>
      <c r="M44" s="51">
        <v>24.2</v>
      </c>
      <c r="N44" s="51">
        <v>23.8</v>
      </c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11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2"/>
        <v>4</v>
      </c>
      <c r="AQ44" s="89" t="str">
        <f t="shared" si="3"/>
        <v/>
      </c>
      <c r="AR44" s="89">
        <f>IFERROR(VLOOKUP(A44,Climatologia!A:U,9+$E$2,FALSE),"")</f>
        <v>23.278211411491501</v>
      </c>
      <c r="AS44" s="89" t="str">
        <f t="shared" si="4"/>
        <v/>
      </c>
      <c r="AT44" s="90">
        <f t="shared" si="5"/>
        <v>23.8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33424</v>
      </c>
      <c r="AW44" s="92">
        <f t="shared" si="6"/>
        <v>6.6000000000000014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2"/>
        <v>0</v>
      </c>
      <c r="AQ45" s="89" t="str">
        <f t="shared" si="3"/>
        <v/>
      </c>
      <c r="AR45" s="89">
        <f>IFERROR(VLOOKUP(A45,Climatologia!A:U,9+$E$2,FALSE),"")</f>
        <v>23.564830290111161</v>
      </c>
      <c r="AS45" s="89" t="str">
        <f t="shared" si="4"/>
        <v/>
      </c>
      <c r="AT45" s="90" t="str">
        <f t="shared" si="5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16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34907</v>
      </c>
      <c r="AW45" s="92" t="str">
        <f t="shared" si="6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2"/>
        <v>0</v>
      </c>
      <c r="AQ46" s="89" t="str">
        <f t="shared" si="3"/>
        <v/>
      </c>
      <c r="AR46" s="89">
        <f>IFERROR(VLOOKUP(A46,Climatologia!A:U,9+$E$2,FALSE),"")</f>
        <v>22.25813524492235</v>
      </c>
      <c r="AS46" s="89" t="str">
        <f t="shared" si="4"/>
        <v/>
      </c>
      <c r="AT46" s="90" t="str">
        <f t="shared" si="5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6" s="92" t="str">
        <f t="shared" si="6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25.4</v>
      </c>
      <c r="L47" s="51">
        <v>26.6</v>
      </c>
      <c r="M47" s="51">
        <v>24.8</v>
      </c>
      <c r="N47" s="51">
        <v>24.6</v>
      </c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11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2"/>
        <v>4</v>
      </c>
      <c r="AQ47" s="89" t="str">
        <f t="shared" si="3"/>
        <v/>
      </c>
      <c r="AR47" s="89">
        <f>IFERROR(VLOOKUP(A47,Climatologia!A:U,9+$E$2,FALSE),"")</f>
        <v>23.077912101041139</v>
      </c>
      <c r="AS47" s="89" t="str">
        <f t="shared" si="4"/>
        <v/>
      </c>
      <c r="AT47" s="90">
        <f t="shared" si="5"/>
        <v>24.6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40364</v>
      </c>
      <c r="AW47" s="92">
        <f t="shared" si="6"/>
        <v>6.8000000000000007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2"/>
        <v>0</v>
      </c>
      <c r="AQ48" s="89" t="str">
        <f t="shared" si="3"/>
        <v/>
      </c>
      <c r="AR48" s="89">
        <f>IFERROR(VLOOKUP(A48,Climatologia!A:U,9+$E$2,FALSE),"")</f>
        <v>22.959666935925281</v>
      </c>
      <c r="AS48" s="89" t="str">
        <f t="shared" si="4"/>
        <v/>
      </c>
      <c r="AT48" s="90" t="str">
        <f t="shared" si="5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31236</v>
      </c>
      <c r="AW48" s="92" t="str">
        <f t="shared" si="6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>
        <v>24.2</v>
      </c>
      <c r="L49" s="51">
        <v>25.4</v>
      </c>
      <c r="M49" s="51">
        <v>24.2</v>
      </c>
      <c r="N49" s="51">
        <v>24</v>
      </c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2"/>
        <v>4</v>
      </c>
      <c r="AQ49" s="89" t="str">
        <f t="shared" si="3"/>
        <v/>
      </c>
      <c r="AR49" s="89">
        <f>IFERROR(VLOOKUP(A49,Climatologia!A:U,9+$E$2,FALSE),"")</f>
        <v>23.449985001525519</v>
      </c>
      <c r="AS49" s="89" t="str">
        <f t="shared" si="4"/>
        <v/>
      </c>
      <c r="AT49" s="90">
        <f t="shared" si="5"/>
        <v>24</v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33082</v>
      </c>
      <c r="AW49" s="92">
        <f t="shared" si="6"/>
        <v>4.8000000000000007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2"/>
        <v>0</v>
      </c>
      <c r="AQ50" s="89" t="str">
        <f t="shared" si="3"/>
        <v/>
      </c>
      <c r="AR50" s="89" t="str">
        <f>IFERROR(VLOOKUP(A50,Climatologia!A:U,9+$E$2,FALSE),"")</f>
        <v/>
      </c>
      <c r="AS50" s="89" t="str">
        <f t="shared" si="4"/>
        <v/>
      </c>
      <c r="AT50" s="90" t="str">
        <f t="shared" si="5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20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43673</v>
      </c>
      <c r="AW50" s="92" t="str">
        <f t="shared" si="6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24.2</v>
      </c>
      <c r="N51" s="51">
        <v>23.8</v>
      </c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11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2"/>
        <v>4</v>
      </c>
      <c r="AQ51" s="89" t="str">
        <f t="shared" si="3"/>
        <v/>
      </c>
      <c r="AR51" s="89">
        <f>IFERROR(VLOOKUP(A51,Climatologia!A:U,9+$E$2,FALSE),"")</f>
        <v>23.209114934289129</v>
      </c>
      <c r="AS51" s="89" t="str">
        <f t="shared" si="4"/>
        <v/>
      </c>
      <c r="AT51" s="90">
        <f t="shared" si="5"/>
        <v>23.8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17.8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35637</v>
      </c>
      <c r="AW51" s="92">
        <f t="shared" si="6"/>
        <v>6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26.8</v>
      </c>
      <c r="L52" s="51">
        <v>26.8</v>
      </c>
      <c r="M52" s="51">
        <v>25</v>
      </c>
      <c r="N52" s="51">
        <v>25</v>
      </c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11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88">
        <f t="shared" si="2"/>
        <v>4</v>
      </c>
      <c r="AQ52" s="89" t="str">
        <f t="shared" si="3"/>
        <v/>
      </c>
      <c r="AR52" s="89">
        <f>IFERROR(VLOOKUP(A52,Climatologia!A:U,9+$E$2,FALSE),"")</f>
        <v>22.730537765699061</v>
      </c>
      <c r="AS52" s="89" t="str">
        <f t="shared" si="4"/>
        <v/>
      </c>
      <c r="AT52" s="90">
        <f t="shared" si="5"/>
        <v>25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18.399999999999999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34893</v>
      </c>
      <c r="AW52" s="92">
        <f t="shared" si="6"/>
        <v>6.6000000000000014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25.4</v>
      </c>
      <c r="M53" s="51">
        <v>25.8</v>
      </c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11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2"/>
        <v>3</v>
      </c>
      <c r="AQ53" s="89" t="str">
        <f t="shared" si="3"/>
        <v/>
      </c>
      <c r="AR53" s="89" t="str">
        <f>IFERROR(VLOOKUP(A53,Climatologia!A:U,9+$E$2,FALSE),"")</f>
        <v/>
      </c>
      <c r="AS53" s="89" t="str">
        <f t="shared" si="4"/>
        <v/>
      </c>
      <c r="AT53" s="90">
        <f t="shared" si="5"/>
        <v>25.4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19.399999999999999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30883</v>
      </c>
      <c r="AW53" s="92">
        <f t="shared" si="6"/>
        <v>6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27.4</v>
      </c>
      <c r="M54" s="51">
        <v>21.5</v>
      </c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2"/>
        <v>3</v>
      </c>
      <c r="AQ54" s="89" t="str">
        <f t="shared" si="3"/>
        <v/>
      </c>
      <c r="AR54" s="89" t="str">
        <f>IFERROR(VLOOKUP(A54,Climatologia!A:U,9+$E$2,FALSE),"")</f>
        <v/>
      </c>
      <c r="AS54" s="89" t="str">
        <f t="shared" si="4"/>
        <v/>
      </c>
      <c r="AT54" s="90">
        <f t="shared" si="5"/>
        <v>21.5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40738</v>
      </c>
      <c r="AW54" s="92">
        <f t="shared" si="6"/>
        <v>1.5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2"/>
        <v>0</v>
      </c>
      <c r="AQ55" s="89" t="str">
        <f t="shared" si="3"/>
        <v/>
      </c>
      <c r="AR55" s="89" t="str">
        <f>IFERROR(VLOOKUP(A55,Climatologia!A:U,9+$E$2,FALSE),"")</f>
        <v/>
      </c>
      <c r="AS55" s="89" t="str">
        <f t="shared" si="4"/>
        <v/>
      </c>
      <c r="AT55" s="90" t="str">
        <f t="shared" si="5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18.600000000000001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29405</v>
      </c>
      <c r="AW55" s="92" t="str">
        <f t="shared" si="6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2"/>
        <v>0</v>
      </c>
      <c r="AQ56" s="89" t="str">
        <f t="shared" si="3"/>
        <v/>
      </c>
      <c r="AR56" s="89">
        <f>IFERROR(VLOOKUP(A56,Climatologia!A:U,9+$E$2,FALSE),"")</f>
        <v>24.29282246073495</v>
      </c>
      <c r="AS56" s="89" t="str">
        <f t="shared" si="4"/>
        <v/>
      </c>
      <c r="AT56" s="90" t="str">
        <f t="shared" si="5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18.8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29411</v>
      </c>
      <c r="AW56" s="92" t="str">
        <f t="shared" si="6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24.8</v>
      </c>
      <c r="M57" s="51">
        <v>26.2</v>
      </c>
      <c r="N57" s="51">
        <v>24.8</v>
      </c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11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2"/>
        <v>4</v>
      </c>
      <c r="AQ57" s="89" t="str">
        <f t="shared" si="3"/>
        <v/>
      </c>
      <c r="AR57" s="89">
        <f>IFERROR(VLOOKUP(A57,Climatologia!A:U,9+$E$2,FALSE),"")</f>
        <v>23.929337221065921</v>
      </c>
      <c r="AS57" s="89" t="str">
        <f t="shared" si="4"/>
        <v/>
      </c>
      <c r="AT57" s="90">
        <f t="shared" si="5"/>
        <v>24.8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31241</v>
      </c>
      <c r="AW57" s="92">
        <f t="shared" si="6"/>
        <v>6.8000000000000007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>
        <v>22.8</v>
      </c>
      <c r="L58" s="51">
        <v>23.4</v>
      </c>
      <c r="M58" s="51">
        <v>22.2</v>
      </c>
      <c r="N58" s="51">
        <v>20.6</v>
      </c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2"/>
        <v>4</v>
      </c>
      <c r="AQ58" s="89" t="str">
        <f t="shared" si="3"/>
        <v/>
      </c>
      <c r="AR58" s="89">
        <f>IFERROR(VLOOKUP(A58,Climatologia!A:U,9+$E$2,FALSE),"")</f>
        <v>21.121835024190759</v>
      </c>
      <c r="AS58" s="89" t="str">
        <f t="shared" si="4"/>
        <v/>
      </c>
      <c r="AT58" s="90">
        <f t="shared" si="5"/>
        <v>20.6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15.2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32698</v>
      </c>
      <c r="AW58" s="92">
        <f t="shared" si="6"/>
        <v>5.4000000000000021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2"/>
        <v>0</v>
      </c>
      <c r="AQ59" s="89" t="str">
        <f t="shared" si="3"/>
        <v/>
      </c>
      <c r="AR59" s="89">
        <f>IFERROR(VLOOKUP(A59,Climatologia!A:U,9+$E$2,FALSE),"")</f>
        <v>22.316915376058869</v>
      </c>
      <c r="AS59" s="89" t="str">
        <f t="shared" si="4"/>
        <v/>
      </c>
      <c r="AT59" s="90" t="str">
        <f t="shared" si="5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17.399999999999999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59" s="92" t="str">
        <f t="shared" si="6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21.4</v>
      </c>
      <c r="L60" s="51">
        <v>22.6</v>
      </c>
      <c r="M60" s="51">
        <v>21.6</v>
      </c>
      <c r="N60" s="51">
        <v>22</v>
      </c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11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2"/>
        <v>4</v>
      </c>
      <c r="AQ60" s="89" t="str">
        <f t="shared" si="3"/>
        <v/>
      </c>
      <c r="AR60" s="89">
        <f>IFERROR(VLOOKUP(A60,Climatologia!A:U,9+$E$2,FALSE),"")</f>
        <v>21.335368281215381</v>
      </c>
      <c r="AS60" s="89" t="str">
        <f t="shared" si="4"/>
        <v/>
      </c>
      <c r="AT60" s="90">
        <f t="shared" si="5"/>
        <v>21.4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60" s="92">
        <f t="shared" si="6"/>
        <v>4.3999999999999986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2"/>
        <v>0</v>
      </c>
      <c r="AQ61" s="89" t="str">
        <f t="shared" si="3"/>
        <v/>
      </c>
      <c r="AR61" s="89">
        <f>IFERROR(VLOOKUP(A61,Climatologia!A:U,9+$E$2,FALSE),"")</f>
        <v>19.17653476427855</v>
      </c>
      <c r="AS61" s="89" t="str">
        <f t="shared" si="4"/>
        <v/>
      </c>
      <c r="AT61" s="90" t="str">
        <f t="shared" si="5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6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2"/>
        <v>0</v>
      </c>
      <c r="AQ62" s="89" t="str">
        <f t="shared" si="3"/>
        <v/>
      </c>
      <c r="AR62" s="89">
        <f>IFERROR(VLOOKUP(A62,Climatologia!A:U,9+$E$2,FALSE),"")</f>
        <v>21.93480657520702</v>
      </c>
      <c r="AS62" s="89" t="str">
        <f t="shared" si="4"/>
        <v/>
      </c>
      <c r="AT62" s="90" t="str">
        <f t="shared" si="5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17.399999999999999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62" s="92" t="str">
        <f t="shared" si="6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11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2"/>
        <v>0</v>
      </c>
      <c r="AQ63" s="89" t="str">
        <f t="shared" si="3"/>
        <v/>
      </c>
      <c r="AR63" s="89">
        <f>IFERROR(VLOOKUP(A63,Climatologia!A:U,9+$E$2,FALSE),"")</f>
        <v>22.124788357434191</v>
      </c>
      <c r="AS63" s="89" t="str">
        <f t="shared" si="4"/>
        <v/>
      </c>
      <c r="AT63" s="90" t="str">
        <f t="shared" si="5"/>
        <v/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18.8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41482</v>
      </c>
      <c r="AW63" s="92" t="str">
        <f t="shared" si="6"/>
        <v>NA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22.4</v>
      </c>
      <c r="L64" s="51">
        <v>23</v>
      </c>
      <c r="M64" s="51">
        <v>22.8</v>
      </c>
      <c r="N64" s="51">
        <v>23.6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11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2"/>
        <v>4</v>
      </c>
      <c r="AQ64" s="89" t="str">
        <f t="shared" si="3"/>
        <v/>
      </c>
      <c r="AR64" s="89">
        <f>IFERROR(VLOOKUP(A64,Climatologia!A:U,9+$E$2,FALSE),"")</f>
        <v>21.690749245193071</v>
      </c>
      <c r="AS64" s="89" t="str">
        <f t="shared" si="4"/>
        <v/>
      </c>
      <c r="AT64" s="90">
        <f t="shared" si="5"/>
        <v>22.4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17.399999999999999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4" s="92">
        <f t="shared" si="6"/>
        <v>5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23.4</v>
      </c>
      <c r="M65" s="51">
        <v>21.6</v>
      </c>
      <c r="N65" s="51">
        <v>21.2</v>
      </c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11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2"/>
        <v>4</v>
      </c>
      <c r="AQ65" s="89" t="str">
        <f t="shared" si="3"/>
        <v/>
      </c>
      <c r="AR65" s="89">
        <f>IFERROR(VLOOKUP(A65,Climatologia!A:U,9+$E$2,FALSE),"")</f>
        <v>21.403540366427119</v>
      </c>
      <c r="AS65" s="89" t="str">
        <f t="shared" si="4"/>
        <v/>
      </c>
      <c r="AT65" s="90">
        <f t="shared" si="5"/>
        <v>21.2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17.2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30133</v>
      </c>
      <c r="AW65" s="92">
        <f t="shared" si="6"/>
        <v>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2"/>
        <v>0</v>
      </c>
      <c r="AQ66" s="89" t="str">
        <f t="shared" si="3"/>
        <v/>
      </c>
      <c r="AR66" s="89">
        <f>IFERROR(VLOOKUP(A66,Climatologia!A:U,9+$E$2,FALSE),"")</f>
        <v>20.397956989247309</v>
      </c>
      <c r="AS66" s="89" t="str">
        <f t="shared" si="4"/>
        <v/>
      </c>
      <c r="AT66" s="90" t="str">
        <f t="shared" si="5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16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6" s="92" t="str">
        <f t="shared" si="6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</v>
      </c>
      <c r="L67" s="51">
        <v>21</v>
      </c>
      <c r="M67" s="51">
        <v>19.399999999999999</v>
      </c>
      <c r="N67" s="51">
        <v>20</v>
      </c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11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2"/>
        <v>4</v>
      </c>
      <c r="AQ67" s="89" t="str">
        <f t="shared" si="3"/>
        <v/>
      </c>
      <c r="AR67" s="89">
        <f>IFERROR(VLOOKUP(A67,Climatologia!A:U,9+$E$2,FALSE),"")</f>
        <v>21.093190044711658</v>
      </c>
      <c r="AS67" s="89" t="str">
        <f t="shared" si="4"/>
        <v/>
      </c>
      <c r="AT67" s="90">
        <f t="shared" si="5"/>
        <v>19.399999999999999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16.3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31259</v>
      </c>
      <c r="AW67" s="92">
        <f t="shared" si="6"/>
        <v>3.0999999999999979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20.8</v>
      </c>
      <c r="L68" s="51">
        <v>21.4</v>
      </c>
      <c r="M68" s="51">
        <v>21</v>
      </c>
      <c r="N68" s="51">
        <v>21</v>
      </c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2"/>
        <v>4</v>
      </c>
      <c r="AQ68" s="89" t="str">
        <f t="shared" si="3"/>
        <v/>
      </c>
      <c r="AR68" s="89">
        <f>IFERROR(VLOOKUP(A68,Climatologia!A:U,9+$E$2,FALSE),"")</f>
        <v>20.820880569459899</v>
      </c>
      <c r="AS68" s="89" t="str">
        <f t="shared" si="4"/>
        <v/>
      </c>
      <c r="AT68" s="90">
        <f t="shared" si="5"/>
        <v>20.8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6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22.2</v>
      </c>
      <c r="L69" s="51">
        <v>23</v>
      </c>
      <c r="M69" s="51">
        <v>22.2</v>
      </c>
      <c r="N69" s="51">
        <v>22.2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11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7">COUNTIF(K69:AO69,"&gt;0")</f>
        <v>4</v>
      </c>
      <c r="AQ69" s="89" t="str">
        <f t="shared" ref="AQ69:AQ132" si="8">IF(AP69&gt;14,AVERAGE(K69:AO69),"")</f>
        <v/>
      </c>
      <c r="AR69" s="89">
        <f>IFERROR(VLOOKUP(A69,Climatologia!A:U,9+$E$2,FALSE),"")</f>
        <v>20.779327975046829</v>
      </c>
      <c r="AS69" s="89" t="str">
        <f t="shared" ref="AS69:AS132" si="9">IF(OR(AQ69="",AR69=""),"",IFERROR(AQ69-AR69,""))</f>
        <v/>
      </c>
      <c r="AT69" s="90">
        <f t="shared" ref="AT69:AT132" si="10">IF(COUNT(K69:AO69)=0,"",MIN(K69:AO69))</f>
        <v>22.2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16.8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44017</v>
      </c>
      <c r="AW69" s="92">
        <f t="shared" ref="AW69:AW132" si="11">IF(OR(AT69="",AU69=""),"NA",IFERROR(AT69-AU69,"NA"))</f>
        <v>5.3999999999999986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23.1</v>
      </c>
      <c r="L70" s="51">
        <v>23</v>
      </c>
      <c r="M70" s="51">
        <v>23</v>
      </c>
      <c r="N70" s="51">
        <v>23.1</v>
      </c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11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7"/>
        <v>4</v>
      </c>
      <c r="AQ70" s="89" t="str">
        <f t="shared" si="8"/>
        <v/>
      </c>
      <c r="AR70" s="89">
        <f>IFERROR(VLOOKUP(A70,Climatologia!A:U,9+$E$2,FALSE),"")</f>
        <v>22.364932118308101</v>
      </c>
      <c r="AS70" s="89" t="str">
        <f t="shared" si="9"/>
        <v/>
      </c>
      <c r="AT70" s="90">
        <f t="shared" si="10"/>
        <v>23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15.8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30150</v>
      </c>
      <c r="AW70" s="92">
        <f t="shared" si="11"/>
        <v>7.1999999999999993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23.2</v>
      </c>
      <c r="L71" s="51">
        <v>23.2</v>
      </c>
      <c r="M71" s="51">
        <v>23</v>
      </c>
      <c r="N71" s="51">
        <v>23</v>
      </c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11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7"/>
        <v>4</v>
      </c>
      <c r="AQ71" s="89" t="str">
        <f t="shared" si="8"/>
        <v/>
      </c>
      <c r="AR71" s="89">
        <f>IFERROR(VLOOKUP(A71,Climatologia!A:U,9+$E$2,FALSE),"")</f>
        <v>21.655481553578049</v>
      </c>
      <c r="AS71" s="89" t="str">
        <f t="shared" si="9"/>
        <v/>
      </c>
      <c r="AT71" s="90">
        <f t="shared" si="10"/>
        <v>23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17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71" s="92">
        <f t="shared" si="11"/>
        <v>6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21.6</v>
      </c>
      <c r="L72" s="51">
        <v>21.6</v>
      </c>
      <c r="M72" s="51">
        <v>21</v>
      </c>
      <c r="N72" s="51">
        <v>21.4</v>
      </c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11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7"/>
        <v>4</v>
      </c>
      <c r="AQ72" s="89" t="str">
        <f t="shared" si="8"/>
        <v/>
      </c>
      <c r="AR72" s="89" t="str">
        <f>IFERROR(VLOOKUP(A72,Climatologia!A:U,9+$E$2,FALSE),"")</f>
        <v/>
      </c>
      <c r="AS72" s="89" t="str">
        <f t="shared" si="9"/>
        <v/>
      </c>
      <c r="AT72" s="90">
        <f t="shared" si="10"/>
        <v>21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19.2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43668</v>
      </c>
      <c r="AW72" s="92">
        <f t="shared" si="11"/>
        <v>1.8000000000000007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17.2</v>
      </c>
      <c r="L73" s="51">
        <v>16.2</v>
      </c>
      <c r="M73" s="51">
        <v>16.399999999999999</v>
      </c>
      <c r="N73" s="51">
        <v>17</v>
      </c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11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7"/>
        <v>4</v>
      </c>
      <c r="AQ73" s="89" t="str">
        <f t="shared" si="8"/>
        <v/>
      </c>
      <c r="AR73" s="89">
        <f>IFERROR(VLOOKUP(A73,Climatologia!A:U,9+$E$2,FALSE),"")</f>
        <v>16.31980835849356</v>
      </c>
      <c r="AS73" s="89" t="str">
        <f t="shared" si="9"/>
        <v/>
      </c>
      <c r="AT73" s="90">
        <f t="shared" si="10"/>
        <v>16.2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12.8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37817</v>
      </c>
      <c r="AW73" s="92">
        <f t="shared" si="11"/>
        <v>3.3999999999999986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13.2</v>
      </c>
      <c r="L74" s="51">
        <v>13.2</v>
      </c>
      <c r="M74" s="51">
        <v>12.4</v>
      </c>
      <c r="N74" s="51">
        <v>12.2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11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7"/>
        <v>4</v>
      </c>
      <c r="AQ74" s="89" t="str">
        <f t="shared" si="8"/>
        <v/>
      </c>
      <c r="AR74" s="89">
        <f>IFERROR(VLOOKUP(A74,Climatologia!A:U,9+$E$2,FALSE),"")</f>
        <v>11.80563736724846</v>
      </c>
      <c r="AS74" s="89" t="str">
        <f t="shared" si="9"/>
        <v/>
      </c>
      <c r="AT74" s="90">
        <f t="shared" si="10"/>
        <v>12.2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32351</v>
      </c>
      <c r="AW74" s="92">
        <f t="shared" si="11"/>
        <v>4.1999999999999993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17.2</v>
      </c>
      <c r="L75" s="51">
        <v>17</v>
      </c>
      <c r="M75" s="51"/>
      <c r="N75" s="51">
        <v>17</v>
      </c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11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7"/>
        <v>3</v>
      </c>
      <c r="AQ75" s="89" t="str">
        <f t="shared" si="8"/>
        <v/>
      </c>
      <c r="AR75" s="89">
        <f>IFERROR(VLOOKUP(A75,Climatologia!A:U,9+$E$2,FALSE),"")</f>
        <v>15.64745715221115</v>
      </c>
      <c r="AS75" s="89" t="str">
        <f t="shared" si="9"/>
        <v/>
      </c>
      <c r="AT75" s="90">
        <f t="shared" si="10"/>
        <v>17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10.4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75" s="92">
        <f t="shared" si="11"/>
        <v>6.6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16.399999999999999</v>
      </c>
      <c r="L76" s="51">
        <v>17.2</v>
      </c>
      <c r="M76" s="51">
        <v>15.6</v>
      </c>
      <c r="N76" s="51">
        <v>16.2</v>
      </c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11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7"/>
        <v>4</v>
      </c>
      <c r="AQ76" s="89" t="str">
        <f t="shared" si="8"/>
        <v/>
      </c>
      <c r="AR76" s="89">
        <f>IFERROR(VLOOKUP(A76,Climatologia!A:U,9+$E$2,FALSE),"")</f>
        <v>18.21514905534578</v>
      </c>
      <c r="AS76" s="89" t="str">
        <f t="shared" si="9"/>
        <v/>
      </c>
      <c r="AT76" s="90">
        <f t="shared" si="10"/>
        <v>15.6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14.6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76" s="92">
        <f t="shared" si="11"/>
        <v>1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24.8</v>
      </c>
      <c r="L77" s="51">
        <v>26.2</v>
      </c>
      <c r="M77" s="51">
        <v>25.2</v>
      </c>
      <c r="N77" s="51">
        <v>25.6</v>
      </c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11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7"/>
        <v>4</v>
      </c>
      <c r="AQ77" s="89" t="str">
        <f t="shared" si="8"/>
        <v/>
      </c>
      <c r="AR77" s="89">
        <f>IFERROR(VLOOKUP(A77,Climatologia!A:U,9+$E$2,FALSE),"")</f>
        <v>23.98594554377442</v>
      </c>
      <c r="AS77" s="89" t="str">
        <f t="shared" si="9"/>
        <v/>
      </c>
      <c r="AT77" s="90">
        <f t="shared" si="10"/>
        <v>24.8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19.399999999999999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29042</v>
      </c>
      <c r="AW77" s="92">
        <f t="shared" si="11"/>
        <v>5.4000000000000021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23.4</v>
      </c>
      <c r="L78" s="51">
        <v>23.6</v>
      </c>
      <c r="M78" s="51">
        <v>23.4</v>
      </c>
      <c r="N78" s="51">
        <v>24.2</v>
      </c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11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7"/>
        <v>4</v>
      </c>
      <c r="AQ78" s="89" t="str">
        <f t="shared" si="8"/>
        <v/>
      </c>
      <c r="AR78" s="89">
        <f>IFERROR(VLOOKUP(A78,Climatologia!A:U,9+$E$2,FALSE),"")</f>
        <v>23.030800614819611</v>
      </c>
      <c r="AS78" s="89" t="str">
        <f t="shared" si="9"/>
        <v/>
      </c>
      <c r="AT78" s="90">
        <f t="shared" si="10"/>
        <v>23.4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78" s="92">
        <f t="shared" si="11"/>
        <v>5.1999999999999993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7"/>
        <v>0</v>
      </c>
      <c r="AQ79" s="89" t="str">
        <f t="shared" si="8"/>
        <v/>
      </c>
      <c r="AR79" s="89">
        <f>IFERROR(VLOOKUP(A79,Climatologia!A:U,9+$E$2,FALSE),"")</f>
        <v>15.20904351496088</v>
      </c>
      <c r="AS79" s="89" t="str">
        <f t="shared" si="9"/>
        <v/>
      </c>
      <c r="AT79" s="90" t="str">
        <f t="shared" si="10"/>
        <v/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1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7"/>
        <v>0</v>
      </c>
      <c r="AQ80" s="89" t="str">
        <f t="shared" si="8"/>
        <v/>
      </c>
      <c r="AR80" s="89">
        <f>IFERROR(VLOOKUP(A80,Climatologia!A:U,9+$E$2,FALSE),"")</f>
        <v>20.420246040574181</v>
      </c>
      <c r="AS80" s="89" t="str">
        <f t="shared" si="9"/>
        <v/>
      </c>
      <c r="AT80" s="90" t="str">
        <f t="shared" si="10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15.4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80" s="92" t="str">
        <f t="shared" si="11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/>
      <c r="L81" s="51">
        <v>22.6</v>
      </c>
      <c r="M81" s="51">
        <v>22.8</v>
      </c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7"/>
        <v>2</v>
      </c>
      <c r="AQ81" s="89" t="str">
        <f t="shared" si="8"/>
        <v/>
      </c>
      <c r="AR81" s="89">
        <f>IFERROR(VLOOKUP(A81,Climatologia!A:U,9+$E$2,FALSE),"")</f>
        <v>21.607376978198339</v>
      </c>
      <c r="AS81" s="89" t="str">
        <f t="shared" si="9"/>
        <v/>
      </c>
      <c r="AT81" s="90">
        <f t="shared" si="10"/>
        <v>22.6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17.600000000000001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34526</v>
      </c>
      <c r="AW81" s="92">
        <f t="shared" si="11"/>
        <v>5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7"/>
        <v>0</v>
      </c>
      <c r="AQ82" s="89" t="str">
        <f t="shared" si="8"/>
        <v/>
      </c>
      <c r="AR82" s="89" t="str">
        <f>IFERROR(VLOOKUP(A82,Climatologia!A:U,9+$E$2,FALSE),"")</f>
        <v/>
      </c>
      <c r="AS82" s="89" t="str">
        <f t="shared" si="9"/>
        <v/>
      </c>
      <c r="AT82" s="90" t="str">
        <f t="shared" si="10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37092</v>
      </c>
      <c r="AW82" s="92" t="str">
        <f t="shared" si="11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26.2</v>
      </c>
      <c r="L83" s="51">
        <v>27.6</v>
      </c>
      <c r="M83" s="51">
        <v>25</v>
      </c>
      <c r="N83" s="51">
        <v>25.2</v>
      </c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11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7"/>
        <v>4</v>
      </c>
      <c r="AQ83" s="89" t="str">
        <f t="shared" si="8"/>
        <v/>
      </c>
      <c r="AR83" s="89" t="str">
        <f>IFERROR(VLOOKUP(A83,Climatologia!A:U,9+$E$2,FALSE),"")</f>
        <v/>
      </c>
      <c r="AS83" s="89" t="str">
        <f t="shared" si="9"/>
        <v/>
      </c>
      <c r="AT83" s="90">
        <f t="shared" si="10"/>
        <v>25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17.600000000000001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34542</v>
      </c>
      <c r="AW83" s="92">
        <f t="shared" si="11"/>
        <v>7.3999999999999986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26.6</v>
      </c>
      <c r="L84" s="51">
        <v>25.6</v>
      </c>
      <c r="M84" s="51">
        <v>26.4</v>
      </c>
      <c r="N84" s="51">
        <v>25.8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11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7"/>
        <v>4</v>
      </c>
      <c r="AQ84" s="89" t="str">
        <f t="shared" si="8"/>
        <v/>
      </c>
      <c r="AR84" s="89">
        <f>IFERROR(VLOOKUP(A84,Climatologia!A:U,9+$E$2,FALSE),"")</f>
        <v>23.66046866958937</v>
      </c>
      <c r="AS84" s="89" t="str">
        <f t="shared" si="9"/>
        <v/>
      </c>
      <c r="AT84" s="90">
        <f t="shared" si="10"/>
        <v>25.6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15.2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33077</v>
      </c>
      <c r="AW84" s="92">
        <f t="shared" si="11"/>
        <v>10.400000000000002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</v>
      </c>
      <c r="L85" s="51">
        <v>26</v>
      </c>
      <c r="M85" s="51">
        <v>25.6</v>
      </c>
      <c r="N85" s="51">
        <v>25</v>
      </c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11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7"/>
        <v>4</v>
      </c>
      <c r="AQ85" s="89" t="str">
        <f t="shared" si="8"/>
        <v/>
      </c>
      <c r="AR85" s="89">
        <f>IFERROR(VLOOKUP(A85,Climatologia!A:U,9+$E$2,FALSE),"")</f>
        <v>23.305497603590929</v>
      </c>
      <c r="AS85" s="89" t="str">
        <f t="shared" si="9"/>
        <v/>
      </c>
      <c r="AT85" s="90">
        <f t="shared" si="10"/>
        <v>25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18.8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36718</v>
      </c>
      <c r="AW85" s="92">
        <f t="shared" si="11"/>
        <v>6.1999999999999993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23.4</v>
      </c>
      <c r="L86" s="51">
        <v>22</v>
      </c>
      <c r="M86" s="51">
        <v>22.8</v>
      </c>
      <c r="N86" s="51">
        <v>21.6</v>
      </c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11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7"/>
        <v>4</v>
      </c>
      <c r="AQ86" s="89" t="str">
        <f t="shared" si="8"/>
        <v/>
      </c>
      <c r="AR86" s="89">
        <f>IFERROR(VLOOKUP(A86,Climatologia!A:U,9+$E$2,FALSE),"")</f>
        <v>22.830460829493081</v>
      </c>
      <c r="AS86" s="89" t="str">
        <f t="shared" si="9"/>
        <v/>
      </c>
      <c r="AT86" s="90">
        <f t="shared" si="10"/>
        <v>21.6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16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39646</v>
      </c>
      <c r="AW86" s="92">
        <f t="shared" si="11"/>
        <v>5.6000000000000014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28.2</v>
      </c>
      <c r="M87" s="51">
        <v>26.8</v>
      </c>
      <c r="N87" s="51">
        <v>26</v>
      </c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11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7"/>
        <v>4</v>
      </c>
      <c r="AQ87" s="89" t="str">
        <f t="shared" si="8"/>
        <v/>
      </c>
      <c r="AR87" s="89">
        <f>IFERROR(VLOOKUP(A87,Climatologia!A:U,9+$E$2,FALSE),"")</f>
        <v>23.82157476757439</v>
      </c>
      <c r="AS87" s="89" t="str">
        <f t="shared" si="9"/>
        <v/>
      </c>
      <c r="AT87" s="90">
        <f t="shared" si="10"/>
        <v>26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18.2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44407</v>
      </c>
      <c r="AW87" s="92">
        <f t="shared" si="11"/>
        <v>7.8000000000000007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28.4</v>
      </c>
      <c r="L88" s="51">
        <v>27.4</v>
      </c>
      <c r="M88" s="51">
        <v>27.6</v>
      </c>
      <c r="N88" s="51">
        <v>26.6</v>
      </c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11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7"/>
        <v>4</v>
      </c>
      <c r="AQ88" s="89" t="str">
        <f t="shared" si="8"/>
        <v/>
      </c>
      <c r="AR88" s="89">
        <f>IFERROR(VLOOKUP(A88,Climatologia!A:U,9+$E$2,FALSE),"")</f>
        <v>23.447051220933311</v>
      </c>
      <c r="AS88" s="89" t="str">
        <f t="shared" si="9"/>
        <v/>
      </c>
      <c r="AT88" s="90">
        <f t="shared" si="10"/>
        <v>26.6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36732</v>
      </c>
      <c r="AW88" s="92">
        <f t="shared" si="11"/>
        <v>10.600000000000001</v>
      </c>
    </row>
    <row r="89" spans="1:49" ht="14.25" customHeight="1" x14ac:dyDescent="0.2">
      <c r="A89" s="48">
        <v>23125100</v>
      </c>
      <c r="B89" s="52" t="s">
        <v>209</v>
      </c>
      <c r="C89" s="52" t="s">
        <v>210</v>
      </c>
      <c r="D89" s="53">
        <v>-73.943111110000004</v>
      </c>
      <c r="E89" s="53">
        <v>5.5149166669999996</v>
      </c>
      <c r="F89" s="48">
        <v>2200</v>
      </c>
      <c r="G89" s="46">
        <v>15</v>
      </c>
      <c r="H89" s="46">
        <v>15109</v>
      </c>
      <c r="I89" s="55" t="s">
        <v>211</v>
      </c>
      <c r="J89" s="55" t="s">
        <v>209</v>
      </c>
      <c r="K89" s="51">
        <v>13.8</v>
      </c>
      <c r="L89" s="51">
        <v>12</v>
      </c>
      <c r="M89" s="51">
        <v>12</v>
      </c>
      <c r="N89" s="51">
        <v>11.4</v>
      </c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11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88">
        <f t="shared" si="7"/>
        <v>4</v>
      </c>
      <c r="AQ89" s="89" t="str">
        <f t="shared" si="8"/>
        <v/>
      </c>
      <c r="AR89" s="89">
        <f>IFERROR(VLOOKUP(A89,Climatologia!A:U,9+$E$2,FALSE),"")</f>
        <v>11.21</v>
      </c>
      <c r="AS89" s="89" t="str">
        <f t="shared" si="9"/>
        <v/>
      </c>
      <c r="AT89" s="90">
        <f t="shared" si="10"/>
        <v>11.4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4.4000000000000004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36723</v>
      </c>
      <c r="AW89" s="92">
        <f t="shared" si="11"/>
        <v>7</v>
      </c>
    </row>
    <row r="90" spans="1:49" ht="14.25" customHeight="1" x14ac:dyDescent="0.2">
      <c r="A90" s="48">
        <v>23125140</v>
      </c>
      <c r="B90" s="52" t="s">
        <v>212</v>
      </c>
      <c r="C90" s="52" t="s">
        <v>210</v>
      </c>
      <c r="D90" s="53">
        <v>-74.182416669999995</v>
      </c>
      <c r="E90" s="53">
        <v>5.5208333329999997</v>
      </c>
      <c r="F90" s="48">
        <v>1250</v>
      </c>
      <c r="G90" s="46">
        <v>15</v>
      </c>
      <c r="H90" s="46">
        <v>15580</v>
      </c>
      <c r="I90" s="55" t="s">
        <v>211</v>
      </c>
      <c r="J90" s="55" t="s">
        <v>213</v>
      </c>
      <c r="K90" s="51">
        <v>17.399999999999999</v>
      </c>
      <c r="L90" s="51">
        <v>18</v>
      </c>
      <c r="M90" s="51">
        <v>17.600000000000001</v>
      </c>
      <c r="N90" s="51">
        <v>17.399999999999999</v>
      </c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11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7"/>
        <v>4</v>
      </c>
      <c r="AQ90" s="89" t="str">
        <f t="shared" si="8"/>
        <v/>
      </c>
      <c r="AR90" s="89">
        <f>IFERROR(VLOOKUP(A90,Climatologia!A:U,9+$E$2,FALSE),"")</f>
        <v>17.613159782779519</v>
      </c>
      <c r="AS90" s="89" t="str">
        <f t="shared" si="9"/>
        <v/>
      </c>
      <c r="AT90" s="90">
        <f t="shared" si="10"/>
        <v>17.399999999999999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14.2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37803</v>
      </c>
      <c r="AW90" s="92">
        <f t="shared" si="11"/>
        <v>3.1999999999999993</v>
      </c>
    </row>
    <row r="91" spans="1:49" ht="14.25" customHeight="1" x14ac:dyDescent="0.2">
      <c r="A91" s="48">
        <v>24015090</v>
      </c>
      <c r="B91" s="52" t="s">
        <v>214</v>
      </c>
      <c r="C91" s="52" t="s">
        <v>210</v>
      </c>
      <c r="D91" s="53">
        <v>-73.602277779999994</v>
      </c>
      <c r="E91" s="53">
        <v>5.7106666669999999</v>
      </c>
      <c r="F91" s="48">
        <v>2300</v>
      </c>
      <c r="G91" s="46">
        <v>15</v>
      </c>
      <c r="H91" s="46">
        <v>15696</v>
      </c>
      <c r="I91" s="55" t="s">
        <v>211</v>
      </c>
      <c r="J91" s="55" t="s">
        <v>215</v>
      </c>
      <c r="K91" s="51">
        <v>10.4</v>
      </c>
      <c r="L91" s="51">
        <v>10.6</v>
      </c>
      <c r="M91" s="51">
        <v>11.6</v>
      </c>
      <c r="N91" s="51">
        <v>11.8</v>
      </c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11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7"/>
        <v>4</v>
      </c>
      <c r="AQ91" s="89" t="str">
        <f t="shared" si="8"/>
        <v/>
      </c>
      <c r="AR91" s="89">
        <f>IFERROR(VLOOKUP(A91,Climatologia!A:U,9+$E$2,FALSE),"")</f>
        <v>11.47881802826185</v>
      </c>
      <c r="AS91" s="89" t="str">
        <f t="shared" si="9"/>
        <v/>
      </c>
      <c r="AT91" s="90">
        <f t="shared" si="10"/>
        <v>10.4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5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91" s="92">
        <f t="shared" si="11"/>
        <v>5.4</v>
      </c>
    </row>
    <row r="92" spans="1:49" ht="14.25" customHeight="1" x14ac:dyDescent="0.2">
      <c r="A92" s="48">
        <v>24015220</v>
      </c>
      <c r="B92" s="52" t="s">
        <v>216</v>
      </c>
      <c r="C92" s="52" t="s">
        <v>210</v>
      </c>
      <c r="D92" s="53">
        <v>-73.495777779999997</v>
      </c>
      <c r="E92" s="53">
        <v>5.5093888890000002</v>
      </c>
      <c r="F92" s="48">
        <v>2600</v>
      </c>
      <c r="G92" s="46">
        <v>15</v>
      </c>
      <c r="H92" s="46">
        <v>15646</v>
      </c>
      <c r="I92" s="55" t="s">
        <v>211</v>
      </c>
      <c r="J92" s="55" t="s">
        <v>217</v>
      </c>
      <c r="K92" s="51">
        <v>10.6</v>
      </c>
      <c r="L92" s="51">
        <v>10</v>
      </c>
      <c r="M92" s="51">
        <v>10.6</v>
      </c>
      <c r="N92" s="51">
        <v>10.6</v>
      </c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11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7"/>
        <v>4</v>
      </c>
      <c r="AQ92" s="89" t="str">
        <f t="shared" si="8"/>
        <v/>
      </c>
      <c r="AR92" s="89">
        <f>IFERROR(VLOOKUP(A92,Climatologia!A:U,9+$E$2,FALSE),"")</f>
        <v>8.9015099398191726</v>
      </c>
      <c r="AS92" s="89" t="str">
        <f t="shared" si="9"/>
        <v/>
      </c>
      <c r="AT92" s="90">
        <f t="shared" si="10"/>
        <v>10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-1.4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2" s="92">
        <f t="shared" si="11"/>
        <v>11.4</v>
      </c>
    </row>
    <row r="93" spans="1:49" ht="14.25" customHeight="1" x14ac:dyDescent="0.2">
      <c r="A93" s="48">
        <v>24015300</v>
      </c>
      <c r="B93" s="52" t="s">
        <v>218</v>
      </c>
      <c r="C93" s="52" t="s">
        <v>210</v>
      </c>
      <c r="D93" s="53">
        <v>-73.517740000000003</v>
      </c>
      <c r="E93" s="53">
        <v>5.6432599999999997</v>
      </c>
      <c r="F93" s="48">
        <v>2174</v>
      </c>
      <c r="G93" s="46">
        <v>15</v>
      </c>
      <c r="H93" s="46">
        <v>15407</v>
      </c>
      <c r="I93" s="55" t="s">
        <v>211</v>
      </c>
      <c r="J93" s="55" t="s">
        <v>219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7"/>
        <v>0</v>
      </c>
      <c r="AQ93" s="89" t="str">
        <f t="shared" si="8"/>
        <v/>
      </c>
      <c r="AR93" s="89">
        <f>IFERROR(VLOOKUP(A93,Climatologia!A:U,9+$E$2,FALSE),"")</f>
        <v>10.516628421304731</v>
      </c>
      <c r="AS93" s="89" t="str">
        <f t="shared" si="9"/>
        <v/>
      </c>
      <c r="AT93" s="90" t="str">
        <f t="shared" si="10"/>
        <v/>
      </c>
      <c r="AU93" s="90" t="str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/>
      </c>
      <c r="AV93" s="91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3" s="92" t="str">
        <f t="shared" si="11"/>
        <v>NA</v>
      </c>
    </row>
    <row r="94" spans="1:49" ht="14.25" customHeight="1" x14ac:dyDescent="0.2">
      <c r="A94" s="48">
        <v>24015360</v>
      </c>
      <c r="B94" s="52" t="s">
        <v>220</v>
      </c>
      <c r="C94" s="52" t="s">
        <v>210</v>
      </c>
      <c r="D94" s="53">
        <v>-73.759</v>
      </c>
      <c r="E94" s="53">
        <v>5.6962222220000003</v>
      </c>
      <c r="F94" s="48">
        <v>2550</v>
      </c>
      <c r="G94" s="46">
        <v>15</v>
      </c>
      <c r="H94" s="46">
        <v>15632</v>
      </c>
      <c r="I94" s="55" t="s">
        <v>211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7"/>
        <v>0</v>
      </c>
      <c r="AQ94" s="89" t="str">
        <f t="shared" si="8"/>
        <v/>
      </c>
      <c r="AR94" s="89" t="str">
        <f>IFERROR(VLOOKUP(A94,Climatologia!A:U,9+$E$2,FALSE),"")</f>
        <v/>
      </c>
      <c r="AS94" s="89" t="str">
        <f t="shared" si="9"/>
        <v/>
      </c>
      <c r="AT94" s="90" t="str">
        <f t="shared" si="10"/>
        <v/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>-0.6</v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>40361</v>
      </c>
      <c r="AW94" s="92" t="str">
        <f t="shared" si="11"/>
        <v>NA</v>
      </c>
    </row>
    <row r="95" spans="1:49" ht="14.25" customHeight="1" x14ac:dyDescent="0.2">
      <c r="A95" s="48">
        <v>24035040</v>
      </c>
      <c r="B95" s="52" t="s">
        <v>222</v>
      </c>
      <c r="C95" s="52" t="s">
        <v>210</v>
      </c>
      <c r="D95" s="53">
        <v>-73.208777777999998</v>
      </c>
      <c r="E95" s="53">
        <v>5.5791944439999996</v>
      </c>
      <c r="F95" s="48">
        <v>2700</v>
      </c>
      <c r="G95" s="46">
        <v>15</v>
      </c>
      <c r="H95" s="46">
        <v>15814</v>
      </c>
      <c r="I95" s="55" t="s">
        <v>211</v>
      </c>
      <c r="J95" s="55" t="s">
        <v>223</v>
      </c>
      <c r="K95" s="51">
        <v>9</v>
      </c>
      <c r="L95" s="51">
        <v>5.8</v>
      </c>
      <c r="M95" s="51">
        <v>7</v>
      </c>
      <c r="N95" s="51">
        <v>10</v>
      </c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7"/>
        <v>4</v>
      </c>
      <c r="AQ95" s="89" t="str">
        <f t="shared" si="8"/>
        <v/>
      </c>
      <c r="AR95" s="89">
        <f>IFERROR(VLOOKUP(A95,Climatologia!A:U,9+$E$2,FALSE),"")</f>
        <v>7.2926861266282854</v>
      </c>
      <c r="AS95" s="89" t="str">
        <f t="shared" si="9"/>
        <v/>
      </c>
      <c r="AT95" s="90">
        <f t="shared" si="10"/>
        <v>5.8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1.2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37808</v>
      </c>
      <c r="AW95" s="92">
        <f t="shared" si="11"/>
        <v>4.5999999999999996</v>
      </c>
    </row>
    <row r="96" spans="1:49" ht="14.25" customHeight="1" x14ac:dyDescent="0.2">
      <c r="A96" s="48">
        <v>24035070</v>
      </c>
      <c r="B96" s="52" t="s">
        <v>224</v>
      </c>
      <c r="C96" s="52" t="s">
        <v>210</v>
      </c>
      <c r="D96" s="53">
        <v>-72.409194439999993</v>
      </c>
      <c r="E96" s="53">
        <v>6.463472222</v>
      </c>
      <c r="F96" s="48">
        <v>2963</v>
      </c>
      <c r="G96" s="46">
        <v>15</v>
      </c>
      <c r="H96" s="46">
        <v>15332</v>
      </c>
      <c r="I96" s="55" t="s">
        <v>211</v>
      </c>
      <c r="J96" s="55" t="s">
        <v>225</v>
      </c>
      <c r="K96" s="51">
        <v>8.9</v>
      </c>
      <c r="L96" s="51">
        <v>9</v>
      </c>
      <c r="M96" s="51">
        <v>9.4</v>
      </c>
      <c r="N96" s="51">
        <v>9</v>
      </c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11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7"/>
        <v>4</v>
      </c>
      <c r="AQ96" s="89" t="str">
        <f t="shared" si="8"/>
        <v/>
      </c>
      <c r="AR96" s="89">
        <f>IFERROR(VLOOKUP(A96,Climatologia!A:U,9+$E$2,FALSE),"")</f>
        <v>8.3150202936469455</v>
      </c>
      <c r="AS96" s="89" t="str">
        <f t="shared" si="9"/>
        <v/>
      </c>
      <c r="AT96" s="90">
        <f t="shared" si="10"/>
        <v>8.9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3.6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96" s="92">
        <f t="shared" si="11"/>
        <v>5.3000000000000007</v>
      </c>
    </row>
    <row r="97" spans="1:49" ht="14.25" customHeight="1" x14ac:dyDescent="0.2">
      <c r="A97" s="48">
        <v>24035120</v>
      </c>
      <c r="B97" s="52" t="s">
        <v>226</v>
      </c>
      <c r="C97" s="52" t="s">
        <v>210</v>
      </c>
      <c r="D97" s="53">
        <v>-73.074472220000004</v>
      </c>
      <c r="E97" s="53">
        <v>5.8024444439999998</v>
      </c>
      <c r="F97" s="48">
        <v>2485</v>
      </c>
      <c r="G97" s="46">
        <v>15</v>
      </c>
      <c r="H97" s="46">
        <v>15238</v>
      </c>
      <c r="I97" s="55" t="s">
        <v>211</v>
      </c>
      <c r="J97" s="55" t="s">
        <v>227</v>
      </c>
      <c r="K97" s="51"/>
      <c r="L97" s="51"/>
      <c r="M97" s="51"/>
      <c r="N97" s="51">
        <v>6.2</v>
      </c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7"/>
        <v>1</v>
      </c>
      <c r="AQ97" s="89" t="str">
        <f t="shared" si="8"/>
        <v/>
      </c>
      <c r="AR97" s="89">
        <f>IFERROR(VLOOKUP(A97,Climatologia!A:U,9+$E$2,FALSE),"")</f>
        <v>6.6085478664622164</v>
      </c>
      <c r="AS97" s="89" t="str">
        <f t="shared" si="9"/>
        <v/>
      </c>
      <c r="AT97" s="90">
        <f t="shared" si="10"/>
        <v>6.2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-1.4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7" s="92">
        <f t="shared" si="11"/>
        <v>7.6</v>
      </c>
    </row>
    <row r="98" spans="1:49" ht="14.25" customHeight="1" x14ac:dyDescent="0.2">
      <c r="A98" s="48">
        <v>24035130</v>
      </c>
      <c r="B98" s="52" t="s">
        <v>228</v>
      </c>
      <c r="C98" s="52" t="s">
        <v>210</v>
      </c>
      <c r="D98" s="53">
        <v>-73.360813059999998</v>
      </c>
      <c r="E98" s="53">
        <v>5.5430774999999999</v>
      </c>
      <c r="F98" s="48">
        <v>2690</v>
      </c>
      <c r="G98" s="46">
        <v>15</v>
      </c>
      <c r="H98" s="46">
        <v>15001</v>
      </c>
      <c r="I98" s="55" t="s">
        <v>211</v>
      </c>
      <c r="J98" s="55" t="s">
        <v>229</v>
      </c>
      <c r="K98" s="51">
        <v>10</v>
      </c>
      <c r="L98" s="51">
        <v>7.2</v>
      </c>
      <c r="M98" s="51">
        <v>10.199999999999999</v>
      </c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11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7"/>
        <v>3</v>
      </c>
      <c r="AQ98" s="89" t="str">
        <f t="shared" si="8"/>
        <v/>
      </c>
      <c r="AR98" s="89">
        <f>IFERROR(VLOOKUP(A98,Climatologia!A:U,9+$E$2,FALSE),"")</f>
        <v>8.6035988588983976</v>
      </c>
      <c r="AS98" s="89" t="str">
        <f t="shared" si="9"/>
        <v/>
      </c>
      <c r="AT98" s="90">
        <f t="shared" si="10"/>
        <v>7.2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1.8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8" s="92">
        <f t="shared" si="11"/>
        <v>5.4</v>
      </c>
    </row>
    <row r="99" spans="1:49" ht="14.25" customHeight="1" x14ac:dyDescent="0.2">
      <c r="A99" s="48">
        <v>24035250</v>
      </c>
      <c r="B99" s="52" t="s">
        <v>230</v>
      </c>
      <c r="C99" s="52" t="s">
        <v>210</v>
      </c>
      <c r="D99" s="53">
        <v>-72.465559999999996</v>
      </c>
      <c r="E99" s="53">
        <v>6.1877800000000001</v>
      </c>
      <c r="F99" s="48">
        <v>2961</v>
      </c>
      <c r="G99" s="46">
        <v>15</v>
      </c>
      <c r="H99" s="46">
        <v>15183</v>
      </c>
      <c r="I99" s="55" t="s">
        <v>211</v>
      </c>
      <c r="J99" s="55" t="s">
        <v>231</v>
      </c>
      <c r="K99" s="51">
        <v>9.6</v>
      </c>
      <c r="L99" s="51"/>
      <c r="M99" s="51">
        <v>9</v>
      </c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11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7"/>
        <v>2</v>
      </c>
      <c r="AQ99" s="89" t="str">
        <f t="shared" si="8"/>
        <v/>
      </c>
      <c r="AR99" s="89">
        <f>IFERROR(VLOOKUP(A99,Climatologia!A:U,9+$E$2,FALSE),"")</f>
        <v>7.1380787981158749</v>
      </c>
      <c r="AS99" s="89" t="str">
        <f t="shared" si="9"/>
        <v/>
      </c>
      <c r="AT99" s="90">
        <f t="shared" si="10"/>
        <v>9</v>
      </c>
      <c r="AU99" s="90" t="str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/>
      </c>
      <c r="AV99" s="91" t="str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9" s="92" t="str">
        <f t="shared" si="11"/>
        <v>NA</v>
      </c>
    </row>
    <row r="100" spans="1:49" ht="14.25" customHeight="1" x14ac:dyDescent="0.2">
      <c r="A100" s="48">
        <v>24035260</v>
      </c>
      <c r="B100" s="52" t="s">
        <v>232</v>
      </c>
      <c r="C100" s="52" t="s">
        <v>210</v>
      </c>
      <c r="D100" s="53">
        <v>-72.696611110000006</v>
      </c>
      <c r="E100" s="53">
        <v>6.5207222219999998</v>
      </c>
      <c r="F100" s="48">
        <v>1160</v>
      </c>
      <c r="G100" s="46">
        <v>68</v>
      </c>
      <c r="H100" s="46">
        <v>68147</v>
      </c>
      <c r="I100" s="55" t="s">
        <v>50</v>
      </c>
      <c r="J100" s="55" t="s">
        <v>232</v>
      </c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7"/>
        <v>0</v>
      </c>
      <c r="AQ100" s="89" t="str">
        <f t="shared" si="8"/>
        <v/>
      </c>
      <c r="AR100" s="89">
        <f>IFERROR(VLOOKUP(A100,Climatologia!A:U,9+$E$2,FALSE),"")</f>
        <v>17.58747112704102</v>
      </c>
      <c r="AS100" s="89" t="str">
        <f t="shared" si="9"/>
        <v/>
      </c>
      <c r="AT100" s="90" t="str">
        <f t="shared" si="10"/>
        <v/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>12</v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>35989</v>
      </c>
      <c r="AW100" s="92" t="str">
        <f t="shared" si="11"/>
        <v>NA</v>
      </c>
    </row>
    <row r="101" spans="1:49" ht="14.25" customHeight="1" x14ac:dyDescent="0.2">
      <c r="A101" s="48">
        <v>24035310</v>
      </c>
      <c r="B101" s="52" t="s">
        <v>233</v>
      </c>
      <c r="C101" s="52" t="s">
        <v>210</v>
      </c>
      <c r="D101" s="53">
        <v>-72.504722220000005</v>
      </c>
      <c r="E101" s="53">
        <v>6.5495277779999999</v>
      </c>
      <c r="F101" s="48">
        <v>2350</v>
      </c>
      <c r="G101" s="46">
        <v>15</v>
      </c>
      <c r="H101" s="46">
        <v>15180</v>
      </c>
      <c r="I101" s="55" t="s">
        <v>211</v>
      </c>
      <c r="J101" s="55" t="s">
        <v>233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7"/>
        <v>0</v>
      </c>
      <c r="AQ101" s="89" t="str">
        <f t="shared" si="8"/>
        <v/>
      </c>
      <c r="AR101" s="89">
        <f>IFERROR(VLOOKUP(A101,Climatologia!A:U,9+$E$2,FALSE),"")</f>
        <v>10.726671292953201</v>
      </c>
      <c r="AS101" s="89" t="str">
        <f t="shared" si="9"/>
        <v/>
      </c>
      <c r="AT101" s="90" t="str">
        <f t="shared" si="10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5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31246</v>
      </c>
      <c r="AW101" s="92" t="str">
        <f t="shared" si="11"/>
        <v>NA</v>
      </c>
    </row>
    <row r="102" spans="1:49" ht="14.25" customHeight="1" x14ac:dyDescent="0.2">
      <c r="A102" s="48">
        <v>24035330</v>
      </c>
      <c r="B102" s="52" t="s">
        <v>234</v>
      </c>
      <c r="C102" s="52" t="s">
        <v>210</v>
      </c>
      <c r="D102" s="53">
        <v>-72.582277779999998</v>
      </c>
      <c r="E102" s="53">
        <v>6.328972222</v>
      </c>
      <c r="F102" s="48">
        <v>2150</v>
      </c>
      <c r="G102" s="46">
        <v>15</v>
      </c>
      <c r="H102" s="46">
        <v>15097</v>
      </c>
      <c r="I102" s="55" t="s">
        <v>211</v>
      </c>
      <c r="J102" s="55" t="s">
        <v>234</v>
      </c>
      <c r="K102" s="51">
        <v>12.2</v>
      </c>
      <c r="L102" s="51">
        <v>12</v>
      </c>
      <c r="M102" s="51">
        <v>12</v>
      </c>
      <c r="N102" s="51">
        <v>12</v>
      </c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7"/>
        <v>4</v>
      </c>
      <c r="AQ102" s="89" t="str">
        <f t="shared" si="8"/>
        <v/>
      </c>
      <c r="AR102" s="89">
        <f>IFERROR(VLOOKUP(A102,Climatologia!A:U,9+$E$2,FALSE),"")</f>
        <v>11.27595769595214</v>
      </c>
      <c r="AS102" s="89" t="str">
        <f t="shared" si="9"/>
        <v/>
      </c>
      <c r="AT102" s="90">
        <f t="shared" si="10"/>
        <v>12</v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6.6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33057</v>
      </c>
      <c r="AW102" s="92">
        <f t="shared" si="11"/>
        <v>5.4</v>
      </c>
    </row>
    <row r="103" spans="1:49" ht="14.25" customHeight="1" x14ac:dyDescent="0.2">
      <c r="A103" s="48">
        <v>24035420</v>
      </c>
      <c r="B103" s="52" t="s">
        <v>235</v>
      </c>
      <c r="C103" s="52" t="s">
        <v>210</v>
      </c>
      <c r="D103" s="53">
        <v>-72.938500000000005</v>
      </c>
      <c r="E103" s="53">
        <v>5.96225</v>
      </c>
      <c r="F103" s="48">
        <v>2643</v>
      </c>
      <c r="G103" s="46">
        <v>15</v>
      </c>
      <c r="H103" s="46">
        <v>15162</v>
      </c>
      <c r="I103" s="55" t="s">
        <v>211</v>
      </c>
      <c r="J103" s="55" t="s">
        <v>235</v>
      </c>
      <c r="K103" s="51">
        <v>7.8</v>
      </c>
      <c r="L103" s="109">
        <v>3.6</v>
      </c>
      <c r="M103" s="51"/>
      <c r="N103" s="51">
        <v>7</v>
      </c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11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7"/>
        <v>3</v>
      </c>
      <c r="AQ103" s="89" t="str">
        <f t="shared" si="8"/>
        <v/>
      </c>
      <c r="AR103" s="89">
        <f>IFERROR(VLOOKUP(A103,Climatologia!A:U,9+$E$2,FALSE),"")</f>
        <v>5.4140939864595783</v>
      </c>
      <c r="AS103" s="89" t="str">
        <f t="shared" si="9"/>
        <v/>
      </c>
      <c r="AT103" s="90">
        <f t="shared" si="10"/>
        <v>3.6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-1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41467</v>
      </c>
      <c r="AW103" s="92">
        <f t="shared" si="11"/>
        <v>4.5999999999999996</v>
      </c>
    </row>
    <row r="104" spans="1:49" ht="14.25" customHeight="1" x14ac:dyDescent="0.2">
      <c r="A104" s="48">
        <v>24035430</v>
      </c>
      <c r="B104" s="52" t="s">
        <v>236</v>
      </c>
      <c r="C104" s="52" t="s">
        <v>210</v>
      </c>
      <c r="D104" s="53">
        <v>-73.11636</v>
      </c>
      <c r="E104" s="53">
        <v>5.7458299999999998</v>
      </c>
      <c r="F104" s="48">
        <v>2521</v>
      </c>
      <c r="G104" s="46">
        <v>15</v>
      </c>
      <c r="H104" s="46">
        <v>15516</v>
      </c>
      <c r="I104" s="55" t="s">
        <v>211</v>
      </c>
      <c r="J104" s="55" t="s">
        <v>237</v>
      </c>
      <c r="K104" s="51">
        <v>4.2</v>
      </c>
      <c r="L104" s="51">
        <v>4.2</v>
      </c>
      <c r="M104" s="51">
        <v>6.8</v>
      </c>
      <c r="N104" s="51">
        <v>8.1999999999999993</v>
      </c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11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7"/>
        <v>4</v>
      </c>
      <c r="AQ104" s="89" t="str">
        <f t="shared" si="8"/>
        <v/>
      </c>
      <c r="AR104" s="89">
        <f>IFERROR(VLOOKUP(A104,Climatologia!A:U,9+$E$2,FALSE),"")</f>
        <v>6.7483058935476308</v>
      </c>
      <c r="AS104" s="89" t="str">
        <f t="shared" si="9"/>
        <v/>
      </c>
      <c r="AT104" s="90">
        <f t="shared" si="10"/>
        <v>4.2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-1.4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04" s="92">
        <f t="shared" si="11"/>
        <v>5.6</v>
      </c>
    </row>
    <row r="105" spans="1:49" ht="14.25" customHeight="1" x14ac:dyDescent="0.2">
      <c r="A105" s="48">
        <v>35075010</v>
      </c>
      <c r="B105" s="52" t="s">
        <v>238</v>
      </c>
      <c r="C105" s="52" t="s">
        <v>210</v>
      </c>
      <c r="D105" s="53">
        <v>-73.453777779999996</v>
      </c>
      <c r="E105" s="53">
        <v>5.3526944439999999</v>
      </c>
      <c r="F105" s="48">
        <v>2438</v>
      </c>
      <c r="G105" s="46">
        <v>15</v>
      </c>
      <c r="H105" s="46">
        <v>15494</v>
      </c>
      <c r="I105" s="55" t="s">
        <v>211</v>
      </c>
      <c r="J105" s="55" t="s">
        <v>239</v>
      </c>
      <c r="K105" s="51">
        <v>11.2</v>
      </c>
      <c r="L105" s="51">
        <v>11.4</v>
      </c>
      <c r="M105" s="51">
        <v>11.2</v>
      </c>
      <c r="N105" s="51">
        <v>11</v>
      </c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11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7"/>
        <v>4</v>
      </c>
      <c r="AQ105" s="89" t="str">
        <f t="shared" si="8"/>
        <v/>
      </c>
      <c r="AR105" s="89">
        <f>IFERROR(VLOOKUP(A105,Climatologia!A:U,9+$E$2,FALSE),"")</f>
        <v>10.11868743047831</v>
      </c>
      <c r="AS105" s="89" t="str">
        <f t="shared" si="9"/>
        <v/>
      </c>
      <c r="AT105" s="90">
        <f t="shared" si="10"/>
        <v>11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4.2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40383</v>
      </c>
      <c r="AW105" s="92">
        <f t="shared" si="11"/>
        <v>6.8</v>
      </c>
    </row>
    <row r="106" spans="1:49" ht="14.25" customHeight="1" x14ac:dyDescent="0.2">
      <c r="A106" s="48">
        <v>35075020</v>
      </c>
      <c r="B106" s="52" t="s">
        <v>240</v>
      </c>
      <c r="C106" s="52" t="s">
        <v>210</v>
      </c>
      <c r="D106" s="53">
        <v>-73.449166669999997</v>
      </c>
      <c r="E106" s="53">
        <v>5.0222777780000003</v>
      </c>
      <c r="F106" s="48">
        <v>1930</v>
      </c>
      <c r="G106" s="46">
        <v>15</v>
      </c>
      <c r="H106" s="46">
        <v>15778</v>
      </c>
      <c r="I106" s="55" t="s">
        <v>211</v>
      </c>
      <c r="J106" s="55" t="s">
        <v>240</v>
      </c>
      <c r="K106" s="51">
        <v>14.2</v>
      </c>
      <c r="L106" s="51">
        <v>14</v>
      </c>
      <c r="M106" s="51">
        <v>14.2</v>
      </c>
      <c r="N106" s="51">
        <v>14.6</v>
      </c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11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7"/>
        <v>4</v>
      </c>
      <c r="AQ106" s="89" t="str">
        <f t="shared" si="8"/>
        <v/>
      </c>
      <c r="AR106" s="89">
        <f>IFERROR(VLOOKUP(A106,Climatologia!A:U,9+$E$2,FALSE),"")</f>
        <v>13.701938132316331</v>
      </c>
      <c r="AS106" s="89" t="str">
        <f t="shared" si="9"/>
        <v/>
      </c>
      <c r="AT106" s="90">
        <f t="shared" si="10"/>
        <v>14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7.3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31251</v>
      </c>
      <c r="AW106" s="92">
        <f t="shared" si="11"/>
        <v>6.7</v>
      </c>
    </row>
    <row r="107" spans="1:49" ht="14.25" customHeight="1" x14ac:dyDescent="0.2">
      <c r="A107" s="48">
        <v>35075030</v>
      </c>
      <c r="B107" s="52" t="s">
        <v>241</v>
      </c>
      <c r="C107" s="52" t="s">
        <v>210</v>
      </c>
      <c r="D107" s="53">
        <v>-73.349416669999997</v>
      </c>
      <c r="E107" s="53">
        <v>5.4222222220000003</v>
      </c>
      <c r="F107" s="48">
        <v>2200</v>
      </c>
      <c r="G107" s="46">
        <v>15</v>
      </c>
      <c r="H107" s="46">
        <v>15599</v>
      </c>
      <c r="I107" s="55" t="s">
        <v>211</v>
      </c>
      <c r="J107" s="55" t="s">
        <v>242</v>
      </c>
      <c r="K107" s="51">
        <v>12.4</v>
      </c>
      <c r="L107" s="51">
        <v>11.4</v>
      </c>
      <c r="M107" s="51">
        <v>13</v>
      </c>
      <c r="N107" s="51">
        <v>12.8</v>
      </c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11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7"/>
        <v>4</v>
      </c>
      <c r="AQ107" s="89" t="str">
        <f t="shared" si="8"/>
        <v/>
      </c>
      <c r="AR107" s="89">
        <f>IFERROR(VLOOKUP(A107,Climatologia!A:U,9+$E$2,FALSE),"")</f>
        <v>11.932798761909369</v>
      </c>
      <c r="AS107" s="89" t="str">
        <f t="shared" si="9"/>
        <v/>
      </c>
      <c r="AT107" s="90">
        <f t="shared" si="10"/>
        <v>11.4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6.2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107" s="92">
        <f t="shared" si="11"/>
        <v>5.2</v>
      </c>
    </row>
    <row r="108" spans="1:49" ht="14.25" customHeight="1" x14ac:dyDescent="0.2">
      <c r="A108" s="48">
        <v>35075040</v>
      </c>
      <c r="B108" s="52" t="s">
        <v>243</v>
      </c>
      <c r="C108" s="52" t="s">
        <v>210</v>
      </c>
      <c r="D108" s="53">
        <v>-73.316749999999999</v>
      </c>
      <c r="E108" s="53">
        <v>4.9743611110000003</v>
      </c>
      <c r="F108" s="48">
        <v>1300</v>
      </c>
      <c r="G108" s="46">
        <v>15</v>
      </c>
      <c r="H108" s="46">
        <v>15425</v>
      </c>
      <c r="I108" s="55" t="s">
        <v>211</v>
      </c>
      <c r="J108" s="55" t="s">
        <v>244</v>
      </c>
      <c r="K108" s="51">
        <v>14.6</v>
      </c>
      <c r="L108" s="51">
        <v>14.8</v>
      </c>
      <c r="M108" s="51">
        <v>14.4</v>
      </c>
      <c r="N108" s="51">
        <v>14.6</v>
      </c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11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7"/>
        <v>4</v>
      </c>
      <c r="AQ108" s="89" t="str">
        <f t="shared" si="8"/>
        <v/>
      </c>
      <c r="AR108" s="89">
        <f>IFERROR(VLOOKUP(A108,Climatologia!A:U,9+$E$2,FALSE),"")</f>
        <v>13.551301836348379</v>
      </c>
      <c r="AS108" s="89" t="str">
        <f t="shared" si="9"/>
        <v/>
      </c>
      <c r="AT108" s="90">
        <f t="shared" si="10"/>
        <v>14.4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9.4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35633</v>
      </c>
      <c r="AW108" s="92">
        <f t="shared" si="11"/>
        <v>5</v>
      </c>
    </row>
    <row r="109" spans="1:49" ht="14.25" customHeight="1" x14ac:dyDescent="0.2">
      <c r="A109" s="48">
        <v>35085040</v>
      </c>
      <c r="B109" s="52" t="s">
        <v>245</v>
      </c>
      <c r="C109" s="52" t="s">
        <v>210</v>
      </c>
      <c r="D109" s="53">
        <v>-73.144777779999998</v>
      </c>
      <c r="E109" s="53">
        <v>5.1925555560000003</v>
      </c>
      <c r="F109" s="48">
        <v>1640</v>
      </c>
      <c r="G109" s="46">
        <v>15</v>
      </c>
      <c r="H109" s="46">
        <v>15455</v>
      </c>
      <c r="I109" s="55" t="s">
        <v>211</v>
      </c>
      <c r="J109" s="55" t="s">
        <v>246</v>
      </c>
      <c r="K109" s="51">
        <v>15.2</v>
      </c>
      <c r="L109" s="51">
        <v>15.6</v>
      </c>
      <c r="M109" s="51">
        <v>15.4</v>
      </c>
      <c r="N109" s="51">
        <v>15.8</v>
      </c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11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7"/>
        <v>4</v>
      </c>
      <c r="AQ109" s="89" t="str">
        <f t="shared" si="8"/>
        <v/>
      </c>
      <c r="AR109" s="89">
        <f>IFERROR(VLOOKUP(A109,Climatologia!A:U,9+$E$2,FALSE),"")</f>
        <v>13.61231765453679</v>
      </c>
      <c r="AS109" s="89" t="str">
        <f t="shared" si="9"/>
        <v/>
      </c>
      <c r="AT109" s="90">
        <f t="shared" si="10"/>
        <v>15.2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38563</v>
      </c>
      <c r="AW109" s="92">
        <f t="shared" si="11"/>
        <v>7.1999999999999993</v>
      </c>
    </row>
    <row r="110" spans="1:49" ht="14.25" customHeight="1" x14ac:dyDescent="0.2">
      <c r="A110" s="48">
        <v>35085050</v>
      </c>
      <c r="B110" s="52" t="s">
        <v>247</v>
      </c>
      <c r="C110" s="52" t="s">
        <v>210</v>
      </c>
      <c r="D110" s="53">
        <v>-73.103666669999996</v>
      </c>
      <c r="E110" s="53">
        <v>5.0345000000000004</v>
      </c>
      <c r="F110" s="48">
        <v>1300</v>
      </c>
      <c r="G110" s="46">
        <v>15</v>
      </c>
      <c r="H110" s="46">
        <v>15135</v>
      </c>
      <c r="I110" s="55" t="s">
        <v>211</v>
      </c>
      <c r="J110" s="55" t="s">
        <v>247</v>
      </c>
      <c r="K110" s="51">
        <v>18.2</v>
      </c>
      <c r="L110" s="51">
        <v>18.399999999999999</v>
      </c>
      <c r="M110" s="51">
        <v>17.600000000000001</v>
      </c>
      <c r="N110" s="51">
        <v>18.2</v>
      </c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7"/>
        <v>4</v>
      </c>
      <c r="AQ110" s="89" t="str">
        <f t="shared" si="8"/>
        <v/>
      </c>
      <c r="AR110" s="89">
        <f>IFERROR(VLOOKUP(A110,Climatologia!A:U,9+$E$2,FALSE),"")</f>
        <v>16.896189639584598</v>
      </c>
      <c r="AS110" s="89" t="str">
        <f t="shared" si="9"/>
        <v/>
      </c>
      <c r="AT110" s="90">
        <f t="shared" si="10"/>
        <v>17.600000000000001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11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33809</v>
      </c>
      <c r="AW110" s="92">
        <f t="shared" si="11"/>
        <v>6.6000000000000014</v>
      </c>
    </row>
    <row r="111" spans="1:49" ht="14.25" customHeight="1" x14ac:dyDescent="0.2">
      <c r="A111" s="48">
        <v>35195030</v>
      </c>
      <c r="B111" s="52" t="s">
        <v>248</v>
      </c>
      <c r="C111" s="52" t="s">
        <v>210</v>
      </c>
      <c r="D111" s="53">
        <v>-72.547388889999993</v>
      </c>
      <c r="E111" s="53">
        <v>5.1770833329999997</v>
      </c>
      <c r="F111" s="48">
        <v>380</v>
      </c>
      <c r="G111" s="46">
        <v>85</v>
      </c>
      <c r="H111" s="46">
        <v>85010</v>
      </c>
      <c r="I111" s="55" t="s">
        <v>167</v>
      </c>
      <c r="J111" s="55" t="s">
        <v>248</v>
      </c>
      <c r="K111" s="51">
        <v>22.4</v>
      </c>
      <c r="L111" s="51">
        <v>22.8</v>
      </c>
      <c r="M111" s="51">
        <v>22.8</v>
      </c>
      <c r="N111" s="51">
        <v>23.2</v>
      </c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7"/>
        <v>4</v>
      </c>
      <c r="AQ111" s="89" t="str">
        <f t="shared" si="8"/>
        <v/>
      </c>
      <c r="AR111" s="89">
        <f>IFERROR(VLOOKUP(A111,Climatologia!A:U,9+$E$2,FALSE),"")</f>
        <v>22.231405456385989</v>
      </c>
      <c r="AS111" s="89" t="str">
        <f t="shared" si="9"/>
        <v/>
      </c>
      <c r="AT111" s="90">
        <f t="shared" si="10"/>
        <v>22.4</v>
      </c>
      <c r="AU111" s="90" t="str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/>
      </c>
      <c r="AV111" s="91" t="str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1" s="92" t="str">
        <f t="shared" si="11"/>
        <v>NA</v>
      </c>
    </row>
    <row r="112" spans="1:49" ht="14.25" customHeight="1" x14ac:dyDescent="0.2">
      <c r="A112" s="48">
        <v>35195050</v>
      </c>
      <c r="B112" s="52" t="s">
        <v>249</v>
      </c>
      <c r="C112" s="52" t="s">
        <v>210</v>
      </c>
      <c r="D112" s="53">
        <v>-72.717222219999996</v>
      </c>
      <c r="E112" s="53">
        <v>5.4072777780000001</v>
      </c>
      <c r="F112" s="48">
        <v>1550</v>
      </c>
      <c r="G112" s="46">
        <v>15</v>
      </c>
      <c r="H112" s="46">
        <v>15518</v>
      </c>
      <c r="I112" s="55" t="s">
        <v>211</v>
      </c>
      <c r="J112" s="55" t="s">
        <v>250</v>
      </c>
      <c r="K112" s="51">
        <v>16.5</v>
      </c>
      <c r="L112" s="51">
        <v>14.8</v>
      </c>
      <c r="M112" s="51">
        <v>16.8</v>
      </c>
      <c r="N112" s="51">
        <v>14.6</v>
      </c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11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7"/>
        <v>4</v>
      </c>
      <c r="AQ112" s="89" t="str">
        <f t="shared" si="8"/>
        <v/>
      </c>
      <c r="AR112" s="89">
        <f>IFERROR(VLOOKUP(A112,Climatologia!A:U,9+$E$2,FALSE),"")</f>
        <v>15.22725499231951</v>
      </c>
      <c r="AS112" s="89" t="str">
        <f t="shared" si="9"/>
        <v/>
      </c>
      <c r="AT112" s="90">
        <f t="shared" si="10"/>
        <v>14.6</v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>9.8000000000000007</v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>34537</v>
      </c>
      <c r="AW112" s="92">
        <f t="shared" si="11"/>
        <v>4.7999999999999989</v>
      </c>
    </row>
    <row r="113" spans="1:49" ht="14.25" customHeight="1" x14ac:dyDescent="0.2">
      <c r="A113" s="48">
        <v>35215020</v>
      </c>
      <c r="B113" s="52" t="s">
        <v>251</v>
      </c>
      <c r="C113" s="52" t="s">
        <v>210</v>
      </c>
      <c r="D113" s="53">
        <v>-72.387500000000003</v>
      </c>
      <c r="E113" s="53">
        <v>5.3204444439999996</v>
      </c>
      <c r="F113" s="48">
        <v>325</v>
      </c>
      <c r="G113" s="46">
        <v>85</v>
      </c>
      <c r="H113" s="46">
        <v>85001</v>
      </c>
      <c r="I113" s="55" t="s">
        <v>167</v>
      </c>
      <c r="J113" s="55" t="s">
        <v>252</v>
      </c>
      <c r="K113" s="51">
        <v>19.600000000000001</v>
      </c>
      <c r="L113" s="51">
        <v>19</v>
      </c>
      <c r="M113" s="51">
        <v>19.2</v>
      </c>
      <c r="N113" s="51">
        <v>19.600000000000001</v>
      </c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11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7"/>
        <v>4</v>
      </c>
      <c r="AQ113" s="89" t="str">
        <f t="shared" si="8"/>
        <v/>
      </c>
      <c r="AR113" s="89">
        <f>IFERROR(VLOOKUP(A113,Climatologia!A:U,9+$E$2,FALSE),"")</f>
        <v>21.8744421098889</v>
      </c>
      <c r="AS113" s="89" t="str">
        <f t="shared" si="9"/>
        <v/>
      </c>
      <c r="AT113" s="90">
        <f t="shared" si="10"/>
        <v>19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17.8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113" s="92">
        <f t="shared" si="11"/>
        <v>1.1999999999999993</v>
      </c>
    </row>
    <row r="114" spans="1:49" ht="14.25" customHeight="1" x14ac:dyDescent="0.2">
      <c r="A114" s="48">
        <v>35235040</v>
      </c>
      <c r="B114" s="52" t="s">
        <v>253</v>
      </c>
      <c r="C114" s="52" t="s">
        <v>210</v>
      </c>
      <c r="D114" s="53">
        <v>-71.666166669999996</v>
      </c>
      <c r="E114" s="53">
        <v>5.4190277780000002</v>
      </c>
      <c r="F114" s="48">
        <v>265</v>
      </c>
      <c r="G114" s="46">
        <v>85</v>
      </c>
      <c r="H114" s="46">
        <v>85430</v>
      </c>
      <c r="I114" s="55" t="s">
        <v>167</v>
      </c>
      <c r="J114" s="55" t="s">
        <v>254</v>
      </c>
      <c r="K114" s="51">
        <v>22.4</v>
      </c>
      <c r="L114" s="51">
        <v>22</v>
      </c>
      <c r="M114" s="51">
        <v>22.8</v>
      </c>
      <c r="N114" s="51">
        <v>23</v>
      </c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11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7"/>
        <v>4</v>
      </c>
      <c r="AQ114" s="89" t="str">
        <f t="shared" si="8"/>
        <v/>
      </c>
      <c r="AR114" s="89" t="str">
        <f>IFERROR(VLOOKUP(A114,Climatologia!A:U,9+$E$2,FALSE),"")</f>
        <v/>
      </c>
      <c r="AS114" s="89" t="str">
        <f t="shared" si="9"/>
        <v/>
      </c>
      <c r="AT114" s="90">
        <f t="shared" si="10"/>
        <v>22</v>
      </c>
      <c r="AU114" s="90" t="str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/>
      </c>
      <c r="AV114" s="91" t="str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4" s="92" t="str">
        <f t="shared" si="11"/>
        <v>NA</v>
      </c>
    </row>
    <row r="115" spans="1:49" ht="14.25" customHeight="1" x14ac:dyDescent="0.2">
      <c r="A115" s="48">
        <v>35235050</v>
      </c>
      <c r="B115" s="52" t="s">
        <v>255</v>
      </c>
      <c r="C115" s="52" t="s">
        <v>210</v>
      </c>
      <c r="D115" s="53">
        <v>-72.166777780000004</v>
      </c>
      <c r="E115" s="53">
        <v>5.8185833330000003</v>
      </c>
      <c r="F115" s="48">
        <v>117</v>
      </c>
      <c r="G115" s="46">
        <v>85</v>
      </c>
      <c r="H115" s="46">
        <v>85400</v>
      </c>
      <c r="I115" s="55" t="s">
        <v>167</v>
      </c>
      <c r="J115" s="55" t="s">
        <v>256</v>
      </c>
      <c r="K115" s="51">
        <v>19.399999999999999</v>
      </c>
      <c r="L115" s="51">
        <v>19.2</v>
      </c>
      <c r="M115" s="51">
        <v>20.2</v>
      </c>
      <c r="N115" s="51">
        <v>19.600000000000001</v>
      </c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7"/>
        <v>4</v>
      </c>
      <c r="AQ115" s="89" t="str">
        <f t="shared" si="8"/>
        <v/>
      </c>
      <c r="AR115" s="89">
        <f>IFERROR(VLOOKUP(A115,Climatologia!A:U,9+$E$2,FALSE),"")</f>
        <v>18.265873654442618</v>
      </c>
      <c r="AS115" s="89" t="str">
        <f t="shared" si="9"/>
        <v/>
      </c>
      <c r="AT115" s="90">
        <f t="shared" si="10"/>
        <v>19.2</v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>16.100000000000001</v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>40004</v>
      </c>
      <c r="AW115" s="92">
        <f t="shared" si="11"/>
        <v>3.0999999999999979</v>
      </c>
    </row>
    <row r="116" spans="1:49" ht="14.25" customHeight="1" x14ac:dyDescent="0.2">
      <c r="A116" s="48">
        <v>36015010</v>
      </c>
      <c r="B116" s="52" t="s">
        <v>257</v>
      </c>
      <c r="C116" s="52" t="s">
        <v>210</v>
      </c>
      <c r="D116" s="53">
        <v>-71.887194440000002</v>
      </c>
      <c r="E116" s="53">
        <v>5.8785277779999996</v>
      </c>
      <c r="F116" s="48">
        <v>342</v>
      </c>
      <c r="G116" s="46">
        <v>85</v>
      </c>
      <c r="H116" s="46">
        <v>85250</v>
      </c>
      <c r="I116" s="55" t="s">
        <v>167</v>
      </c>
      <c r="J116" s="55" t="s">
        <v>257</v>
      </c>
      <c r="K116" s="51"/>
      <c r="L116" s="51">
        <v>22</v>
      </c>
      <c r="M116" s="51">
        <v>22.4</v>
      </c>
      <c r="N116" s="51">
        <v>23</v>
      </c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11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7"/>
        <v>3</v>
      </c>
      <c r="AQ116" s="89" t="str">
        <f t="shared" si="8"/>
        <v/>
      </c>
      <c r="AR116" s="89">
        <f>IFERROR(VLOOKUP(A116,Climatologia!A:U,9+$E$2,FALSE),"")</f>
        <v>22.029592386602399</v>
      </c>
      <c r="AS116" s="89" t="str">
        <f t="shared" si="9"/>
        <v/>
      </c>
      <c r="AT116" s="90">
        <f t="shared" si="10"/>
        <v>22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18.8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39281</v>
      </c>
      <c r="AW116" s="92">
        <f t="shared" si="11"/>
        <v>3.1999999999999993</v>
      </c>
    </row>
    <row r="117" spans="1:49" ht="14.25" customHeight="1" x14ac:dyDescent="0.2">
      <c r="A117" s="48">
        <v>36025010</v>
      </c>
      <c r="B117" s="52" t="s">
        <v>258</v>
      </c>
      <c r="C117" s="52" t="s">
        <v>210</v>
      </c>
      <c r="D117" s="53">
        <v>-71.745027780000001</v>
      </c>
      <c r="E117" s="53">
        <v>6.4561944440000003</v>
      </c>
      <c r="F117" s="48">
        <v>350</v>
      </c>
      <c r="G117" s="46">
        <v>81</v>
      </c>
      <c r="H117" s="46">
        <v>81794</v>
      </c>
      <c r="I117" s="55" t="s">
        <v>91</v>
      </c>
      <c r="J117" s="55" t="s">
        <v>258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7"/>
        <v>0</v>
      </c>
      <c r="AQ117" s="89" t="str">
        <f t="shared" si="8"/>
        <v/>
      </c>
      <c r="AR117" s="89">
        <f>IFERROR(VLOOKUP(A117,Climatologia!A:U,9+$E$2,FALSE),"")</f>
        <v>21.674986479595521</v>
      </c>
      <c r="AS117" s="89" t="str">
        <f t="shared" si="9"/>
        <v/>
      </c>
      <c r="AT117" s="90" t="str">
        <f t="shared" si="10"/>
        <v/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13.2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43652</v>
      </c>
      <c r="AW117" s="92" t="str">
        <f t="shared" si="11"/>
        <v>NA</v>
      </c>
    </row>
    <row r="118" spans="1:49" ht="14.25" customHeight="1" x14ac:dyDescent="0.2">
      <c r="A118" s="48">
        <v>44015030</v>
      </c>
      <c r="B118" s="52" t="s">
        <v>259</v>
      </c>
      <c r="C118" s="52" t="s">
        <v>260</v>
      </c>
      <c r="D118" s="53">
        <v>-76.668750000000003</v>
      </c>
      <c r="E118" s="53">
        <v>1.900416667</v>
      </c>
      <c r="F118" s="48">
        <v>2900</v>
      </c>
      <c r="G118" s="46">
        <v>19</v>
      </c>
      <c r="H118" s="46">
        <v>19693</v>
      </c>
      <c r="I118" s="55" t="s">
        <v>182</v>
      </c>
      <c r="J118" s="55" t="s">
        <v>261</v>
      </c>
      <c r="K118" s="51">
        <v>9.1999999999999993</v>
      </c>
      <c r="L118" s="51">
        <v>10.4</v>
      </c>
      <c r="M118" s="51">
        <v>9.6</v>
      </c>
      <c r="N118" s="51">
        <v>8.6</v>
      </c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7"/>
        <v>4</v>
      </c>
      <c r="AQ118" s="89" t="str">
        <f t="shared" si="8"/>
        <v/>
      </c>
      <c r="AR118" s="89">
        <f>IFERROR(VLOOKUP(A118,Climatologia!A:U,9+$E$2,FALSE),"")</f>
        <v>6.6382228524164031</v>
      </c>
      <c r="AS118" s="89" t="str">
        <f t="shared" si="9"/>
        <v/>
      </c>
      <c r="AT118" s="90">
        <f t="shared" si="10"/>
        <v>8.6</v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-1.8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118" s="92">
        <f t="shared" si="11"/>
        <v>10.4</v>
      </c>
    </row>
    <row r="119" spans="1:49" ht="14.25" customHeight="1" x14ac:dyDescent="0.2">
      <c r="A119" s="48">
        <v>44015060</v>
      </c>
      <c r="B119" s="52" t="s">
        <v>262</v>
      </c>
      <c r="C119" s="52" t="s">
        <v>260</v>
      </c>
      <c r="D119" s="53">
        <v>-76.651833330000002</v>
      </c>
      <c r="E119" s="53">
        <v>1.157333333</v>
      </c>
      <c r="F119" s="48">
        <v>650</v>
      </c>
      <c r="G119" s="46">
        <v>86</v>
      </c>
      <c r="H119" s="46">
        <v>86001</v>
      </c>
      <c r="I119" s="55" t="s">
        <v>263</v>
      </c>
      <c r="J119" s="55" t="s">
        <v>264</v>
      </c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7"/>
        <v>0</v>
      </c>
      <c r="AQ119" s="89" t="str">
        <f t="shared" si="8"/>
        <v/>
      </c>
      <c r="AR119" s="89">
        <f>IFERROR(VLOOKUP(A119,Climatologia!A:U,9+$E$2,FALSE),"")</f>
        <v>19.276408602150539</v>
      </c>
      <c r="AS119" s="89" t="str">
        <f t="shared" si="9"/>
        <v/>
      </c>
      <c r="AT119" s="90" t="str">
        <f t="shared" si="10"/>
        <v/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15.4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41109</v>
      </c>
      <c r="AW119" s="92" t="str">
        <f t="shared" si="11"/>
        <v>NA</v>
      </c>
    </row>
    <row r="120" spans="1:49" ht="14.25" customHeight="1" x14ac:dyDescent="0.2">
      <c r="A120" s="48">
        <v>47015040</v>
      </c>
      <c r="B120" s="52" t="s">
        <v>265</v>
      </c>
      <c r="C120" s="52" t="s">
        <v>260</v>
      </c>
      <c r="D120" s="53">
        <v>-76.960972220000002</v>
      </c>
      <c r="E120" s="53">
        <v>1.198277778</v>
      </c>
      <c r="F120" s="48">
        <v>2100</v>
      </c>
      <c r="G120" s="46">
        <v>86</v>
      </c>
      <c r="H120" s="46">
        <v>86219</v>
      </c>
      <c r="I120" s="55" t="s">
        <v>263</v>
      </c>
      <c r="J120" s="55" t="s">
        <v>266</v>
      </c>
      <c r="K120" s="51">
        <v>13.3</v>
      </c>
      <c r="L120" s="51">
        <v>12.7</v>
      </c>
      <c r="M120" s="51">
        <v>11.5</v>
      </c>
      <c r="N120" s="51">
        <v>12.1</v>
      </c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7"/>
        <v>4</v>
      </c>
      <c r="AQ120" s="89" t="str">
        <f t="shared" si="8"/>
        <v/>
      </c>
      <c r="AR120" s="89">
        <f>IFERROR(VLOOKUP(A120,Climatologia!A:U,9+$E$2,FALSE),"")</f>
        <v>11.282109879431809</v>
      </c>
      <c r="AS120" s="89" t="str">
        <f t="shared" si="9"/>
        <v/>
      </c>
      <c r="AT120" s="90">
        <f t="shared" si="10"/>
        <v>11.5</v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2.5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0" s="92">
        <f t="shared" si="11"/>
        <v>9</v>
      </c>
    </row>
    <row r="121" spans="1:49" ht="14.25" customHeight="1" x14ac:dyDescent="0.2">
      <c r="A121" s="48">
        <v>47015080</v>
      </c>
      <c r="B121" s="52" t="s">
        <v>267</v>
      </c>
      <c r="C121" s="52" t="s">
        <v>260</v>
      </c>
      <c r="D121" s="53">
        <v>-77.303611110000006</v>
      </c>
      <c r="E121" s="53">
        <v>0.80491666699999997</v>
      </c>
      <c r="F121" s="48">
        <v>1776</v>
      </c>
      <c r="G121" s="46">
        <v>52</v>
      </c>
      <c r="H121" s="46">
        <v>52573</v>
      </c>
      <c r="I121" s="55" t="s">
        <v>83</v>
      </c>
      <c r="J121" s="55" t="s">
        <v>268</v>
      </c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7"/>
        <v>0</v>
      </c>
      <c r="AQ121" s="89" t="str">
        <f t="shared" si="8"/>
        <v/>
      </c>
      <c r="AR121" s="89">
        <f>IFERROR(VLOOKUP(A121,Climatologia!A:U,9+$E$2,FALSE),"")</f>
        <v>13.328919783739719</v>
      </c>
      <c r="AS121" s="89" t="str">
        <f t="shared" si="9"/>
        <v/>
      </c>
      <c r="AT121" s="90" t="str">
        <f t="shared" si="10"/>
        <v/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8.5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21" s="92" t="str">
        <f t="shared" si="11"/>
        <v>NA</v>
      </c>
    </row>
    <row r="122" spans="1:49" ht="14.25" customHeight="1" x14ac:dyDescent="0.2">
      <c r="A122" s="48">
        <v>47015100</v>
      </c>
      <c r="B122" s="52" t="s">
        <v>269</v>
      </c>
      <c r="C122" s="52" t="s">
        <v>260</v>
      </c>
      <c r="D122" s="53">
        <v>-77.161472219999993</v>
      </c>
      <c r="E122" s="53">
        <v>1.159944444</v>
      </c>
      <c r="F122" s="48">
        <v>2830</v>
      </c>
      <c r="G122" s="46">
        <v>52</v>
      </c>
      <c r="H122" s="46">
        <v>52001</v>
      </c>
      <c r="I122" s="55" t="s">
        <v>83</v>
      </c>
      <c r="J122" s="55" t="s">
        <v>270</v>
      </c>
      <c r="K122" s="51">
        <v>10.199999999999999</v>
      </c>
      <c r="L122" s="51">
        <v>10</v>
      </c>
      <c r="M122" s="51">
        <v>9.8000000000000007</v>
      </c>
      <c r="N122" s="51">
        <v>9.6</v>
      </c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7"/>
        <v>4</v>
      </c>
      <c r="AQ122" s="89" t="str">
        <f t="shared" si="8"/>
        <v/>
      </c>
      <c r="AR122" s="89">
        <f>IFERROR(VLOOKUP(A122,Climatologia!A:U,9+$E$2,FALSE),"")</f>
        <v>8.088075663695717</v>
      </c>
      <c r="AS122" s="89" t="str">
        <f t="shared" si="9"/>
        <v/>
      </c>
      <c r="AT122" s="90">
        <f t="shared" si="10"/>
        <v>9.6</v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0.8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2" s="92">
        <f t="shared" si="11"/>
        <v>8.7999999999999989</v>
      </c>
    </row>
    <row r="123" spans="1:49" ht="14.25" customHeight="1" x14ac:dyDescent="0.2">
      <c r="A123" s="48">
        <v>47035020</v>
      </c>
      <c r="B123" s="52" t="s">
        <v>271</v>
      </c>
      <c r="C123" s="52" t="s">
        <v>260</v>
      </c>
      <c r="D123" s="53">
        <v>-75.851111110000005</v>
      </c>
      <c r="E123" s="53">
        <v>0.132861111</v>
      </c>
      <c r="F123" s="48">
        <v>190</v>
      </c>
      <c r="G123" s="46">
        <v>86</v>
      </c>
      <c r="H123" s="46">
        <v>86573</v>
      </c>
      <c r="I123" s="55" t="s">
        <v>263</v>
      </c>
      <c r="J123" s="55" t="s">
        <v>272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7"/>
        <v>0</v>
      </c>
      <c r="AQ123" s="89" t="str">
        <f t="shared" si="8"/>
        <v/>
      </c>
      <c r="AR123" s="89">
        <f>IFERROR(VLOOKUP(A123,Climatologia!A:U,9+$E$2,FALSE),"")</f>
        <v>20.704813297844161</v>
      </c>
      <c r="AS123" s="89" t="str">
        <f t="shared" si="9"/>
        <v/>
      </c>
      <c r="AT123" s="90" t="str">
        <f t="shared" si="10"/>
        <v/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16.5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123" s="92" t="str">
        <f t="shared" si="11"/>
        <v>NA</v>
      </c>
    </row>
    <row r="124" spans="1:49" ht="14.25" customHeight="1" x14ac:dyDescent="0.2">
      <c r="A124" s="48">
        <v>51025090</v>
      </c>
      <c r="B124" s="52" t="s">
        <v>273</v>
      </c>
      <c r="C124" s="52" t="s">
        <v>260</v>
      </c>
      <c r="D124" s="53">
        <v>-78.695583330000005</v>
      </c>
      <c r="E124" s="53">
        <v>1.5501944439999999</v>
      </c>
      <c r="F124" s="48">
        <v>16</v>
      </c>
      <c r="G124" s="46">
        <v>52</v>
      </c>
      <c r="H124" s="46">
        <v>52835</v>
      </c>
      <c r="I124" s="55" t="s">
        <v>83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7"/>
        <v>0</v>
      </c>
      <c r="AQ124" s="89" t="str">
        <f t="shared" si="8"/>
        <v/>
      </c>
      <c r="AR124" s="89">
        <f>IFERROR(VLOOKUP(A124,Climatologia!A:U,9+$E$2,FALSE),"")</f>
        <v>23.186679533131141</v>
      </c>
      <c r="AS124" s="89" t="str">
        <f t="shared" si="9"/>
        <v/>
      </c>
      <c r="AT124" s="90" t="str">
        <f t="shared" si="10"/>
        <v/>
      </c>
      <c r="AU124" s="90" t="str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/>
      </c>
      <c r="AV124" s="91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4" s="92" t="str">
        <f t="shared" si="11"/>
        <v>NA</v>
      </c>
    </row>
    <row r="125" spans="1:49" ht="14.25" customHeight="1" x14ac:dyDescent="0.2">
      <c r="A125" s="48">
        <v>52015010</v>
      </c>
      <c r="B125" s="52" t="s">
        <v>275</v>
      </c>
      <c r="C125" s="52" t="s">
        <v>260</v>
      </c>
      <c r="D125" s="53">
        <v>-76.611944440000002</v>
      </c>
      <c r="E125" s="53">
        <v>2.2497222219999999</v>
      </c>
      <c r="F125" s="48">
        <v>2450</v>
      </c>
      <c r="G125" s="46">
        <v>19</v>
      </c>
      <c r="H125" s="46">
        <v>19760</v>
      </c>
      <c r="I125" s="55" t="s">
        <v>182</v>
      </c>
      <c r="J125" s="55" t="s">
        <v>276</v>
      </c>
      <c r="K125" s="51">
        <v>13.6</v>
      </c>
      <c r="L125" s="51">
        <v>13.4</v>
      </c>
      <c r="M125" s="51">
        <v>12.5</v>
      </c>
      <c r="N125" s="51">
        <v>11.2</v>
      </c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7"/>
        <v>4</v>
      </c>
      <c r="AQ125" s="89" t="str">
        <f t="shared" si="8"/>
        <v/>
      </c>
      <c r="AR125" s="89">
        <f>IFERROR(VLOOKUP(A125,Climatologia!A:U,9+$E$2,FALSE),"")</f>
        <v>11.599107526881721</v>
      </c>
      <c r="AS125" s="89" t="str">
        <f t="shared" si="9"/>
        <v/>
      </c>
      <c r="AT125" s="90">
        <f t="shared" si="10"/>
        <v>11.2</v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>5.4</v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>35983</v>
      </c>
      <c r="AW125" s="92">
        <f t="shared" si="11"/>
        <v>5.7999999999999989</v>
      </c>
    </row>
    <row r="126" spans="1:49" ht="14.25" customHeight="1" x14ac:dyDescent="0.2">
      <c r="A126" s="48">
        <v>52025020</v>
      </c>
      <c r="B126" s="52" t="s">
        <v>277</v>
      </c>
      <c r="C126" s="52" t="s">
        <v>260</v>
      </c>
      <c r="D126" s="53">
        <v>-76.891666670000006</v>
      </c>
      <c r="E126" s="53">
        <v>1.753333333</v>
      </c>
      <c r="F126" s="48">
        <v>2300</v>
      </c>
      <c r="G126" s="46">
        <v>19</v>
      </c>
      <c r="H126" s="46">
        <v>19100</v>
      </c>
      <c r="I126" s="55" t="s">
        <v>182</v>
      </c>
      <c r="J126" s="55" t="s">
        <v>35</v>
      </c>
      <c r="K126" s="51">
        <v>15.2</v>
      </c>
      <c r="L126" s="51">
        <v>13.6</v>
      </c>
      <c r="M126" s="51">
        <v>14.2</v>
      </c>
      <c r="N126" s="51">
        <v>13.2</v>
      </c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11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7"/>
        <v>4</v>
      </c>
      <c r="AQ126" s="89" t="str">
        <f t="shared" si="8"/>
        <v/>
      </c>
      <c r="AR126" s="89">
        <f>IFERROR(VLOOKUP(A126,Climatologia!A:U,9+$E$2,FALSE),"")</f>
        <v>13.19300778642936</v>
      </c>
      <c r="AS126" s="89" t="str">
        <f t="shared" si="9"/>
        <v/>
      </c>
      <c r="AT126" s="90">
        <f t="shared" si="10"/>
        <v>13.2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8.1999999999999993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29050</v>
      </c>
      <c r="AW126" s="92">
        <f t="shared" si="11"/>
        <v>5</v>
      </c>
    </row>
    <row r="127" spans="1:49" ht="14.25" customHeight="1" x14ac:dyDescent="0.2">
      <c r="A127" s="48">
        <v>52025090</v>
      </c>
      <c r="B127" s="52" t="s">
        <v>278</v>
      </c>
      <c r="C127" s="52" t="s">
        <v>260</v>
      </c>
      <c r="D127" s="53">
        <v>-76.750333330000004</v>
      </c>
      <c r="E127" s="53">
        <v>2.1938333330000002</v>
      </c>
      <c r="F127" s="48">
        <v>1870</v>
      </c>
      <c r="G127" s="46">
        <v>19</v>
      </c>
      <c r="H127" s="46">
        <v>19392</v>
      </c>
      <c r="I127" s="55" t="s">
        <v>182</v>
      </c>
      <c r="J127" s="55" t="s">
        <v>279</v>
      </c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7"/>
        <v>0</v>
      </c>
      <c r="AQ127" s="89" t="str">
        <f t="shared" si="8"/>
        <v/>
      </c>
      <c r="AR127" s="89">
        <f>IFERROR(VLOOKUP(A127,Climatologia!A:U,9+$E$2,FALSE),"")</f>
        <v>15.06265897802605</v>
      </c>
      <c r="AS127" s="89" t="str">
        <f t="shared" si="9"/>
        <v/>
      </c>
      <c r="AT127" s="90" t="str">
        <f t="shared" si="10"/>
        <v/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10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30499</v>
      </c>
      <c r="AW127" s="92" t="str">
        <f t="shared" si="11"/>
        <v>NA</v>
      </c>
    </row>
    <row r="128" spans="1:49" ht="14.25" customHeight="1" x14ac:dyDescent="0.2">
      <c r="A128" s="48">
        <v>52045010</v>
      </c>
      <c r="B128" s="52" t="s">
        <v>280</v>
      </c>
      <c r="C128" s="52" t="s">
        <v>260</v>
      </c>
      <c r="D128" s="53">
        <v>-77.303083330000007</v>
      </c>
      <c r="E128" s="53">
        <v>1.1982222220000001</v>
      </c>
      <c r="F128" s="48">
        <v>2710</v>
      </c>
      <c r="G128" s="46">
        <v>52</v>
      </c>
      <c r="H128" s="46">
        <v>52001</v>
      </c>
      <c r="I128" s="55" t="s">
        <v>83</v>
      </c>
      <c r="J128" s="55" t="s">
        <v>270</v>
      </c>
      <c r="K128" s="51">
        <v>12</v>
      </c>
      <c r="L128" s="51">
        <v>11.4</v>
      </c>
      <c r="M128" s="51">
        <v>10.8</v>
      </c>
      <c r="N128" s="51">
        <v>11.4</v>
      </c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7"/>
        <v>4</v>
      </c>
      <c r="AQ128" s="89" t="str">
        <f t="shared" si="8"/>
        <v/>
      </c>
      <c r="AR128" s="89">
        <f>IFERROR(VLOOKUP(A128,Climatologia!A:U,9+$E$2,FALSE),"")</f>
        <v>9.339817613927293</v>
      </c>
      <c r="AS128" s="89" t="str">
        <f t="shared" si="9"/>
        <v/>
      </c>
      <c r="AT128" s="90">
        <f t="shared" si="10"/>
        <v>10.8</v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4.5999999999999996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35260</v>
      </c>
      <c r="AW128" s="92">
        <f t="shared" si="11"/>
        <v>6.2000000000000011</v>
      </c>
    </row>
    <row r="129" spans="1:49" ht="14.25" customHeight="1" x14ac:dyDescent="0.2">
      <c r="A129" s="48">
        <v>52045030</v>
      </c>
      <c r="B129" s="52" t="s">
        <v>281</v>
      </c>
      <c r="C129" s="52" t="s">
        <v>260</v>
      </c>
      <c r="D129" s="53">
        <v>-77.032611110000005</v>
      </c>
      <c r="E129" s="53">
        <v>1.5387222220000001</v>
      </c>
      <c r="F129" s="48">
        <v>2190</v>
      </c>
      <c r="G129" s="46">
        <v>52</v>
      </c>
      <c r="H129" s="46">
        <v>52685</v>
      </c>
      <c r="I129" s="55" t="s">
        <v>83</v>
      </c>
      <c r="J129" s="55" t="s">
        <v>281</v>
      </c>
      <c r="K129" s="51">
        <v>12</v>
      </c>
      <c r="L129" s="51"/>
      <c r="M129" s="51">
        <v>11.6</v>
      </c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11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7"/>
        <v>2</v>
      </c>
      <c r="AQ129" s="89" t="str">
        <f t="shared" si="8"/>
        <v/>
      </c>
      <c r="AR129" s="89">
        <f>IFERROR(VLOOKUP(A129,Climatologia!A:U,9+$E$2,FALSE),"")</f>
        <v>10.61877774246517</v>
      </c>
      <c r="AS129" s="89" t="str">
        <f t="shared" si="9"/>
        <v/>
      </c>
      <c r="AT129" s="90">
        <f t="shared" si="10"/>
        <v>11.6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6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32706</v>
      </c>
      <c r="AW129" s="92">
        <f t="shared" si="11"/>
        <v>5.6</v>
      </c>
    </row>
    <row r="130" spans="1:49" ht="14.25" customHeight="1" x14ac:dyDescent="0.2">
      <c r="A130" s="48">
        <v>52045040</v>
      </c>
      <c r="B130" s="52" t="s">
        <v>282</v>
      </c>
      <c r="C130" s="52" t="s">
        <v>260</v>
      </c>
      <c r="D130" s="53">
        <v>-77.267499999999998</v>
      </c>
      <c r="E130" s="53">
        <v>1.5491666669999999</v>
      </c>
      <c r="F130" s="48">
        <v>1875</v>
      </c>
      <c r="G130" s="46">
        <v>52</v>
      </c>
      <c r="H130" s="46">
        <v>52786</v>
      </c>
      <c r="I130" s="55" t="s">
        <v>83</v>
      </c>
      <c r="J130" s="55" t="s">
        <v>282</v>
      </c>
      <c r="K130" s="51">
        <v>17.2</v>
      </c>
      <c r="L130" s="51">
        <v>16.399999999999999</v>
      </c>
      <c r="M130" s="51">
        <v>15.8</v>
      </c>
      <c r="N130" s="51">
        <v>15.4</v>
      </c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11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7"/>
        <v>4</v>
      </c>
      <c r="AQ130" s="89" t="str">
        <f t="shared" si="8"/>
        <v/>
      </c>
      <c r="AR130" s="89">
        <f>IFERROR(VLOOKUP(A130,Climatologia!A:U,9+$E$2,FALSE),"")</f>
        <v>14.704271801089879</v>
      </c>
      <c r="AS130" s="89" t="str">
        <f t="shared" si="9"/>
        <v/>
      </c>
      <c r="AT130" s="90">
        <f t="shared" si="10"/>
        <v>15.4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11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37818</v>
      </c>
      <c r="AW130" s="92">
        <f t="shared" si="11"/>
        <v>4.4000000000000004</v>
      </c>
    </row>
    <row r="131" spans="1:49" ht="14.25" customHeight="1" x14ac:dyDescent="0.2">
      <c r="A131" s="48">
        <v>52045090</v>
      </c>
      <c r="B131" s="52" t="s">
        <v>283</v>
      </c>
      <c r="C131" s="52" t="s">
        <v>260</v>
      </c>
      <c r="D131" s="53">
        <v>-77.629583330000003</v>
      </c>
      <c r="E131" s="53">
        <v>0.93263888900000003</v>
      </c>
      <c r="F131" s="48">
        <v>3141</v>
      </c>
      <c r="G131" s="46">
        <v>52</v>
      </c>
      <c r="H131" s="46">
        <v>52585</v>
      </c>
      <c r="I131" s="55" t="s">
        <v>83</v>
      </c>
      <c r="J131" s="55" t="s">
        <v>284</v>
      </c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7"/>
        <v>0</v>
      </c>
      <c r="AQ131" s="89" t="str">
        <f t="shared" si="8"/>
        <v/>
      </c>
      <c r="AR131" s="89">
        <f>IFERROR(VLOOKUP(A131,Climatologia!A:U,9+$E$2,FALSE),"")</f>
        <v>6.2159888004715604</v>
      </c>
      <c r="AS131" s="89" t="str">
        <f t="shared" si="9"/>
        <v/>
      </c>
      <c r="AT131" s="90" t="str">
        <f t="shared" si="10"/>
        <v/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0.1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31" s="92" t="str">
        <f t="shared" si="11"/>
        <v>NA</v>
      </c>
    </row>
    <row r="132" spans="1:49" ht="14.25" customHeight="1" x14ac:dyDescent="0.2">
      <c r="A132" s="48">
        <v>52055030</v>
      </c>
      <c r="B132" s="52" t="s">
        <v>285</v>
      </c>
      <c r="C132" s="52" t="s">
        <v>260</v>
      </c>
      <c r="D132" s="53">
        <v>-77.465111109999995</v>
      </c>
      <c r="E132" s="53">
        <v>1.1843611110000001</v>
      </c>
      <c r="F132" s="48">
        <v>1493</v>
      </c>
      <c r="G132" s="46">
        <v>52</v>
      </c>
      <c r="H132" s="46">
        <v>52207</v>
      </c>
      <c r="I132" s="55" t="s">
        <v>83</v>
      </c>
      <c r="J132" s="55" t="s">
        <v>286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7"/>
        <v>0</v>
      </c>
      <c r="AQ132" s="89" t="str">
        <f t="shared" si="8"/>
        <v/>
      </c>
      <c r="AR132" s="89">
        <f>IFERROR(VLOOKUP(A132,Climatologia!A:U,9+$E$2,FALSE),"")</f>
        <v>15.45201870390969</v>
      </c>
      <c r="AS132" s="89" t="str">
        <f t="shared" si="9"/>
        <v/>
      </c>
      <c r="AT132" s="90" t="str">
        <f t="shared" si="10"/>
        <v/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8.6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28695</v>
      </c>
      <c r="AW132" s="92" t="str">
        <f t="shared" si="11"/>
        <v>NA</v>
      </c>
    </row>
    <row r="133" spans="1:49" ht="14.25" customHeight="1" x14ac:dyDescent="0.2">
      <c r="A133" s="48">
        <v>52055060</v>
      </c>
      <c r="B133" s="52" t="s">
        <v>287</v>
      </c>
      <c r="C133" s="52" t="s">
        <v>260</v>
      </c>
      <c r="D133" s="53">
        <v>-77.583055560000005</v>
      </c>
      <c r="E133" s="53">
        <v>1.3735555559999999</v>
      </c>
      <c r="F133" s="48">
        <v>1500</v>
      </c>
      <c r="G133" s="46">
        <v>52</v>
      </c>
      <c r="H133" s="46">
        <v>52678</v>
      </c>
      <c r="I133" s="55" t="s">
        <v>83</v>
      </c>
      <c r="J133" s="55" t="s">
        <v>288</v>
      </c>
      <c r="K133" s="51">
        <v>14.8</v>
      </c>
      <c r="L133" s="51">
        <v>15.8</v>
      </c>
      <c r="M133" s="51">
        <v>14.6</v>
      </c>
      <c r="N133" s="51">
        <v>16.2</v>
      </c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2">COUNTIF(K133:AO133,"&gt;0")</f>
        <v>4</v>
      </c>
      <c r="AQ133" s="89" t="str">
        <f t="shared" ref="AQ133:AQ196" si="13">IF(AP133&gt;14,AVERAGE(K133:AO133),"")</f>
        <v/>
      </c>
      <c r="AR133" s="89">
        <f>IFERROR(VLOOKUP(A133,Climatologia!A:U,9+$E$2,FALSE),"")</f>
        <v>13.71360869121677</v>
      </c>
      <c r="AS133" s="89" t="str">
        <f t="shared" ref="AS133:AS196" si="14">IF(OR(AQ133="",AR133=""),"",IFERROR(AQ133-AR133,""))</f>
        <v/>
      </c>
      <c r="AT133" s="90">
        <f t="shared" ref="AT133:AT196" si="15">IF(COUNT(K133:AO133)=0,"",MIN(K133:AO133))</f>
        <v>14.6</v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6.8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33437</v>
      </c>
      <c r="AW133" s="92">
        <f t="shared" ref="AW133:AW196" si="16">IF(OR(AT133="",AU133=""),"NA",IFERROR(AT133-AU133,"NA"))</f>
        <v>7.8</v>
      </c>
    </row>
    <row r="134" spans="1:49" ht="14.25" customHeight="1" x14ac:dyDescent="0.2">
      <c r="A134" s="48">
        <v>52055090</v>
      </c>
      <c r="B134" s="52" t="s">
        <v>289</v>
      </c>
      <c r="C134" s="52" t="s">
        <v>260</v>
      </c>
      <c r="D134" s="53">
        <v>-77.389361109999996</v>
      </c>
      <c r="E134" s="53">
        <v>1.107583333</v>
      </c>
      <c r="F134" s="48">
        <v>2800</v>
      </c>
      <c r="G134" s="46">
        <v>52</v>
      </c>
      <c r="H134" s="46">
        <v>52788</v>
      </c>
      <c r="I134" s="55" t="s">
        <v>83</v>
      </c>
      <c r="J134" s="55" t="s">
        <v>290</v>
      </c>
      <c r="K134" s="51">
        <v>11.4</v>
      </c>
      <c r="L134" s="51">
        <v>10.199999999999999</v>
      </c>
      <c r="M134" s="51">
        <v>10.1</v>
      </c>
      <c r="N134" s="51">
        <v>10.199999999999999</v>
      </c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11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2"/>
        <v>4</v>
      </c>
      <c r="AQ134" s="89" t="str">
        <f t="shared" si="13"/>
        <v/>
      </c>
      <c r="AR134" s="89">
        <f>IFERROR(VLOOKUP(A134,Climatologia!A:U,9+$E$2,FALSE),"")</f>
        <v>9.1551700301922789</v>
      </c>
      <c r="AS134" s="89" t="str">
        <f t="shared" si="14"/>
        <v/>
      </c>
      <c r="AT134" s="90">
        <f t="shared" si="15"/>
        <v>10.1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5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32337</v>
      </c>
      <c r="AW134" s="92">
        <f t="shared" si="16"/>
        <v>5.0999999999999996</v>
      </c>
    </row>
    <row r="135" spans="1:49" ht="14.25" customHeight="1" x14ac:dyDescent="0.2">
      <c r="A135" s="48">
        <v>52055200</v>
      </c>
      <c r="B135" s="52" t="s">
        <v>291</v>
      </c>
      <c r="C135" s="52" t="s">
        <v>260</v>
      </c>
      <c r="D135" s="53">
        <v>-77.445805559999997</v>
      </c>
      <c r="E135" s="53">
        <v>1.0042222220000001</v>
      </c>
      <c r="F135" s="48">
        <v>2181</v>
      </c>
      <c r="G135" s="46">
        <v>52</v>
      </c>
      <c r="H135" s="46">
        <v>52287</v>
      </c>
      <c r="I135" s="55" t="s">
        <v>83</v>
      </c>
      <c r="J135" s="55" t="s">
        <v>291</v>
      </c>
      <c r="K135" s="51">
        <v>15</v>
      </c>
      <c r="L135" s="51">
        <v>15.4</v>
      </c>
      <c r="M135" s="51">
        <v>13</v>
      </c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2"/>
        <v>3</v>
      </c>
      <c r="AQ135" s="89" t="str">
        <f t="shared" si="13"/>
        <v/>
      </c>
      <c r="AR135" s="89">
        <f>IFERROR(VLOOKUP(A135,Climatologia!A:U,9+$E$2,FALSE),"")</f>
        <v>12.553464872786339</v>
      </c>
      <c r="AS135" s="89" t="str">
        <f t="shared" si="14"/>
        <v/>
      </c>
      <c r="AT135" s="90">
        <f t="shared" si="15"/>
        <v>13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8.6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40382</v>
      </c>
      <c r="AW135" s="92">
        <f t="shared" si="16"/>
        <v>4.4000000000000004</v>
      </c>
    </row>
    <row r="136" spans="1:49" ht="14.25" customHeight="1" x14ac:dyDescent="0.2">
      <c r="A136" s="48">
        <v>52055210</v>
      </c>
      <c r="B136" s="52" t="s">
        <v>292</v>
      </c>
      <c r="C136" s="52" t="s">
        <v>260</v>
      </c>
      <c r="D136" s="53">
        <v>-77.278805559999995</v>
      </c>
      <c r="E136" s="53">
        <v>1.1599999999999999</v>
      </c>
      <c r="F136" s="48">
        <v>2820</v>
      </c>
      <c r="G136" s="46">
        <v>52</v>
      </c>
      <c r="H136" s="46">
        <v>52001</v>
      </c>
      <c r="I136" s="55" t="s">
        <v>83</v>
      </c>
      <c r="J136" s="55" t="s">
        <v>270</v>
      </c>
      <c r="K136" s="51">
        <v>12.2</v>
      </c>
      <c r="L136" s="51">
        <v>11</v>
      </c>
      <c r="M136" s="51">
        <v>10.6</v>
      </c>
      <c r="N136" s="51">
        <v>10.4</v>
      </c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2"/>
        <v>4</v>
      </c>
      <c r="AQ136" s="89" t="str">
        <f t="shared" si="13"/>
        <v/>
      </c>
      <c r="AR136" s="89">
        <f>IFERROR(VLOOKUP(A136,Climatologia!A:U,9+$E$2,FALSE),"")</f>
        <v>8.9132299851098509</v>
      </c>
      <c r="AS136" s="89" t="str">
        <f t="shared" si="14"/>
        <v/>
      </c>
      <c r="AT136" s="90">
        <f t="shared" si="15"/>
        <v>10.4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3.1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136" s="92">
        <f t="shared" si="16"/>
        <v>7.3000000000000007</v>
      </c>
    </row>
    <row r="137" spans="1:49" ht="14.25" customHeight="1" x14ac:dyDescent="0.2">
      <c r="A137" s="48">
        <v>52055220</v>
      </c>
      <c r="B137" s="52" t="s">
        <v>293</v>
      </c>
      <c r="C137" s="52" t="s">
        <v>260</v>
      </c>
      <c r="D137" s="53">
        <v>-77.636935688999998</v>
      </c>
      <c r="E137" s="53">
        <v>1.070707855</v>
      </c>
      <c r="F137" s="48">
        <v>3033</v>
      </c>
      <c r="G137" s="46">
        <v>52</v>
      </c>
      <c r="H137" s="46">
        <v>52838</v>
      </c>
      <c r="I137" s="55" t="s">
        <v>83</v>
      </c>
      <c r="J137" s="55" t="s">
        <v>294</v>
      </c>
      <c r="K137" s="51">
        <v>9</v>
      </c>
      <c r="L137" s="51">
        <v>9.4</v>
      </c>
      <c r="M137" s="51">
        <v>8.6</v>
      </c>
      <c r="N137" s="51">
        <v>9</v>
      </c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11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2"/>
        <v>4</v>
      </c>
      <c r="AQ137" s="89" t="str">
        <f t="shared" si="13"/>
        <v/>
      </c>
      <c r="AR137" s="89">
        <f>IFERROR(VLOOKUP(A137,Climatologia!A:U,9+$E$2,FALSE),"")</f>
        <v>6.7529781105990789</v>
      </c>
      <c r="AS137" s="89" t="str">
        <f t="shared" si="14"/>
        <v/>
      </c>
      <c r="AT137" s="90">
        <f t="shared" si="15"/>
        <v>8.6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1.6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137" s="92">
        <f t="shared" si="16"/>
        <v>7</v>
      </c>
    </row>
    <row r="138" spans="1:49" ht="14.25" customHeight="1" x14ac:dyDescent="0.2">
      <c r="A138" s="48">
        <v>53045040</v>
      </c>
      <c r="B138" s="52" t="s">
        <v>295</v>
      </c>
      <c r="C138" s="52" t="s">
        <v>260</v>
      </c>
      <c r="D138" s="53">
        <v>-77.894750000000002</v>
      </c>
      <c r="E138" s="53">
        <v>2.5744166669999999</v>
      </c>
      <c r="F138" s="48">
        <v>42</v>
      </c>
      <c r="G138" s="46">
        <v>19</v>
      </c>
      <c r="H138" s="46">
        <v>19318</v>
      </c>
      <c r="I138" s="55" t="s">
        <v>182</v>
      </c>
      <c r="J138" s="55" t="s">
        <v>296</v>
      </c>
      <c r="K138" s="51">
        <v>24.2</v>
      </c>
      <c r="L138" s="51">
        <v>24.2</v>
      </c>
      <c r="M138" s="51">
        <v>24.4</v>
      </c>
      <c r="N138" s="51">
        <v>24.6</v>
      </c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11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2"/>
        <v>4</v>
      </c>
      <c r="AQ138" s="89" t="str">
        <f t="shared" si="13"/>
        <v/>
      </c>
      <c r="AR138" s="89" t="str">
        <f>IFERROR(VLOOKUP(A138,Climatologia!A:U,9+$E$2,FALSE),"")</f>
        <v/>
      </c>
      <c r="AS138" s="89" t="str">
        <f t="shared" si="14"/>
        <v/>
      </c>
      <c r="AT138" s="90">
        <f t="shared" si="15"/>
        <v>24.2</v>
      </c>
      <c r="AU138" s="90" t="str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/>
      </c>
      <c r="AV138" s="91" t="str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8" s="92" t="str">
        <f t="shared" si="16"/>
        <v>NA</v>
      </c>
    </row>
    <row r="139" spans="1:49" ht="14.25" customHeight="1" x14ac:dyDescent="0.2">
      <c r="A139" s="48">
        <v>16015020</v>
      </c>
      <c r="B139" s="52" t="s">
        <v>297</v>
      </c>
      <c r="C139" s="52" t="s">
        <v>298</v>
      </c>
      <c r="D139" s="53">
        <v>-72.644999999999996</v>
      </c>
      <c r="E139" s="53">
        <v>7.3731111110000001</v>
      </c>
      <c r="F139" s="48">
        <v>2340</v>
      </c>
      <c r="G139" s="46">
        <v>54</v>
      </c>
      <c r="H139" s="46">
        <v>54518</v>
      </c>
      <c r="I139" s="55" t="s">
        <v>299</v>
      </c>
      <c r="J139" s="55" t="s">
        <v>300</v>
      </c>
      <c r="K139" s="51">
        <v>10.8</v>
      </c>
      <c r="L139" s="51">
        <v>11</v>
      </c>
      <c r="M139" s="51">
        <v>12.2</v>
      </c>
      <c r="N139" s="51">
        <v>12.8</v>
      </c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11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2"/>
        <v>4</v>
      </c>
      <c r="AQ139" s="89" t="str">
        <f t="shared" si="13"/>
        <v/>
      </c>
      <c r="AR139" s="89">
        <f>IFERROR(VLOOKUP(A139,Climatologia!A:U,9+$E$2,FALSE),"")</f>
        <v>11.20513978494624</v>
      </c>
      <c r="AS139" s="89" t="str">
        <f t="shared" si="14"/>
        <v/>
      </c>
      <c r="AT139" s="90">
        <f t="shared" si="15"/>
        <v>10.8</v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>2.6</v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39" s="92">
        <f t="shared" si="16"/>
        <v>8.2000000000000011</v>
      </c>
    </row>
    <row r="140" spans="1:49" ht="14.25" customHeight="1" x14ac:dyDescent="0.2">
      <c r="A140" s="48">
        <v>16015100</v>
      </c>
      <c r="B140" s="52" t="s">
        <v>301</v>
      </c>
      <c r="C140" s="52" t="s">
        <v>298</v>
      </c>
      <c r="D140" s="53">
        <v>-72.483888890000003</v>
      </c>
      <c r="E140" s="53">
        <v>7.5766666669999996</v>
      </c>
      <c r="F140" s="48">
        <v>1550</v>
      </c>
      <c r="G140" s="46">
        <v>54</v>
      </c>
      <c r="H140" s="46">
        <v>54599</v>
      </c>
      <c r="I140" s="55" t="s">
        <v>299</v>
      </c>
      <c r="J140" s="55" t="s">
        <v>301</v>
      </c>
      <c r="K140" s="51">
        <v>15</v>
      </c>
      <c r="L140" s="51">
        <v>15.4</v>
      </c>
      <c r="M140" s="51">
        <v>15.2</v>
      </c>
      <c r="N140" s="51">
        <v>15.8</v>
      </c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11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2"/>
        <v>4</v>
      </c>
      <c r="AQ140" s="89" t="str">
        <f t="shared" si="13"/>
        <v/>
      </c>
      <c r="AR140" s="89">
        <f>IFERROR(VLOOKUP(A140,Climatologia!A:U,9+$E$2,FALSE),"")</f>
        <v>14.402137736815151</v>
      </c>
      <c r="AS140" s="89" t="str">
        <f t="shared" si="14"/>
        <v/>
      </c>
      <c r="AT140" s="90">
        <f t="shared" si="15"/>
        <v>15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11.8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41458</v>
      </c>
      <c r="AW140" s="92">
        <f t="shared" si="16"/>
        <v>3.1999999999999993</v>
      </c>
    </row>
    <row r="141" spans="1:49" ht="14.25" customHeight="1" x14ac:dyDescent="0.2">
      <c r="A141" s="48">
        <v>16025010</v>
      </c>
      <c r="B141" s="52" t="s">
        <v>302</v>
      </c>
      <c r="C141" s="52" t="s">
        <v>298</v>
      </c>
      <c r="D141" s="53">
        <v>-72.566111109999994</v>
      </c>
      <c r="E141" s="53">
        <v>7.8488888890000004</v>
      </c>
      <c r="F141" s="48">
        <v>285</v>
      </c>
      <c r="G141" s="46">
        <v>54</v>
      </c>
      <c r="H141" s="46">
        <v>54001</v>
      </c>
      <c r="I141" s="55" t="s">
        <v>299</v>
      </c>
      <c r="J141" s="55" t="s">
        <v>303</v>
      </c>
      <c r="K141" s="51">
        <v>25.8</v>
      </c>
      <c r="L141" s="51">
        <v>24.2</v>
      </c>
      <c r="M141" s="51">
        <v>26</v>
      </c>
      <c r="N141" s="51">
        <v>23</v>
      </c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11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2"/>
        <v>4</v>
      </c>
      <c r="AQ141" s="89" t="str">
        <f t="shared" si="13"/>
        <v/>
      </c>
      <c r="AR141" s="89">
        <f>IFERROR(VLOOKUP(A141,Climatologia!A:U,9+$E$2,FALSE),"")</f>
        <v>22.245834878259799</v>
      </c>
      <c r="AS141" s="89" t="str">
        <f t="shared" si="14"/>
        <v/>
      </c>
      <c r="AT141" s="90">
        <f t="shared" si="15"/>
        <v>23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17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32692</v>
      </c>
      <c r="AW141" s="92">
        <f t="shared" si="16"/>
        <v>6</v>
      </c>
    </row>
    <row r="142" spans="1:49" ht="14.25" customHeight="1" x14ac:dyDescent="0.2">
      <c r="A142" s="48">
        <v>16025030</v>
      </c>
      <c r="B142" s="52" t="s">
        <v>304</v>
      </c>
      <c r="C142" s="52" t="s">
        <v>298</v>
      </c>
      <c r="D142" s="53">
        <v>-72.830555559999993</v>
      </c>
      <c r="E142" s="53">
        <v>7.7745833329999998</v>
      </c>
      <c r="F142" s="48">
        <v>860</v>
      </c>
      <c r="G142" s="46">
        <v>54</v>
      </c>
      <c r="H142" s="46">
        <v>54660</v>
      </c>
      <c r="I142" s="55" t="s">
        <v>299</v>
      </c>
      <c r="J142" s="55" t="s">
        <v>304</v>
      </c>
      <c r="K142" s="51">
        <v>20.399999999999999</v>
      </c>
      <c r="L142" s="51">
        <v>19.8</v>
      </c>
      <c r="M142" s="51">
        <v>20</v>
      </c>
      <c r="N142" s="51">
        <v>19.600000000000001</v>
      </c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11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2"/>
        <v>4</v>
      </c>
      <c r="AQ142" s="89" t="str">
        <f t="shared" si="13"/>
        <v/>
      </c>
      <c r="AR142" s="89">
        <f>IFERROR(VLOOKUP(A142,Climatologia!A:U,9+$E$2,FALSE),"")</f>
        <v>19.025806451612901</v>
      </c>
      <c r="AS142" s="89" t="str">
        <f t="shared" si="14"/>
        <v/>
      </c>
      <c r="AT142" s="90">
        <f t="shared" si="15"/>
        <v>19.600000000000001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13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142" s="92">
        <f t="shared" si="16"/>
        <v>6.6000000000000014</v>
      </c>
    </row>
    <row r="143" spans="1:49" ht="14.25" customHeight="1" x14ac:dyDescent="0.2">
      <c r="A143" s="48">
        <v>16025040</v>
      </c>
      <c r="B143" s="52" t="s">
        <v>305</v>
      </c>
      <c r="C143" s="52" t="s">
        <v>298</v>
      </c>
      <c r="D143" s="53">
        <v>-72.47878</v>
      </c>
      <c r="E143" s="53">
        <v>8.1672799999999999</v>
      </c>
      <c r="F143" s="48">
        <v>96</v>
      </c>
      <c r="G143" s="46">
        <v>54</v>
      </c>
      <c r="H143" s="46">
        <v>54001</v>
      </c>
      <c r="I143" s="55" t="s">
        <v>299</v>
      </c>
      <c r="J143" s="55" t="s">
        <v>303</v>
      </c>
      <c r="K143" s="51">
        <v>26.2</v>
      </c>
      <c r="L143" s="51">
        <v>23.4</v>
      </c>
      <c r="M143" s="51">
        <v>24.6</v>
      </c>
      <c r="N143" s="51">
        <v>23.4</v>
      </c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11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2"/>
        <v>4</v>
      </c>
      <c r="AQ143" s="89" t="str">
        <f t="shared" si="13"/>
        <v/>
      </c>
      <c r="AR143" s="89">
        <f>IFERROR(VLOOKUP(A143,Climatologia!A:U,9+$E$2,FALSE),"")</f>
        <v>23.058077373350361</v>
      </c>
      <c r="AS143" s="89" t="str">
        <f t="shared" si="14"/>
        <v/>
      </c>
      <c r="AT143" s="90">
        <f t="shared" si="15"/>
        <v>23.4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16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31231</v>
      </c>
      <c r="AW143" s="92">
        <f t="shared" si="16"/>
        <v>7.3999999999999986</v>
      </c>
    </row>
    <row r="144" spans="1:49" ht="14.25" customHeight="1" x14ac:dyDescent="0.2">
      <c r="A144" s="48">
        <v>16055010</v>
      </c>
      <c r="B144" s="52" t="s">
        <v>306</v>
      </c>
      <c r="C144" s="52" t="s">
        <v>298</v>
      </c>
      <c r="D144" s="53">
        <v>-73.357500000000002</v>
      </c>
      <c r="E144" s="53">
        <v>8.3152777780000005</v>
      </c>
      <c r="F144" s="48">
        <v>1435</v>
      </c>
      <c r="G144" s="46">
        <v>54</v>
      </c>
      <c r="H144" s="46">
        <v>54498</v>
      </c>
      <c r="I144" s="55" t="s">
        <v>299</v>
      </c>
      <c r="J144" s="55" t="s">
        <v>307</v>
      </c>
      <c r="K144" s="51">
        <v>16.8</v>
      </c>
      <c r="L144" s="51">
        <v>18</v>
      </c>
      <c r="M144" s="51">
        <v>16.8</v>
      </c>
      <c r="N144" s="51">
        <v>17</v>
      </c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11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2"/>
        <v>4</v>
      </c>
      <c r="AQ144" s="89" t="str">
        <f t="shared" si="13"/>
        <v/>
      </c>
      <c r="AR144" s="89">
        <f>IFERROR(VLOOKUP(A144,Climatologia!A:U,9+$E$2,FALSE),"")</f>
        <v>15.740161290322581</v>
      </c>
      <c r="AS144" s="89" t="str">
        <f t="shared" si="14"/>
        <v/>
      </c>
      <c r="AT144" s="90">
        <f t="shared" si="15"/>
        <v>16.8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10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144" s="92">
        <f t="shared" si="16"/>
        <v>6.8000000000000007</v>
      </c>
    </row>
    <row r="145" spans="1:49" ht="14.25" customHeight="1" x14ac:dyDescent="0.2">
      <c r="A145" s="48">
        <v>16055040</v>
      </c>
      <c r="B145" s="52" t="s">
        <v>308</v>
      </c>
      <c r="C145" s="52" t="s">
        <v>298</v>
      </c>
      <c r="D145" s="53">
        <v>-73.223055560000006</v>
      </c>
      <c r="E145" s="53">
        <v>8.0872222219999994</v>
      </c>
      <c r="F145" s="48">
        <v>1430</v>
      </c>
      <c r="G145" s="46">
        <v>54</v>
      </c>
      <c r="H145" s="46">
        <v>54003</v>
      </c>
      <c r="I145" s="55" t="s">
        <v>299</v>
      </c>
      <c r="J145" s="55" t="s">
        <v>309</v>
      </c>
      <c r="K145" s="51">
        <v>14</v>
      </c>
      <c r="L145" s="51">
        <v>14</v>
      </c>
      <c r="M145" s="51">
        <v>13.8</v>
      </c>
      <c r="N145" s="51">
        <v>13.8</v>
      </c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11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2"/>
        <v>4</v>
      </c>
      <c r="AQ145" s="89" t="str">
        <f t="shared" si="13"/>
        <v/>
      </c>
      <c r="AR145" s="89">
        <f>IFERROR(VLOOKUP(A145,Climatologia!A:U,9+$E$2,FALSE),"")</f>
        <v>13.803722366927129</v>
      </c>
      <c r="AS145" s="89" t="str">
        <f t="shared" si="14"/>
        <v/>
      </c>
      <c r="AT145" s="90">
        <f t="shared" si="15"/>
        <v>13.8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8.1999999999999993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45" s="92">
        <f t="shared" si="16"/>
        <v>5.6000000000000014</v>
      </c>
    </row>
    <row r="146" spans="1:49" ht="14.25" customHeight="1" x14ac:dyDescent="0.2">
      <c r="A146" s="48">
        <v>23125060</v>
      </c>
      <c r="B146" s="52" t="s">
        <v>310</v>
      </c>
      <c r="C146" s="52" t="s">
        <v>298</v>
      </c>
      <c r="D146" s="53">
        <v>-73.91333333</v>
      </c>
      <c r="E146" s="53">
        <v>5.7583333330000004</v>
      </c>
      <c r="F146" s="48">
        <v>1690</v>
      </c>
      <c r="G146" s="46">
        <v>68</v>
      </c>
      <c r="H146" s="46">
        <v>68020</v>
      </c>
      <c r="I146" s="55" t="s">
        <v>50</v>
      </c>
      <c r="J146" s="55" t="s">
        <v>310</v>
      </c>
      <c r="K146" s="51">
        <v>17.399999999999999</v>
      </c>
      <c r="L146" s="51">
        <v>16</v>
      </c>
      <c r="M146" s="51">
        <v>16.399999999999999</v>
      </c>
      <c r="N146" s="51">
        <v>15.6</v>
      </c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11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2"/>
        <v>4</v>
      </c>
      <c r="AQ146" s="89" t="str">
        <f t="shared" si="13"/>
        <v/>
      </c>
      <c r="AR146" s="89">
        <f>IFERROR(VLOOKUP(A146,Climatologia!A:U,9+$E$2,FALSE),"")</f>
        <v>14.51408071669195</v>
      </c>
      <c r="AS146" s="89" t="str">
        <f t="shared" si="14"/>
        <v/>
      </c>
      <c r="AT146" s="90">
        <f t="shared" si="15"/>
        <v>15.6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10.4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33810</v>
      </c>
      <c r="AW146" s="92">
        <f t="shared" si="16"/>
        <v>5.1999999999999993</v>
      </c>
    </row>
    <row r="147" spans="1:49" ht="14.25" customHeight="1" x14ac:dyDescent="0.2">
      <c r="A147" s="48">
        <v>23125120</v>
      </c>
      <c r="B147" s="52" t="s">
        <v>311</v>
      </c>
      <c r="C147" s="52" t="s">
        <v>298</v>
      </c>
      <c r="D147" s="53">
        <v>-73.952222219999996</v>
      </c>
      <c r="E147" s="53">
        <v>6.3086111110000003</v>
      </c>
      <c r="F147" s="48">
        <v>198</v>
      </c>
      <c r="G147" s="46">
        <v>68</v>
      </c>
      <c r="H147" s="46">
        <v>68190</v>
      </c>
      <c r="I147" s="55" t="s">
        <v>50</v>
      </c>
      <c r="J147" s="55" t="s">
        <v>311</v>
      </c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2"/>
        <v>0</v>
      </c>
      <c r="AQ147" s="89" t="str">
        <f t="shared" si="13"/>
        <v/>
      </c>
      <c r="AR147" s="89">
        <f>IFERROR(VLOOKUP(A147,Climatologia!A:U,9+$E$2,FALSE),"")</f>
        <v>22.195180230256881</v>
      </c>
      <c r="AS147" s="89" t="str">
        <f t="shared" si="14"/>
        <v/>
      </c>
      <c r="AT147" s="90" t="str">
        <f t="shared" si="15"/>
        <v/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16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37814</v>
      </c>
      <c r="AW147" s="92" t="str">
        <f t="shared" si="16"/>
        <v>NA</v>
      </c>
    </row>
    <row r="148" spans="1:49" ht="14.25" customHeight="1" x14ac:dyDescent="0.2">
      <c r="A148" s="48">
        <v>23145020</v>
      </c>
      <c r="B148" s="52" t="s">
        <v>312</v>
      </c>
      <c r="C148" s="52" t="s">
        <v>298</v>
      </c>
      <c r="D148" s="53">
        <v>-73.510000000000005</v>
      </c>
      <c r="E148" s="53">
        <v>6.6963888889999996</v>
      </c>
      <c r="F148" s="48">
        <v>805</v>
      </c>
      <c r="G148" s="46">
        <v>68</v>
      </c>
      <c r="H148" s="46">
        <v>68235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2"/>
        <v>0</v>
      </c>
      <c r="AQ148" s="89" t="str">
        <f t="shared" si="13"/>
        <v/>
      </c>
      <c r="AR148" s="89">
        <f>IFERROR(VLOOKUP(A148,Climatologia!A:U,9+$E$2,FALSE),"")</f>
        <v>19.655086355667251</v>
      </c>
      <c r="AS148" s="89" t="str">
        <f t="shared" si="14"/>
        <v/>
      </c>
      <c r="AT148" s="90" t="str">
        <f t="shared" si="15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16.8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35248</v>
      </c>
      <c r="AW148" s="92" t="str">
        <f t="shared" si="16"/>
        <v>NA</v>
      </c>
    </row>
    <row r="149" spans="1:49" ht="14.25" customHeight="1" x14ac:dyDescent="0.2">
      <c r="A149" s="48">
        <v>23155040</v>
      </c>
      <c r="B149" s="52" t="s">
        <v>314</v>
      </c>
      <c r="C149" s="52" t="s">
        <v>298</v>
      </c>
      <c r="D149" s="53">
        <v>-73.765083329999996</v>
      </c>
      <c r="E149" s="53">
        <v>6.8595555560000001</v>
      </c>
      <c r="F149" s="48">
        <v>114</v>
      </c>
      <c r="G149" s="46">
        <v>68</v>
      </c>
      <c r="H149" s="46">
        <v>68081</v>
      </c>
      <c r="I149" s="55" t="s">
        <v>50</v>
      </c>
      <c r="J149" s="55" t="s">
        <v>51</v>
      </c>
      <c r="K149" s="51">
        <v>24.2</v>
      </c>
      <c r="L149" s="51">
        <v>25.2</v>
      </c>
      <c r="M149" s="51">
        <v>24.2</v>
      </c>
      <c r="N149" s="51">
        <v>23.8</v>
      </c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2"/>
        <v>4</v>
      </c>
      <c r="AQ149" s="89" t="str">
        <f t="shared" si="13"/>
        <v/>
      </c>
      <c r="AR149" s="89">
        <f>IFERROR(VLOOKUP(A149,Climatologia!A:U,9+$E$2,FALSE),"")</f>
        <v>22.18387110738724</v>
      </c>
      <c r="AS149" s="89" t="str">
        <f t="shared" si="14"/>
        <v/>
      </c>
      <c r="AT149" s="90">
        <f t="shared" si="15"/>
        <v>23.8</v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19.2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34890</v>
      </c>
      <c r="AW149" s="92">
        <f t="shared" si="16"/>
        <v>4.6000000000000014</v>
      </c>
    </row>
    <row r="150" spans="1:49" ht="14.25" customHeight="1" x14ac:dyDescent="0.2">
      <c r="A150" s="48">
        <v>23185010</v>
      </c>
      <c r="B150" s="52" t="s">
        <v>315</v>
      </c>
      <c r="C150" s="52" t="s">
        <v>298</v>
      </c>
      <c r="D150" s="53">
        <v>-73.537222220000004</v>
      </c>
      <c r="E150" s="53">
        <v>7.4561111110000002</v>
      </c>
      <c r="F150" s="48">
        <v>328</v>
      </c>
      <c r="G150" s="46">
        <v>68</v>
      </c>
      <c r="H150" s="46">
        <v>68655</v>
      </c>
      <c r="I150" s="55" t="s">
        <v>50</v>
      </c>
      <c r="J150" s="55" t="s">
        <v>316</v>
      </c>
      <c r="K150" s="51">
        <v>24</v>
      </c>
      <c r="L150" s="51">
        <v>26</v>
      </c>
      <c r="M150" s="51">
        <v>23.8</v>
      </c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11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2"/>
        <v>3</v>
      </c>
      <c r="AQ150" s="89" t="str">
        <f t="shared" si="13"/>
        <v/>
      </c>
      <c r="AR150" s="89">
        <f>IFERROR(VLOOKUP(A150,Climatologia!A:U,9+$E$2,FALSE),"")</f>
        <v>23.43347279820177</v>
      </c>
      <c r="AS150" s="89" t="str">
        <f t="shared" si="14"/>
        <v/>
      </c>
      <c r="AT150" s="90">
        <f t="shared" si="15"/>
        <v>23.8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17.399999999999999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30512</v>
      </c>
      <c r="AW150" s="92">
        <f t="shared" si="16"/>
        <v>6.4000000000000021</v>
      </c>
    </row>
    <row r="151" spans="1:49" ht="14.25" customHeight="1" x14ac:dyDescent="0.2">
      <c r="A151" s="48">
        <v>23195090</v>
      </c>
      <c r="B151" s="52" t="s">
        <v>317</v>
      </c>
      <c r="C151" s="52" t="s">
        <v>298</v>
      </c>
      <c r="D151" s="53">
        <v>-72.987499999999997</v>
      </c>
      <c r="E151" s="53">
        <v>7.3658299999999999</v>
      </c>
      <c r="F151" s="48">
        <v>1791</v>
      </c>
      <c r="G151" s="46">
        <v>68</v>
      </c>
      <c r="H151" s="46">
        <v>68780</v>
      </c>
      <c r="I151" s="55" t="s">
        <v>50</v>
      </c>
      <c r="J151" s="55" t="s">
        <v>318</v>
      </c>
      <c r="K151" s="51">
        <v>16</v>
      </c>
      <c r="L151" s="51"/>
      <c r="M151" s="51">
        <v>15.4</v>
      </c>
      <c r="N151" s="51">
        <v>15</v>
      </c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11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2"/>
        <v>3</v>
      </c>
      <c r="AQ151" s="89" t="str">
        <f t="shared" si="13"/>
        <v/>
      </c>
      <c r="AR151" s="89">
        <f>IFERROR(VLOOKUP(A151,Climatologia!A:U,9+$E$2,FALSE),"")</f>
        <v>14.297625170572489</v>
      </c>
      <c r="AS151" s="89" t="str">
        <f t="shared" si="14"/>
        <v/>
      </c>
      <c r="AT151" s="90">
        <f t="shared" si="15"/>
        <v>15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9.4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151" s="92">
        <f t="shared" si="16"/>
        <v>5.6</v>
      </c>
    </row>
    <row r="152" spans="1:49" ht="14.25" customHeight="1" x14ac:dyDescent="0.2">
      <c r="A152" s="48">
        <v>23195110</v>
      </c>
      <c r="B152" s="52" t="s">
        <v>319</v>
      </c>
      <c r="C152" s="52" t="s">
        <v>298</v>
      </c>
      <c r="D152" s="53">
        <v>-73.167222219999999</v>
      </c>
      <c r="E152" s="53">
        <v>7.0255555559999996</v>
      </c>
      <c r="F152" s="48">
        <v>777</v>
      </c>
      <c r="G152" s="46">
        <v>68</v>
      </c>
      <c r="H152" s="46">
        <v>68307</v>
      </c>
      <c r="I152" s="55" t="s">
        <v>50</v>
      </c>
      <c r="J152" s="55" t="s">
        <v>320</v>
      </c>
      <c r="K152" s="51">
        <v>20.8</v>
      </c>
      <c r="L152" s="51">
        <v>21.4</v>
      </c>
      <c r="M152" s="51">
        <v>19.8</v>
      </c>
      <c r="N152" s="51">
        <v>20</v>
      </c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11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2"/>
        <v>4</v>
      </c>
      <c r="AQ152" s="89" t="str">
        <f t="shared" si="13"/>
        <v/>
      </c>
      <c r="AR152" s="89">
        <f>IFERROR(VLOOKUP(A152,Climatologia!A:U,9+$E$2,FALSE),"")</f>
        <v>19.338408533503909</v>
      </c>
      <c r="AS152" s="89" t="str">
        <f t="shared" si="14"/>
        <v/>
      </c>
      <c r="AT152" s="90">
        <f t="shared" si="15"/>
        <v>19.8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30505</v>
      </c>
      <c r="AW152" s="92">
        <f t="shared" si="16"/>
        <v>5.8000000000000007</v>
      </c>
    </row>
    <row r="153" spans="1:49" ht="14.25" customHeight="1" x14ac:dyDescent="0.2">
      <c r="A153" s="48">
        <v>24015250</v>
      </c>
      <c r="B153" s="52" t="s">
        <v>321</v>
      </c>
      <c r="C153" s="52" t="s">
        <v>298</v>
      </c>
      <c r="D153" s="53">
        <v>-73.415388890000003</v>
      </c>
      <c r="E153" s="53">
        <v>6.2371666670000003</v>
      </c>
      <c r="F153" s="48">
        <v>1400</v>
      </c>
      <c r="G153" s="46">
        <v>68</v>
      </c>
      <c r="H153" s="46">
        <v>68320</v>
      </c>
      <c r="I153" s="55" t="s">
        <v>50</v>
      </c>
      <c r="J153" s="55" t="s">
        <v>322</v>
      </c>
      <c r="K153" s="51">
        <v>16.8</v>
      </c>
      <c r="L153" s="51">
        <v>17</v>
      </c>
      <c r="M153" s="51">
        <v>15.8</v>
      </c>
      <c r="N153" s="51">
        <v>17.600000000000001</v>
      </c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11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2"/>
        <v>4</v>
      </c>
      <c r="AQ153" s="89" t="str">
        <f t="shared" si="13"/>
        <v/>
      </c>
      <c r="AR153" s="89">
        <f>IFERROR(VLOOKUP(A153,Climatologia!A:U,9+$E$2,FALSE),"")</f>
        <v>15.46093670134405</v>
      </c>
      <c r="AS153" s="89" t="str">
        <f t="shared" si="14"/>
        <v/>
      </c>
      <c r="AT153" s="90">
        <f t="shared" si="15"/>
        <v>15.8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11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30147</v>
      </c>
      <c r="AW153" s="92">
        <f t="shared" si="16"/>
        <v>4.8000000000000007</v>
      </c>
    </row>
    <row r="154" spans="1:49" ht="14.25" customHeight="1" x14ac:dyDescent="0.2">
      <c r="A154" s="48">
        <v>24015260</v>
      </c>
      <c r="B154" s="52" t="s">
        <v>124</v>
      </c>
      <c r="C154" s="52" t="s">
        <v>298</v>
      </c>
      <c r="D154" s="53">
        <v>-73.368333329999999</v>
      </c>
      <c r="E154" s="53">
        <v>6.3550000000000004</v>
      </c>
      <c r="F154" s="48">
        <v>190</v>
      </c>
      <c r="G154" s="46">
        <v>68</v>
      </c>
      <c r="H154" s="46">
        <v>68176</v>
      </c>
      <c r="I154" s="55" t="s">
        <v>50</v>
      </c>
      <c r="J154" s="55" t="s">
        <v>124</v>
      </c>
      <c r="K154" s="51">
        <v>18.399999999999999</v>
      </c>
      <c r="L154" s="51">
        <v>19</v>
      </c>
      <c r="M154" s="51">
        <v>18.8</v>
      </c>
      <c r="N154" s="51">
        <v>18.600000000000001</v>
      </c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11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2"/>
        <v>4</v>
      </c>
      <c r="AQ154" s="89" t="str">
        <f t="shared" si="13"/>
        <v/>
      </c>
      <c r="AR154" s="89">
        <f>IFERROR(VLOOKUP(A154,Climatologia!A:U,9+$E$2,FALSE),"")</f>
        <v>17.87864592645921</v>
      </c>
      <c r="AS154" s="89" t="str">
        <f t="shared" si="14"/>
        <v/>
      </c>
      <c r="AT154" s="90">
        <f t="shared" si="15"/>
        <v>18.399999999999999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12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39638</v>
      </c>
      <c r="AW154" s="92">
        <f t="shared" si="16"/>
        <v>6.3999999999999986</v>
      </c>
    </row>
    <row r="155" spans="1:49" ht="14.25" customHeight="1" x14ac:dyDescent="0.2">
      <c r="A155" s="48">
        <v>24025040</v>
      </c>
      <c r="B155" s="52" t="s">
        <v>323</v>
      </c>
      <c r="C155" s="52" t="s">
        <v>298</v>
      </c>
      <c r="D155" s="53">
        <v>-72.968888890000002</v>
      </c>
      <c r="E155" s="53">
        <v>6.47</v>
      </c>
      <c r="F155" s="48">
        <v>1673</v>
      </c>
      <c r="G155" s="46">
        <v>68</v>
      </c>
      <c r="H155" s="46">
        <v>68464</v>
      </c>
      <c r="I155" s="55" t="s">
        <v>50</v>
      </c>
      <c r="J155" s="55" t="s">
        <v>324</v>
      </c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2"/>
        <v>0</v>
      </c>
      <c r="AQ155" s="89" t="str">
        <f t="shared" si="13"/>
        <v/>
      </c>
      <c r="AR155" s="89">
        <f>IFERROR(VLOOKUP(A155,Climatologia!A:U,9+$E$2,FALSE),"")</f>
        <v>13.12444319775596</v>
      </c>
      <c r="AS155" s="89" t="str">
        <f t="shared" si="14"/>
        <v/>
      </c>
      <c r="AT155" s="90" t="str">
        <f t="shared" si="15"/>
        <v/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7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37804</v>
      </c>
      <c r="AW155" s="92" t="str">
        <f t="shared" si="16"/>
        <v>NA</v>
      </c>
    </row>
    <row r="156" spans="1:49" ht="14.25" customHeight="1" x14ac:dyDescent="0.2">
      <c r="A156" s="48">
        <v>24035400</v>
      </c>
      <c r="B156" s="52" t="s">
        <v>325</v>
      </c>
      <c r="C156" s="52" t="s">
        <v>298</v>
      </c>
      <c r="D156" s="53">
        <v>-72.67777778</v>
      </c>
      <c r="E156" s="53">
        <v>6.8452777779999998</v>
      </c>
      <c r="F156" s="48">
        <v>2841</v>
      </c>
      <c r="G156" s="46">
        <v>68</v>
      </c>
      <c r="H156" s="46">
        <v>68162</v>
      </c>
      <c r="I156" s="55" t="s">
        <v>50</v>
      </c>
      <c r="J156" s="55" t="s">
        <v>326</v>
      </c>
      <c r="K156" s="51">
        <v>11.2</v>
      </c>
      <c r="L156" s="51">
        <v>11</v>
      </c>
      <c r="M156" s="51">
        <v>10.199999999999999</v>
      </c>
      <c r="N156" s="51">
        <v>10</v>
      </c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2"/>
        <v>4</v>
      </c>
      <c r="AQ156" s="89" t="str">
        <f t="shared" si="13"/>
        <v/>
      </c>
      <c r="AR156" s="89">
        <f>IFERROR(VLOOKUP(A156,Climatologia!A:U,9+$E$2,FALSE),"")</f>
        <v>9.5855913978494645</v>
      </c>
      <c r="AS156" s="89" t="str">
        <f t="shared" si="14"/>
        <v/>
      </c>
      <c r="AT156" s="90">
        <f t="shared" si="15"/>
        <v>10</v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6.2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156" s="92">
        <f t="shared" si="16"/>
        <v>3.8</v>
      </c>
    </row>
    <row r="157" spans="1:49" ht="14.25" customHeight="1" x14ac:dyDescent="0.2">
      <c r="A157" s="48">
        <v>24055030</v>
      </c>
      <c r="B157" s="52" t="s">
        <v>327</v>
      </c>
      <c r="C157" s="52" t="s">
        <v>298</v>
      </c>
      <c r="D157" s="53">
        <v>-73.282749999999993</v>
      </c>
      <c r="E157" s="53">
        <v>6.7927777779999996</v>
      </c>
      <c r="F157" s="48">
        <v>1810</v>
      </c>
      <c r="G157" s="46">
        <v>68</v>
      </c>
      <c r="H157" s="46">
        <v>68895</v>
      </c>
      <c r="I157" s="55" t="s">
        <v>50</v>
      </c>
      <c r="J157" s="55" t="s">
        <v>327</v>
      </c>
      <c r="K157" s="51">
        <v>14.4</v>
      </c>
      <c r="L157" s="51">
        <v>14.8</v>
      </c>
      <c r="M157" s="51">
        <v>13</v>
      </c>
      <c r="N157" s="51">
        <v>14.2</v>
      </c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2"/>
        <v>4</v>
      </c>
      <c r="AQ157" s="89" t="str">
        <f t="shared" si="13"/>
        <v/>
      </c>
      <c r="AR157" s="89">
        <f>IFERROR(VLOOKUP(A157,Climatologia!A:U,9+$E$2,FALSE),"")</f>
        <v>13.943843654075909</v>
      </c>
      <c r="AS157" s="89" t="str">
        <f t="shared" si="14"/>
        <v/>
      </c>
      <c r="AT157" s="90">
        <f t="shared" si="15"/>
        <v>13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11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57" s="92">
        <f t="shared" si="16"/>
        <v>2</v>
      </c>
    </row>
    <row r="158" spans="1:49" ht="14.25" customHeight="1" x14ac:dyDescent="0.2">
      <c r="A158" s="48">
        <v>24055040</v>
      </c>
      <c r="B158" s="52" t="s">
        <v>328</v>
      </c>
      <c r="C158" s="52" t="s">
        <v>298</v>
      </c>
      <c r="D158" s="53">
        <v>-73.292000000000002</v>
      </c>
      <c r="E158" s="53">
        <v>6.5497222219999998</v>
      </c>
      <c r="F158" s="48">
        <v>940</v>
      </c>
      <c r="G158" s="46">
        <v>68</v>
      </c>
      <c r="H158" s="46">
        <v>68522</v>
      </c>
      <c r="I158" s="55" t="s">
        <v>50</v>
      </c>
      <c r="J158" s="55" t="s">
        <v>329</v>
      </c>
      <c r="K158" s="51">
        <v>20.399999999999999</v>
      </c>
      <c r="L158" s="51">
        <v>22</v>
      </c>
      <c r="M158" s="51">
        <v>20.6</v>
      </c>
      <c r="N158" s="51">
        <v>21.8</v>
      </c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11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2"/>
        <v>4</v>
      </c>
      <c r="AQ158" s="89" t="str">
        <f t="shared" si="13"/>
        <v/>
      </c>
      <c r="AR158" s="89">
        <f>IFERROR(VLOOKUP(A158,Climatologia!A:U,9+$E$2,FALSE),"")</f>
        <v>19.834386821064239</v>
      </c>
      <c r="AS158" s="89" t="str">
        <f t="shared" si="14"/>
        <v/>
      </c>
      <c r="AT158" s="90">
        <f t="shared" si="15"/>
        <v>20.399999999999999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15.6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58" s="92">
        <f t="shared" si="16"/>
        <v>4.7999999999999989</v>
      </c>
    </row>
    <row r="159" spans="1:49" ht="14.25" customHeight="1" x14ac:dyDescent="0.2">
      <c r="A159" s="48">
        <v>37015020</v>
      </c>
      <c r="B159" s="52" t="s">
        <v>330</v>
      </c>
      <c r="C159" s="52" t="s">
        <v>298</v>
      </c>
      <c r="D159" s="53">
        <v>-72.868611110000003</v>
      </c>
      <c r="E159" s="53">
        <v>7.1869444439999999</v>
      </c>
      <c r="F159" s="48">
        <v>3214</v>
      </c>
      <c r="G159" s="46">
        <v>68</v>
      </c>
      <c r="H159" s="46">
        <v>68820</v>
      </c>
      <c r="I159" s="55" t="s">
        <v>50</v>
      </c>
      <c r="J159" s="55" t="s">
        <v>331</v>
      </c>
      <c r="K159" s="51">
        <v>6.8</v>
      </c>
      <c r="L159" s="51">
        <v>6.8</v>
      </c>
      <c r="M159" s="51">
        <v>7.8</v>
      </c>
      <c r="N159" s="51">
        <v>7</v>
      </c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11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2"/>
        <v>4</v>
      </c>
      <c r="AQ159" s="89" t="str">
        <f t="shared" si="13"/>
        <v/>
      </c>
      <c r="AR159" s="89">
        <f>IFERROR(VLOOKUP(A159,Climatologia!A:U,9+$E$2,FALSE),"")</f>
        <v>5.6003137960461657</v>
      </c>
      <c r="AS159" s="89" t="str">
        <f t="shared" si="14"/>
        <v/>
      </c>
      <c r="AT159" s="90">
        <f t="shared" si="15"/>
        <v>6.8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-3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31605</v>
      </c>
      <c r="AW159" s="92">
        <f t="shared" si="16"/>
        <v>9.8000000000000007</v>
      </c>
    </row>
    <row r="160" spans="1:49" ht="14.25" customHeight="1" x14ac:dyDescent="0.2">
      <c r="A160" s="48">
        <v>37035010</v>
      </c>
      <c r="B160" s="52" t="s">
        <v>332</v>
      </c>
      <c r="C160" s="52" t="s">
        <v>298</v>
      </c>
      <c r="D160" s="53">
        <v>-72.115833330000001</v>
      </c>
      <c r="E160" s="53">
        <v>7.0061111110000001</v>
      </c>
      <c r="F160" s="48">
        <v>370</v>
      </c>
      <c r="G160" s="46">
        <v>54</v>
      </c>
      <c r="H160" s="46">
        <v>54820</v>
      </c>
      <c r="I160" s="55" t="s">
        <v>299</v>
      </c>
      <c r="J160" s="55" t="s">
        <v>333</v>
      </c>
      <c r="K160" s="51">
        <v>20.8</v>
      </c>
      <c r="L160" s="51"/>
      <c r="M160" s="51"/>
      <c r="N160" s="51">
        <v>20.6</v>
      </c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2"/>
        <v>2</v>
      </c>
      <c r="AQ160" s="89" t="str">
        <f t="shared" si="13"/>
        <v/>
      </c>
      <c r="AR160" s="89">
        <f>IFERROR(VLOOKUP(A160,Climatologia!A:U,9+$E$2,FALSE),"")</f>
        <v>20.495547320475019</v>
      </c>
      <c r="AS160" s="89" t="str">
        <f t="shared" si="14"/>
        <v/>
      </c>
      <c r="AT160" s="90">
        <f t="shared" si="15"/>
        <v>20.6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16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36717</v>
      </c>
      <c r="AW160" s="92">
        <f t="shared" si="16"/>
        <v>4.6000000000000014</v>
      </c>
    </row>
    <row r="161" spans="1:49" ht="14.25" customHeight="1" x14ac:dyDescent="0.2">
      <c r="A161" s="48">
        <v>26025090</v>
      </c>
      <c r="B161" s="52" t="s">
        <v>334</v>
      </c>
      <c r="C161" s="52" t="s">
        <v>335</v>
      </c>
      <c r="D161" s="53">
        <v>-76.561833332999996</v>
      </c>
      <c r="E161" s="53">
        <v>2.5847500000000001</v>
      </c>
      <c r="F161" s="48">
        <v>1850</v>
      </c>
      <c r="G161" s="46">
        <v>19</v>
      </c>
      <c r="H161" s="46">
        <v>19130</v>
      </c>
      <c r="I161" s="55" t="s">
        <v>182</v>
      </c>
      <c r="J161" s="55" t="s">
        <v>336</v>
      </c>
      <c r="K161" s="51">
        <v>14.8</v>
      </c>
      <c r="L161" s="51">
        <v>15</v>
      </c>
      <c r="M161" s="51">
        <v>15.8</v>
      </c>
      <c r="N161" s="51">
        <v>14.6</v>
      </c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2"/>
        <v>4</v>
      </c>
      <c r="AQ161" s="89" t="str">
        <f t="shared" si="13"/>
        <v/>
      </c>
      <c r="AR161" s="89">
        <f>IFERROR(VLOOKUP(A161,Climatologia!A:U,9+$E$2,FALSE),"")</f>
        <v>13.818785782119109</v>
      </c>
      <c r="AS161" s="89" t="str">
        <f t="shared" si="14"/>
        <v/>
      </c>
      <c r="AT161" s="90">
        <f t="shared" si="15"/>
        <v>14.6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10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36357</v>
      </c>
      <c r="AW161" s="92">
        <f t="shared" si="16"/>
        <v>4.5999999999999996</v>
      </c>
    </row>
    <row r="162" spans="1:49" ht="14.25" customHeight="1" x14ac:dyDescent="0.2">
      <c r="A162" s="48">
        <v>26025110</v>
      </c>
      <c r="B162" s="52" t="s">
        <v>337</v>
      </c>
      <c r="C162" s="52" t="s">
        <v>335</v>
      </c>
      <c r="D162" s="53">
        <v>-76.556250000000006</v>
      </c>
      <c r="E162" s="53">
        <v>3.0753888890000001</v>
      </c>
      <c r="F162" s="48">
        <v>1009</v>
      </c>
      <c r="G162" s="46">
        <v>19</v>
      </c>
      <c r="H162" s="46">
        <v>19698</v>
      </c>
      <c r="I162" s="55" t="s">
        <v>182</v>
      </c>
      <c r="J162" s="55" t="s">
        <v>338</v>
      </c>
      <c r="K162" s="51">
        <v>19</v>
      </c>
      <c r="L162" s="51">
        <v>18</v>
      </c>
      <c r="M162" s="51">
        <v>18.600000000000001</v>
      </c>
      <c r="N162" s="51">
        <v>18</v>
      </c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2"/>
        <v>4</v>
      </c>
      <c r="AQ162" s="89" t="str">
        <f t="shared" si="13"/>
        <v/>
      </c>
      <c r="AR162" s="89">
        <f>IFERROR(VLOOKUP(A162,Climatologia!A:U,9+$E$2,FALSE),"")</f>
        <v>18.04587813620072</v>
      </c>
      <c r="AS162" s="89" t="str">
        <f t="shared" si="14"/>
        <v/>
      </c>
      <c r="AT162" s="90">
        <f t="shared" si="15"/>
        <v>18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14.2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39292</v>
      </c>
      <c r="AW162" s="92">
        <f t="shared" si="16"/>
        <v>3.8000000000000007</v>
      </c>
    </row>
    <row r="163" spans="1:49" ht="14.25" customHeight="1" x14ac:dyDescent="0.2">
      <c r="A163" s="48">
        <v>26075010</v>
      </c>
      <c r="B163" s="52" t="s">
        <v>339</v>
      </c>
      <c r="C163" s="52" t="s">
        <v>335</v>
      </c>
      <c r="D163" s="53">
        <v>-76.314888889000002</v>
      </c>
      <c r="E163" s="53">
        <v>3.5134722219999999</v>
      </c>
      <c r="F163" s="48">
        <v>1018</v>
      </c>
      <c r="G163" s="46">
        <v>76</v>
      </c>
      <c r="H163" s="46">
        <v>76520</v>
      </c>
      <c r="I163" s="55" t="s">
        <v>340</v>
      </c>
      <c r="J163" s="55" t="s">
        <v>78</v>
      </c>
      <c r="K163" s="51">
        <v>20.6</v>
      </c>
      <c r="L163" s="51">
        <v>19.8</v>
      </c>
      <c r="M163" s="51">
        <v>21.4</v>
      </c>
      <c r="N163" s="51">
        <v>20.6</v>
      </c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2"/>
        <v>4</v>
      </c>
      <c r="AQ163" s="89" t="str">
        <f t="shared" si="13"/>
        <v/>
      </c>
      <c r="AR163" s="89">
        <f>IFERROR(VLOOKUP(A163,Climatologia!A:U,9+$E$2,FALSE),"")</f>
        <v>19.115674945265461</v>
      </c>
      <c r="AS163" s="89" t="str">
        <f t="shared" si="14"/>
        <v/>
      </c>
      <c r="AT163" s="90">
        <f t="shared" si="15"/>
        <v>19.8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14.7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31250</v>
      </c>
      <c r="AW163" s="92">
        <f t="shared" si="16"/>
        <v>5.1000000000000014</v>
      </c>
    </row>
    <row r="164" spans="1:49" ht="14.25" customHeight="1" x14ac:dyDescent="0.2">
      <c r="A164" s="48">
        <v>26105140</v>
      </c>
      <c r="B164" s="52" t="s">
        <v>341</v>
      </c>
      <c r="C164" s="52" t="s">
        <v>335</v>
      </c>
      <c r="D164" s="53">
        <v>-75.888027777999994</v>
      </c>
      <c r="E164" s="53">
        <v>4.0330555559999999</v>
      </c>
      <c r="F164" s="48">
        <v>2902</v>
      </c>
      <c r="G164" s="46">
        <v>76</v>
      </c>
      <c r="H164" s="46">
        <v>76834</v>
      </c>
      <c r="I164" s="55" t="s">
        <v>340</v>
      </c>
      <c r="J164" s="55" t="s">
        <v>342</v>
      </c>
      <c r="K164" s="51">
        <v>11.2</v>
      </c>
      <c r="L164" s="51">
        <v>11.2</v>
      </c>
      <c r="M164" s="51">
        <v>10</v>
      </c>
      <c r="N164" s="51">
        <v>9.8000000000000007</v>
      </c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2"/>
        <v>4</v>
      </c>
      <c r="AQ164" s="89" t="str">
        <f t="shared" si="13"/>
        <v/>
      </c>
      <c r="AR164" s="89">
        <f>IFERROR(VLOOKUP(A164,Climatologia!A:U,9+$E$2,FALSE),"")</f>
        <v>8.3170988717622762</v>
      </c>
      <c r="AS164" s="89" t="str">
        <f t="shared" si="14"/>
        <v/>
      </c>
      <c r="AT164" s="90">
        <f t="shared" si="15"/>
        <v>9.8000000000000007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2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41840</v>
      </c>
      <c r="AW164" s="92">
        <f t="shared" si="16"/>
        <v>7.8000000000000007</v>
      </c>
    </row>
    <row r="165" spans="1:49" ht="14.25" customHeight="1" x14ac:dyDescent="0.2">
      <c r="A165" s="48">
        <v>26105150</v>
      </c>
      <c r="B165" s="52" t="s">
        <v>343</v>
      </c>
      <c r="C165" s="52" t="s">
        <v>335</v>
      </c>
      <c r="D165" s="53">
        <v>-76.033055555999994</v>
      </c>
      <c r="E165" s="53">
        <v>4.2389166669999998</v>
      </c>
      <c r="F165" s="48">
        <v>1011</v>
      </c>
      <c r="G165" s="46">
        <v>76</v>
      </c>
      <c r="H165" s="46">
        <v>76113</v>
      </c>
      <c r="I165" s="55" t="s">
        <v>340</v>
      </c>
      <c r="J165" s="55" t="s">
        <v>344</v>
      </c>
      <c r="K165" s="51">
        <v>20.399999999999999</v>
      </c>
      <c r="L165" s="51">
        <v>19.2</v>
      </c>
      <c r="M165" s="51">
        <v>20</v>
      </c>
      <c r="N165" s="51">
        <v>19</v>
      </c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11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2"/>
        <v>4</v>
      </c>
      <c r="AQ165" s="89" t="str">
        <f t="shared" si="13"/>
        <v/>
      </c>
      <c r="AR165" s="89">
        <f>IFERROR(VLOOKUP(A165,Climatologia!A:U,9+$E$2,FALSE),"")</f>
        <v>17.28229674415218</v>
      </c>
      <c r="AS165" s="89" t="str">
        <f t="shared" si="14"/>
        <v/>
      </c>
      <c r="AT165" s="90">
        <f t="shared" si="15"/>
        <v>19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12.2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34529</v>
      </c>
      <c r="AW165" s="92">
        <f t="shared" si="16"/>
        <v>6.8000000000000007</v>
      </c>
    </row>
    <row r="166" spans="1:49" ht="14.25" customHeight="1" x14ac:dyDescent="0.2">
      <c r="A166" s="48">
        <v>26105230</v>
      </c>
      <c r="B166" s="52" t="s">
        <v>345</v>
      </c>
      <c r="C166" s="52" t="s">
        <v>335</v>
      </c>
      <c r="D166" s="53">
        <v>-76.168527780000005</v>
      </c>
      <c r="E166" s="53">
        <v>4.028333333</v>
      </c>
      <c r="F166" s="48">
        <v>1119</v>
      </c>
      <c r="G166" s="46">
        <v>76</v>
      </c>
      <c r="H166" s="46">
        <v>76834</v>
      </c>
      <c r="I166" s="55" t="s">
        <v>340</v>
      </c>
      <c r="J166" s="55" t="s">
        <v>342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2"/>
        <v>0</v>
      </c>
      <c r="AQ166" s="89" t="str">
        <f t="shared" si="13"/>
        <v/>
      </c>
      <c r="AR166" s="89">
        <f>IFERROR(VLOOKUP(A166,Climatologia!A:U,9+$E$2,FALSE),"")</f>
        <v>17.38684419195932</v>
      </c>
      <c r="AS166" s="89" t="str">
        <f t="shared" si="14"/>
        <v/>
      </c>
      <c r="AT166" s="90" t="str">
        <f t="shared" si="15"/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41463</v>
      </c>
      <c r="AW166" s="92" t="str">
        <f t="shared" si="16"/>
        <v>NA</v>
      </c>
    </row>
    <row r="167" spans="1:49" ht="14.25" customHeight="1" x14ac:dyDescent="0.2">
      <c r="A167" s="48">
        <v>26125130</v>
      </c>
      <c r="B167" s="52" t="s">
        <v>346</v>
      </c>
      <c r="C167" s="52" t="s">
        <v>335</v>
      </c>
      <c r="D167" s="53">
        <v>-75.832361109999994</v>
      </c>
      <c r="E167" s="53">
        <v>4.185055556</v>
      </c>
      <c r="F167" s="48">
        <v>1749</v>
      </c>
      <c r="G167" s="46">
        <v>76</v>
      </c>
      <c r="H167" s="46">
        <v>76736</v>
      </c>
      <c r="I167" s="55" t="s">
        <v>340</v>
      </c>
      <c r="J167" s="55" t="s">
        <v>347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2"/>
        <v>0</v>
      </c>
      <c r="AQ167" s="89" t="str">
        <f t="shared" si="13"/>
        <v/>
      </c>
      <c r="AR167" s="89">
        <f>IFERROR(VLOOKUP(A167,Climatologia!A:U,9+$E$2,FALSE),"")</f>
        <v>15.704746922128139</v>
      </c>
      <c r="AS167" s="89" t="str">
        <f t="shared" si="14"/>
        <v/>
      </c>
      <c r="AT167" s="90" t="str">
        <f t="shared" si="15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6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30523</v>
      </c>
      <c r="AW167" s="92" t="str">
        <f t="shared" si="16"/>
        <v>NA</v>
      </c>
    </row>
    <row r="168" spans="1:49" ht="14.25" customHeight="1" x14ac:dyDescent="0.2">
      <c r="A168" s="48">
        <v>26135100</v>
      </c>
      <c r="B168" s="52" t="s">
        <v>348</v>
      </c>
      <c r="C168" s="52" t="s">
        <v>335</v>
      </c>
      <c r="D168" s="53">
        <v>-75.877555560000005</v>
      </c>
      <c r="E168" s="53">
        <v>4.8780277779999999</v>
      </c>
      <c r="F168" s="48">
        <v>995</v>
      </c>
      <c r="G168" s="46">
        <v>66</v>
      </c>
      <c r="H168" s="46">
        <v>66001</v>
      </c>
      <c r="I168" s="55" t="s">
        <v>65</v>
      </c>
      <c r="J168" s="55" t="s">
        <v>66</v>
      </c>
      <c r="K168" s="51">
        <v>20.399999999999999</v>
      </c>
      <c r="L168" s="51">
        <v>19.600000000000001</v>
      </c>
      <c r="M168" s="51">
        <v>19.8</v>
      </c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2"/>
        <v>3</v>
      </c>
      <c r="AQ168" s="89" t="str">
        <f t="shared" si="13"/>
        <v/>
      </c>
      <c r="AR168" s="89">
        <f>IFERROR(VLOOKUP(A168,Climatologia!A:U,9+$E$2,FALSE),"")</f>
        <v>19.124532286510789</v>
      </c>
      <c r="AS168" s="89" t="str">
        <f t="shared" si="14"/>
        <v/>
      </c>
      <c r="AT168" s="90">
        <f t="shared" si="15"/>
        <v>19.600000000000001</v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15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30511</v>
      </c>
      <c r="AW168" s="92">
        <f t="shared" si="16"/>
        <v>4.6000000000000014</v>
      </c>
    </row>
    <row r="169" spans="1:49" ht="14.25" customHeight="1" x14ac:dyDescent="0.2">
      <c r="A169" s="48">
        <v>26145020</v>
      </c>
      <c r="B169" s="52" t="s">
        <v>349</v>
      </c>
      <c r="C169" s="52" t="s">
        <v>335</v>
      </c>
      <c r="D169" s="53">
        <v>-75.800138888999996</v>
      </c>
      <c r="E169" s="53">
        <v>5.2759444440000003</v>
      </c>
      <c r="F169" s="48">
        <v>1984</v>
      </c>
      <c r="G169" s="46">
        <v>17</v>
      </c>
      <c r="H169" s="46">
        <v>17042</v>
      </c>
      <c r="I169" s="55" t="s">
        <v>117</v>
      </c>
      <c r="J169" s="55" t="s">
        <v>350</v>
      </c>
      <c r="K169" s="51">
        <v>14.8</v>
      </c>
      <c r="L169" s="51">
        <v>15.2</v>
      </c>
      <c r="M169" s="51">
        <v>14.8</v>
      </c>
      <c r="N169" s="51">
        <v>14.8</v>
      </c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2"/>
        <v>4</v>
      </c>
      <c r="AQ169" s="89" t="str">
        <f t="shared" si="13"/>
        <v/>
      </c>
      <c r="AR169" s="89">
        <f>IFERROR(VLOOKUP(A169,Climatologia!A:U,9+$E$2,FALSE),"")</f>
        <v>13.62930109243467</v>
      </c>
      <c r="AS169" s="89" t="str">
        <f t="shared" si="14"/>
        <v/>
      </c>
      <c r="AT169" s="90">
        <f t="shared" si="15"/>
        <v>14.8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7.2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35642</v>
      </c>
      <c r="AW169" s="92">
        <f t="shared" si="16"/>
        <v>7.6000000000000005</v>
      </c>
    </row>
    <row r="170" spans="1:49" ht="14.25" customHeight="1" x14ac:dyDescent="0.2">
      <c r="A170" s="48">
        <v>26155170</v>
      </c>
      <c r="B170" s="52" t="s">
        <v>351</v>
      </c>
      <c r="C170" s="52" t="s">
        <v>335</v>
      </c>
      <c r="D170" s="53">
        <v>-75.438333330000006</v>
      </c>
      <c r="E170" s="53">
        <v>5.0322222219999997</v>
      </c>
      <c r="F170" s="48">
        <v>2325</v>
      </c>
      <c r="G170" s="46">
        <v>17</v>
      </c>
      <c r="H170" s="46">
        <v>17001</v>
      </c>
      <c r="I170" s="55" t="s">
        <v>117</v>
      </c>
      <c r="J170" s="55" t="s">
        <v>352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2"/>
        <v>0</v>
      </c>
      <c r="AQ170" s="89" t="str">
        <f t="shared" si="13"/>
        <v/>
      </c>
      <c r="AR170" s="89">
        <f>IFERROR(VLOOKUP(A170,Climatologia!A:U,9+$E$2,FALSE),"")</f>
        <v>11.72508648901356</v>
      </c>
      <c r="AS170" s="89" t="str">
        <f t="shared" si="14"/>
        <v/>
      </c>
      <c r="AT170" s="90" t="str">
        <f t="shared" si="15"/>
        <v/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9.4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41848</v>
      </c>
      <c r="AW170" s="92" t="str">
        <f t="shared" si="16"/>
        <v>NA</v>
      </c>
    </row>
    <row r="171" spans="1:49" ht="14.25" customHeight="1" x14ac:dyDescent="0.2">
      <c r="A171" s="48">
        <v>21135020</v>
      </c>
      <c r="B171" s="52" t="s">
        <v>353</v>
      </c>
      <c r="C171" s="52" t="s">
        <v>354</v>
      </c>
      <c r="D171" s="53">
        <v>-75.015749999999997</v>
      </c>
      <c r="E171" s="53">
        <v>3.85575</v>
      </c>
      <c r="F171" s="48">
        <v>313</v>
      </c>
      <c r="G171" s="46">
        <v>73</v>
      </c>
      <c r="H171" s="46">
        <v>73671</v>
      </c>
      <c r="I171" s="55" t="s">
        <v>71</v>
      </c>
      <c r="J171" s="55" t="s">
        <v>355</v>
      </c>
      <c r="K171" s="51">
        <v>24</v>
      </c>
      <c r="L171" s="51">
        <v>23.2</v>
      </c>
      <c r="M171" s="51">
        <v>23.2</v>
      </c>
      <c r="N171" s="51">
        <v>23.4</v>
      </c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2"/>
        <v>4</v>
      </c>
      <c r="AQ171" s="89" t="str">
        <f t="shared" si="13"/>
        <v/>
      </c>
      <c r="AR171" s="89" t="str">
        <f>IFERROR(VLOOKUP(A171,Climatologia!A:U,9+$E$2,FALSE),"")</f>
        <v/>
      </c>
      <c r="AS171" s="89" t="str">
        <f t="shared" si="14"/>
        <v/>
      </c>
      <c r="AT171" s="90">
        <f t="shared" si="15"/>
        <v>23.2</v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18.600000000000001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29057</v>
      </c>
      <c r="AW171" s="92">
        <f t="shared" si="16"/>
        <v>4.5999999999999979</v>
      </c>
    </row>
    <row r="172" spans="1:49" ht="14.25" customHeight="1" x14ac:dyDescent="0.2">
      <c r="A172" s="48">
        <v>21165010</v>
      </c>
      <c r="B172" s="52" t="s">
        <v>356</v>
      </c>
      <c r="C172" s="52" t="s">
        <v>354</v>
      </c>
      <c r="D172" s="53">
        <v>-74.917027779999998</v>
      </c>
      <c r="E172" s="53">
        <v>3.7876111109999999</v>
      </c>
      <c r="F172" s="48">
        <v>311</v>
      </c>
      <c r="G172" s="46">
        <v>73</v>
      </c>
      <c r="H172" s="46">
        <v>73563</v>
      </c>
      <c r="I172" s="55" t="s">
        <v>71</v>
      </c>
      <c r="J172" s="55" t="s">
        <v>357</v>
      </c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2"/>
        <v>0</v>
      </c>
      <c r="AQ172" s="89" t="str">
        <f t="shared" si="13"/>
        <v/>
      </c>
      <c r="AR172" s="89">
        <f>IFERROR(VLOOKUP(A172,Climatologia!A:U,9+$E$2,FALSE),"")</f>
        <v>21.613415216113999</v>
      </c>
      <c r="AS172" s="89" t="str">
        <f t="shared" si="14"/>
        <v/>
      </c>
      <c r="AT172" s="90" t="str">
        <f t="shared" si="15"/>
        <v/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34166</v>
      </c>
      <c r="AW172" s="92" t="str">
        <f t="shared" si="16"/>
        <v>NA</v>
      </c>
    </row>
    <row r="173" spans="1:49" ht="14.25" customHeight="1" x14ac:dyDescent="0.2">
      <c r="A173" s="48">
        <v>21185030</v>
      </c>
      <c r="B173" s="52" t="s">
        <v>358</v>
      </c>
      <c r="C173" s="52" t="s">
        <v>354</v>
      </c>
      <c r="D173" s="53">
        <v>-74.981388890000005</v>
      </c>
      <c r="E173" s="53">
        <v>4.0088333330000001</v>
      </c>
      <c r="F173" s="48">
        <v>332</v>
      </c>
      <c r="G173" s="46">
        <v>73</v>
      </c>
      <c r="H173" s="46">
        <v>73319</v>
      </c>
      <c r="I173" s="55" t="s">
        <v>71</v>
      </c>
      <c r="J173" s="55" t="s">
        <v>358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2"/>
        <v>0</v>
      </c>
      <c r="AQ173" s="89" t="str">
        <f t="shared" si="13"/>
        <v/>
      </c>
      <c r="AR173" s="89">
        <f>IFERROR(VLOOKUP(A173,Climatologia!A:U,9+$E$2,FALSE),"")</f>
        <v>22.329466444879628</v>
      </c>
      <c r="AS173" s="89" t="str">
        <f t="shared" si="14"/>
        <v/>
      </c>
      <c r="AT173" s="90" t="str">
        <f t="shared" si="15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18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173" s="92" t="str">
        <f t="shared" si="16"/>
        <v>NA</v>
      </c>
    </row>
    <row r="174" spans="1:49" ht="14.25" customHeight="1" x14ac:dyDescent="0.2">
      <c r="A174" s="48">
        <v>21185080</v>
      </c>
      <c r="B174" s="52" t="s">
        <v>359</v>
      </c>
      <c r="C174" s="52" t="s">
        <v>354</v>
      </c>
      <c r="D174" s="53">
        <v>-75.104611110999997</v>
      </c>
      <c r="E174" s="53">
        <v>4.2164583330000003</v>
      </c>
      <c r="F174" s="48">
        <v>591</v>
      </c>
      <c r="G174" s="46">
        <v>73</v>
      </c>
      <c r="H174" s="46">
        <v>73854</v>
      </c>
      <c r="I174" s="55" t="s">
        <v>71</v>
      </c>
      <c r="J174" s="55" t="s">
        <v>359</v>
      </c>
      <c r="K174" s="51">
        <v>22</v>
      </c>
      <c r="L174" s="51">
        <v>20.6</v>
      </c>
      <c r="M174" s="51">
        <v>20</v>
      </c>
      <c r="N174" s="51">
        <v>19.8</v>
      </c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2"/>
        <v>4</v>
      </c>
      <c r="AQ174" s="89" t="str">
        <f t="shared" si="13"/>
        <v/>
      </c>
      <c r="AR174" s="89">
        <f>IFERROR(VLOOKUP(A174,Climatologia!A:U,9+$E$2,FALSE),"")</f>
        <v>20.105130783418979</v>
      </c>
      <c r="AS174" s="89" t="str">
        <f t="shared" si="14"/>
        <v/>
      </c>
      <c r="AT174" s="90">
        <f t="shared" si="15"/>
        <v>19.8</v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16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34169</v>
      </c>
      <c r="AW174" s="92">
        <f t="shared" si="16"/>
        <v>3.8000000000000007</v>
      </c>
    </row>
    <row r="175" spans="1:49" ht="14.25" customHeight="1" x14ac:dyDescent="0.2">
      <c r="A175" s="48">
        <v>21215080</v>
      </c>
      <c r="B175" s="52" t="s">
        <v>360</v>
      </c>
      <c r="C175" s="52" t="s">
        <v>354</v>
      </c>
      <c r="D175" s="53">
        <v>-74.995361110000005</v>
      </c>
      <c r="E175" s="53">
        <v>4.2315277780000002</v>
      </c>
      <c r="F175" s="48">
        <v>432</v>
      </c>
      <c r="G175" s="46">
        <v>73</v>
      </c>
      <c r="H175" s="46">
        <v>73268</v>
      </c>
      <c r="I175" s="55" t="s">
        <v>71</v>
      </c>
      <c r="J175" s="55" t="s">
        <v>361</v>
      </c>
      <c r="K175" s="51">
        <v>22.6</v>
      </c>
      <c r="L175" s="51">
        <v>21.2</v>
      </c>
      <c r="M175" s="51">
        <v>21.2</v>
      </c>
      <c r="N175" s="51">
        <v>21.4</v>
      </c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11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2"/>
        <v>4</v>
      </c>
      <c r="AQ175" s="89" t="str">
        <f t="shared" si="13"/>
        <v/>
      </c>
      <c r="AR175" s="89">
        <f>IFERROR(VLOOKUP(A175,Climatologia!A:U,9+$E$2,FALSE),"")</f>
        <v>21.16664011681932</v>
      </c>
      <c r="AS175" s="89" t="str">
        <f t="shared" si="14"/>
        <v/>
      </c>
      <c r="AT175" s="90">
        <f t="shared" si="15"/>
        <v>21.2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35630</v>
      </c>
      <c r="AW175" s="92">
        <f t="shared" si="16"/>
        <v>5.1999999999999993</v>
      </c>
    </row>
    <row r="176" spans="1:49" ht="14.25" customHeight="1" x14ac:dyDescent="0.2">
      <c r="A176" s="48">
        <v>21235010</v>
      </c>
      <c r="B176" s="52" t="s">
        <v>362</v>
      </c>
      <c r="C176" s="52" t="s">
        <v>354</v>
      </c>
      <c r="D176" s="53">
        <v>-74.702388889999995</v>
      </c>
      <c r="E176" s="53">
        <v>4.5618055560000004</v>
      </c>
      <c r="F176" s="48">
        <v>297</v>
      </c>
      <c r="G176" s="46">
        <v>25</v>
      </c>
      <c r="H176" s="46">
        <v>25368</v>
      </c>
      <c r="I176" s="55" t="s">
        <v>74</v>
      </c>
      <c r="J176" s="55" t="s">
        <v>363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2"/>
        <v>0</v>
      </c>
      <c r="AQ176" s="89" t="str">
        <f t="shared" si="13"/>
        <v/>
      </c>
      <c r="AR176" s="89" t="str">
        <f>IFERROR(VLOOKUP(A176,Climatologia!A:U,9+$E$2,FALSE),"")</f>
        <v/>
      </c>
      <c r="AS176" s="89" t="str">
        <f t="shared" si="14"/>
        <v/>
      </c>
      <c r="AT176" s="90" t="str">
        <f t="shared" si="15"/>
        <v/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18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30145</v>
      </c>
      <c r="AW176" s="92" t="str">
        <f t="shared" si="16"/>
        <v>NA</v>
      </c>
    </row>
    <row r="177" spans="1:49" ht="14.25" customHeight="1" x14ac:dyDescent="0.2">
      <c r="A177" s="48">
        <v>21245010</v>
      </c>
      <c r="B177" s="52" t="s">
        <v>364</v>
      </c>
      <c r="C177" s="52" t="s">
        <v>354</v>
      </c>
      <c r="D177" s="53">
        <v>-75.200522219999996</v>
      </c>
      <c r="E177" s="53">
        <v>4.4296666670000002</v>
      </c>
      <c r="F177" s="48">
        <v>826</v>
      </c>
      <c r="G177" s="46">
        <v>73</v>
      </c>
      <c r="H177" s="46">
        <v>73001</v>
      </c>
      <c r="I177" s="55" t="s">
        <v>71</v>
      </c>
      <c r="J177" s="55" t="s">
        <v>72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2"/>
        <v>0</v>
      </c>
      <c r="AQ177" s="89" t="str">
        <f t="shared" si="13"/>
        <v/>
      </c>
      <c r="AR177" s="89" t="str">
        <f>IFERROR(VLOOKUP(A177,Climatologia!A:U,9+$E$2,FALSE),"")</f>
        <v/>
      </c>
      <c r="AS177" s="89" t="str">
        <f t="shared" si="14"/>
        <v/>
      </c>
      <c r="AT177" s="90" t="str">
        <f t="shared" si="15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16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30884</v>
      </c>
      <c r="AW177" s="92" t="str">
        <f t="shared" si="16"/>
        <v>NA</v>
      </c>
    </row>
    <row r="178" spans="1:49" ht="14.25" customHeight="1" x14ac:dyDescent="0.2">
      <c r="A178" s="48">
        <v>21245140</v>
      </c>
      <c r="B178" s="52" t="s">
        <v>365</v>
      </c>
      <c r="C178" s="52" t="s">
        <v>354</v>
      </c>
      <c r="D178" s="53">
        <v>-75.09445556</v>
      </c>
      <c r="E178" s="53">
        <v>4.7118611110000002</v>
      </c>
      <c r="F178" s="48">
        <v>2288</v>
      </c>
      <c r="G178" s="46">
        <v>73</v>
      </c>
      <c r="H178" s="46">
        <v>73686</v>
      </c>
      <c r="I178" s="55" t="s">
        <v>71</v>
      </c>
      <c r="J178" s="55" t="s">
        <v>365</v>
      </c>
      <c r="K178" s="51">
        <v>15.4</v>
      </c>
      <c r="L178" s="51">
        <v>14</v>
      </c>
      <c r="M178" s="51">
        <v>14</v>
      </c>
      <c r="N178" s="51">
        <v>12</v>
      </c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2"/>
        <v>4</v>
      </c>
      <c r="AQ178" s="89" t="str">
        <f t="shared" si="13"/>
        <v/>
      </c>
      <c r="AR178" s="89" t="str">
        <f>IFERROR(VLOOKUP(A178,Climatologia!A:U,9+$E$2,FALSE),"")</f>
        <v/>
      </c>
      <c r="AS178" s="89" t="str">
        <f t="shared" si="14"/>
        <v/>
      </c>
      <c r="AT178" s="90">
        <f t="shared" si="15"/>
        <v>12</v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10.199999999999999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78" s="92">
        <f t="shared" si="16"/>
        <v>1.8000000000000007</v>
      </c>
    </row>
    <row r="179" spans="1:49" ht="14.25" customHeight="1" x14ac:dyDescent="0.2">
      <c r="A179" s="48">
        <v>21255080</v>
      </c>
      <c r="B179" s="52" t="s">
        <v>366</v>
      </c>
      <c r="C179" s="52" t="s">
        <v>354</v>
      </c>
      <c r="D179" s="53">
        <v>-74.767944439999994</v>
      </c>
      <c r="E179" s="53">
        <v>4.7837779999999999</v>
      </c>
      <c r="F179" s="48">
        <v>308</v>
      </c>
      <c r="G179" s="46">
        <v>73</v>
      </c>
      <c r="H179" s="46">
        <v>73030</v>
      </c>
      <c r="I179" s="55" t="s">
        <v>71</v>
      </c>
      <c r="J179" s="55" t="s">
        <v>367</v>
      </c>
      <c r="K179" s="51">
        <v>23.8</v>
      </c>
      <c r="L179" s="51">
        <v>24</v>
      </c>
      <c r="M179" s="51">
        <v>24.8</v>
      </c>
      <c r="N179" s="51">
        <v>23.8</v>
      </c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2"/>
        <v>4</v>
      </c>
      <c r="AQ179" s="89" t="str">
        <f t="shared" si="13"/>
        <v/>
      </c>
      <c r="AR179" s="89">
        <f>IFERROR(VLOOKUP(A179,Climatologia!A:U,9+$E$2,FALSE),"")</f>
        <v>22.996377049496669</v>
      </c>
      <c r="AS179" s="89" t="str">
        <f t="shared" si="14"/>
        <v/>
      </c>
      <c r="AT179" s="90">
        <f t="shared" si="15"/>
        <v>23.8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179" s="92">
        <f t="shared" si="16"/>
        <v>4.8000000000000007</v>
      </c>
    </row>
    <row r="180" spans="1:49" ht="14.25" customHeight="1" x14ac:dyDescent="0.2">
      <c r="A180" s="48">
        <v>21255090</v>
      </c>
      <c r="B180" s="52" t="s">
        <v>368</v>
      </c>
      <c r="C180" s="52" t="s">
        <v>354</v>
      </c>
      <c r="D180" s="53">
        <v>-74.899991666999995</v>
      </c>
      <c r="E180" s="53">
        <v>5</v>
      </c>
      <c r="F180" s="48">
        <v>321</v>
      </c>
      <c r="G180" s="46">
        <v>73</v>
      </c>
      <c r="H180" s="46">
        <v>73055</v>
      </c>
      <c r="I180" s="55" t="s">
        <v>71</v>
      </c>
      <c r="J180" s="55" t="s">
        <v>369</v>
      </c>
      <c r="K180" s="51">
        <v>24.6</v>
      </c>
      <c r="L180" s="51">
        <v>21.6</v>
      </c>
      <c r="M180" s="51">
        <v>22.4</v>
      </c>
      <c r="N180" s="51">
        <v>23.4</v>
      </c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11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2"/>
        <v>4</v>
      </c>
      <c r="AQ180" s="89" t="str">
        <f t="shared" si="13"/>
        <v/>
      </c>
      <c r="AR180" s="89">
        <f>IFERROR(VLOOKUP(A180,Climatologia!A:U,9+$E$2,FALSE),"")</f>
        <v>21.595820289739919</v>
      </c>
      <c r="AS180" s="89" t="str">
        <f t="shared" si="14"/>
        <v/>
      </c>
      <c r="AT180" s="90">
        <f t="shared" si="15"/>
        <v>21.6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16.8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35977</v>
      </c>
      <c r="AW180" s="92">
        <f t="shared" si="16"/>
        <v>4.8000000000000007</v>
      </c>
    </row>
    <row r="181" spans="1:49" ht="14.25" customHeight="1" x14ac:dyDescent="0.2">
      <c r="A181" s="48">
        <v>21255120</v>
      </c>
      <c r="B181" s="52" t="s">
        <v>370</v>
      </c>
      <c r="C181" s="52" t="s">
        <v>354</v>
      </c>
      <c r="D181" s="53">
        <v>-75.117336111</v>
      </c>
      <c r="E181" s="53">
        <v>5.0267619440000004</v>
      </c>
      <c r="F181" s="48">
        <v>2069</v>
      </c>
      <c r="G181" s="46">
        <v>73</v>
      </c>
      <c r="H181" s="46">
        <v>73870</v>
      </c>
      <c r="I181" s="55" t="s">
        <v>71</v>
      </c>
      <c r="J181" s="55" t="s">
        <v>370</v>
      </c>
      <c r="K181" s="51">
        <v>14.6</v>
      </c>
      <c r="L181" s="51">
        <v>13.6</v>
      </c>
      <c r="M181" s="51">
        <v>13.8</v>
      </c>
      <c r="N181" s="51">
        <v>13</v>
      </c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11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2"/>
        <v>4</v>
      </c>
      <c r="AQ181" s="89" t="str">
        <f t="shared" si="13"/>
        <v/>
      </c>
      <c r="AR181" s="89">
        <f>IFERROR(VLOOKUP(A181,Climatologia!A:U,9+$E$2,FALSE),"")</f>
        <v>14.26104885770514</v>
      </c>
      <c r="AS181" s="89" t="str">
        <f t="shared" si="14"/>
        <v/>
      </c>
      <c r="AT181" s="90">
        <f t="shared" si="15"/>
        <v>13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11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33065</v>
      </c>
      <c r="AW181" s="92">
        <f t="shared" si="16"/>
        <v>2</v>
      </c>
    </row>
    <row r="182" spans="1:49" ht="14.25" customHeight="1" x14ac:dyDescent="0.2">
      <c r="A182" s="48">
        <v>22045010</v>
      </c>
      <c r="B182" s="52" t="s">
        <v>371</v>
      </c>
      <c r="C182" s="52" t="s">
        <v>354</v>
      </c>
      <c r="D182" s="53">
        <v>-75.503444439999996</v>
      </c>
      <c r="E182" s="53">
        <v>3.7224444440000002</v>
      </c>
      <c r="F182" s="48">
        <v>895</v>
      </c>
      <c r="G182" s="46">
        <v>73</v>
      </c>
      <c r="H182" s="46">
        <v>73168</v>
      </c>
      <c r="I182" s="55" t="s">
        <v>71</v>
      </c>
      <c r="J182" s="55" t="s">
        <v>372</v>
      </c>
      <c r="K182" s="51">
        <v>18.2</v>
      </c>
      <c r="L182" s="51">
        <v>18.8</v>
      </c>
      <c r="M182" s="51">
        <v>19.600000000000001</v>
      </c>
      <c r="N182" s="51">
        <v>19</v>
      </c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11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2"/>
        <v>4</v>
      </c>
      <c r="AQ182" s="89" t="str">
        <f t="shared" si="13"/>
        <v/>
      </c>
      <c r="AR182" s="89">
        <f>IFERROR(VLOOKUP(A182,Climatologia!A:U,9+$E$2,FALSE),"")</f>
        <v>19.96734366044257</v>
      </c>
      <c r="AS182" s="89" t="str">
        <f t="shared" si="14"/>
        <v/>
      </c>
      <c r="AT182" s="90">
        <f t="shared" si="15"/>
        <v>18.2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16.8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36737</v>
      </c>
      <c r="AW182" s="92">
        <f t="shared" si="16"/>
        <v>1.3999999999999986</v>
      </c>
    </row>
    <row r="183" spans="1:49" ht="14.25" customHeight="1" x14ac:dyDescent="0.2">
      <c r="A183" s="48">
        <v>22055020</v>
      </c>
      <c r="B183" s="52" t="s">
        <v>373</v>
      </c>
      <c r="C183" s="52" t="s">
        <v>354</v>
      </c>
      <c r="D183" s="53">
        <v>-75.536361110000001</v>
      </c>
      <c r="E183" s="53">
        <v>3.4557777779999999</v>
      </c>
      <c r="F183" s="48">
        <v>699</v>
      </c>
      <c r="G183" s="46">
        <v>73</v>
      </c>
      <c r="H183" s="46">
        <v>73067</v>
      </c>
      <c r="I183" s="55" t="s">
        <v>71</v>
      </c>
      <c r="J183" s="55" t="s">
        <v>374</v>
      </c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2"/>
        <v>0</v>
      </c>
      <c r="AQ183" s="89" t="str">
        <f t="shared" si="13"/>
        <v/>
      </c>
      <c r="AR183" s="89">
        <f>IFERROR(VLOOKUP(A183,Climatologia!A:U,9+$E$2,FALSE),"")</f>
        <v>20.017642373556349</v>
      </c>
      <c r="AS183" s="89" t="str">
        <f t="shared" si="14"/>
        <v/>
      </c>
      <c r="AT183" s="90" t="str">
        <f t="shared" si="15"/>
        <v/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16.399999999999999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39293</v>
      </c>
      <c r="AW183" s="92" t="str">
        <f t="shared" si="16"/>
        <v>NA</v>
      </c>
    </row>
    <row r="184" spans="1:49" ht="14.25" customHeight="1" x14ac:dyDescent="0.2">
      <c r="A184" s="48">
        <v>22065040</v>
      </c>
      <c r="B184" s="52" t="s">
        <v>375</v>
      </c>
      <c r="C184" s="52" t="s">
        <v>354</v>
      </c>
      <c r="D184" s="53">
        <v>-75.467749999999995</v>
      </c>
      <c r="E184" s="53">
        <v>3.9211999999999998</v>
      </c>
      <c r="F184" s="48">
        <v>1566</v>
      </c>
      <c r="G184" s="46">
        <v>73</v>
      </c>
      <c r="H184" s="46">
        <v>73675</v>
      </c>
      <c r="I184" s="55" t="s">
        <v>71</v>
      </c>
      <c r="J184" s="55" t="s">
        <v>376</v>
      </c>
      <c r="K184" s="51">
        <v>17.2</v>
      </c>
      <c r="L184" s="51">
        <v>16.2</v>
      </c>
      <c r="M184" s="51">
        <v>16.2</v>
      </c>
      <c r="N184" s="51">
        <v>16</v>
      </c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2"/>
        <v>4</v>
      </c>
      <c r="AQ184" s="89" t="str">
        <f t="shared" si="13"/>
        <v/>
      </c>
      <c r="AR184" s="89">
        <f>IFERROR(VLOOKUP(A184,Climatologia!A:U,9+$E$2,FALSE),"")</f>
        <v>16.78927904074477</v>
      </c>
      <c r="AS184" s="89" t="str">
        <f t="shared" si="14"/>
        <v/>
      </c>
      <c r="AT184" s="90">
        <f t="shared" si="15"/>
        <v>16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12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32694</v>
      </c>
      <c r="AW184" s="92">
        <f t="shared" si="16"/>
        <v>4</v>
      </c>
    </row>
    <row r="185" spans="1:49" ht="14.25" customHeight="1" x14ac:dyDescent="0.2">
      <c r="A185" s="48">
        <v>23025040</v>
      </c>
      <c r="B185" s="52" t="s">
        <v>310</v>
      </c>
      <c r="C185" s="52" t="s">
        <v>354</v>
      </c>
      <c r="D185" s="53">
        <v>-74.914580556000004</v>
      </c>
      <c r="E185" s="53">
        <v>5.301108889</v>
      </c>
      <c r="F185" s="48">
        <v>788</v>
      </c>
      <c r="G185" s="46">
        <v>73</v>
      </c>
      <c r="H185" s="46">
        <v>73443</v>
      </c>
      <c r="I185" s="55" t="s">
        <v>71</v>
      </c>
      <c r="J185" s="55" t="s">
        <v>377</v>
      </c>
      <c r="K185" s="51">
        <v>24.2</v>
      </c>
      <c r="L185" s="51">
        <v>22.6</v>
      </c>
      <c r="M185" s="51">
        <v>23</v>
      </c>
      <c r="N185" s="51">
        <v>20.6</v>
      </c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2"/>
        <v>4</v>
      </c>
      <c r="AQ185" s="89" t="str">
        <f t="shared" si="13"/>
        <v/>
      </c>
      <c r="AR185" s="89">
        <f>IFERROR(VLOOKUP(A185,Climatologia!A:U,9+$E$2,FALSE),"")</f>
        <v>20.659011266682761</v>
      </c>
      <c r="AS185" s="89" t="str">
        <f t="shared" si="14"/>
        <v/>
      </c>
      <c r="AT185" s="90">
        <f t="shared" si="15"/>
        <v>20.6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17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35992</v>
      </c>
      <c r="AW185" s="92">
        <f t="shared" si="16"/>
        <v>3.6000000000000014</v>
      </c>
    </row>
    <row r="186" spans="1:49" ht="14.25" customHeight="1" x14ac:dyDescent="0.2">
      <c r="A186" s="48">
        <v>23055040</v>
      </c>
      <c r="B186" s="52" t="s">
        <v>378</v>
      </c>
      <c r="C186" s="52" t="s">
        <v>354</v>
      </c>
      <c r="D186" s="53">
        <v>-74.992927777999995</v>
      </c>
      <c r="E186" s="53">
        <v>5.4182880559999997</v>
      </c>
      <c r="F186" s="48">
        <v>1532</v>
      </c>
      <c r="G186" s="46">
        <v>17</v>
      </c>
      <c r="H186" s="46">
        <v>17662</v>
      </c>
      <c r="I186" s="55" t="s">
        <v>117</v>
      </c>
      <c r="J186" s="55" t="s">
        <v>379</v>
      </c>
      <c r="K186" s="51">
        <v>18.600000000000001</v>
      </c>
      <c r="L186" s="51">
        <v>18.2</v>
      </c>
      <c r="M186" s="51">
        <v>17.2</v>
      </c>
      <c r="N186" s="51">
        <v>18</v>
      </c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2"/>
        <v>4</v>
      </c>
      <c r="AQ186" s="89" t="str">
        <f t="shared" si="13"/>
        <v/>
      </c>
      <c r="AR186" s="89">
        <f>IFERROR(VLOOKUP(A186,Climatologia!A:U,9+$E$2,FALSE),"")</f>
        <v>16.78852483149106</v>
      </c>
      <c r="AS186" s="89" t="str">
        <f t="shared" si="14"/>
        <v/>
      </c>
      <c r="AT186" s="90">
        <f t="shared" si="15"/>
        <v>17.2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14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31594</v>
      </c>
      <c r="AW186" s="92">
        <f t="shared" si="16"/>
        <v>3.1999999999999993</v>
      </c>
    </row>
    <row r="187" spans="1:49" ht="14.25" customHeight="1" x14ac:dyDescent="0.2">
      <c r="A187" s="48">
        <v>21195060</v>
      </c>
      <c r="B187" s="52" t="s">
        <v>380</v>
      </c>
      <c r="C187" s="52" t="s">
        <v>381</v>
      </c>
      <c r="D187" s="93">
        <v>-74.487416670000002</v>
      </c>
      <c r="E187" s="93">
        <v>4.1927222220000004</v>
      </c>
      <c r="F187" s="48">
        <v>950</v>
      </c>
      <c r="G187" s="46">
        <v>25</v>
      </c>
      <c r="H187" s="46">
        <v>25524</v>
      </c>
      <c r="I187" s="55" t="s">
        <v>74</v>
      </c>
      <c r="J187" s="55" t="s">
        <v>380</v>
      </c>
      <c r="K187" s="51">
        <v>20.6</v>
      </c>
      <c r="L187" s="51">
        <v>21.2</v>
      </c>
      <c r="M187" s="51">
        <v>21.6</v>
      </c>
      <c r="N187" s="51">
        <v>20.2</v>
      </c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2"/>
        <v>4</v>
      </c>
      <c r="AQ187" s="89" t="str">
        <f t="shared" si="13"/>
        <v/>
      </c>
      <c r="AR187" s="89">
        <f>IFERROR(VLOOKUP(A187,Climatologia!A:U,9+$E$2,FALSE),"")</f>
        <v>20.02675378177625</v>
      </c>
      <c r="AS187" s="89" t="str">
        <f t="shared" si="14"/>
        <v/>
      </c>
      <c r="AT187" s="90">
        <f t="shared" si="15"/>
        <v>20.2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16.8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29785</v>
      </c>
      <c r="AW187" s="92">
        <f t="shared" si="16"/>
        <v>3.3999999999999986</v>
      </c>
    </row>
    <row r="188" spans="1:49" ht="14.25" customHeight="1" x14ac:dyDescent="0.2">
      <c r="A188" s="48">
        <v>21195120</v>
      </c>
      <c r="B188" s="52" t="s">
        <v>382</v>
      </c>
      <c r="C188" s="52" t="s">
        <v>381</v>
      </c>
      <c r="D188" s="53">
        <v>-74.392719999999997</v>
      </c>
      <c r="E188" s="53">
        <v>4.3929200000000002</v>
      </c>
      <c r="F188" s="48">
        <v>1421</v>
      </c>
      <c r="G188" s="46">
        <v>25</v>
      </c>
      <c r="H188" s="46">
        <v>25743</v>
      </c>
      <c r="I188" s="55" t="s">
        <v>74</v>
      </c>
      <c r="J188" s="55" t="s">
        <v>383</v>
      </c>
      <c r="K188" s="51">
        <v>18.399999999999999</v>
      </c>
      <c r="L188" s="51">
        <v>17.600000000000001</v>
      </c>
      <c r="M188" s="51">
        <v>18.399999999999999</v>
      </c>
      <c r="N188" s="51">
        <v>17.600000000000001</v>
      </c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2"/>
        <v>4</v>
      </c>
      <c r="AQ188" s="89" t="str">
        <f t="shared" si="13"/>
        <v/>
      </c>
      <c r="AR188" s="89">
        <f>IFERROR(VLOOKUP(A188,Climatologia!A:U,9+$E$2,FALSE),"")</f>
        <v>15.545325140809011</v>
      </c>
      <c r="AS188" s="89" t="str">
        <f t="shared" si="14"/>
        <v/>
      </c>
      <c r="AT188" s="90">
        <f t="shared" si="15"/>
        <v>17.600000000000001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11.2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39641</v>
      </c>
      <c r="AW188" s="92">
        <f t="shared" si="16"/>
        <v>6.4000000000000021</v>
      </c>
    </row>
    <row r="189" spans="1:49" ht="14.25" customHeight="1" x14ac:dyDescent="0.2">
      <c r="A189" s="48">
        <v>21195190</v>
      </c>
      <c r="B189" s="52" t="s">
        <v>384</v>
      </c>
      <c r="C189" s="52" t="s">
        <v>381</v>
      </c>
      <c r="D189" s="53">
        <v>-74.308398999999994</v>
      </c>
      <c r="E189" s="53">
        <v>4.3071890000000002</v>
      </c>
      <c r="F189" s="48">
        <v>2187</v>
      </c>
      <c r="G189" s="46">
        <v>25</v>
      </c>
      <c r="H189" s="46">
        <v>25535</v>
      </c>
      <c r="I189" s="55" t="s">
        <v>74</v>
      </c>
      <c r="J189" s="55" t="s">
        <v>384</v>
      </c>
      <c r="K189" s="51">
        <v>14.8</v>
      </c>
      <c r="L189" s="51">
        <v>12.2</v>
      </c>
      <c r="M189" s="51">
        <v>14</v>
      </c>
      <c r="N189" s="51">
        <v>13.4</v>
      </c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11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2"/>
        <v>4</v>
      </c>
      <c r="AQ189" s="89" t="str">
        <f t="shared" si="13"/>
        <v/>
      </c>
      <c r="AR189" s="89">
        <f>IFERROR(VLOOKUP(A189,Climatologia!A:U,9+$E$2,FALSE),"")</f>
        <v>11.488216794380589</v>
      </c>
      <c r="AS189" s="89" t="str">
        <f t="shared" si="14"/>
        <v/>
      </c>
      <c r="AT189" s="90">
        <f t="shared" si="15"/>
        <v>12.2</v>
      </c>
      <c r="AU189" s="90" t="str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/>
      </c>
      <c r="AV189" s="91" t="str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9" s="92" t="str">
        <f t="shared" si="16"/>
        <v>NA</v>
      </c>
    </row>
    <row r="190" spans="1:49" ht="14.25" customHeight="1" x14ac:dyDescent="0.2">
      <c r="A190" s="48">
        <v>21205420</v>
      </c>
      <c r="B190" s="52" t="s">
        <v>385</v>
      </c>
      <c r="C190" s="52" t="s">
        <v>381</v>
      </c>
      <c r="D190" s="53">
        <v>-74.205625999999995</v>
      </c>
      <c r="E190" s="53">
        <v>4.6886619999999999</v>
      </c>
      <c r="F190" s="48">
        <v>2543</v>
      </c>
      <c r="G190" s="46">
        <v>25</v>
      </c>
      <c r="H190" s="46">
        <v>25473</v>
      </c>
      <c r="I190" s="55" t="s">
        <v>74</v>
      </c>
      <c r="J190" s="55" t="s">
        <v>386</v>
      </c>
      <c r="K190" s="51">
        <v>10</v>
      </c>
      <c r="L190" s="51">
        <v>6</v>
      </c>
      <c r="M190" s="51">
        <v>6</v>
      </c>
      <c r="N190" s="51">
        <v>7</v>
      </c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2"/>
        <v>4</v>
      </c>
      <c r="AQ190" s="89" t="str">
        <f t="shared" si="13"/>
        <v/>
      </c>
      <c r="AR190" s="89">
        <f>IFERROR(VLOOKUP(A190,Climatologia!A:U,9+$E$2,FALSE),"")</f>
        <v>7.3708373411860384</v>
      </c>
      <c r="AS190" s="89" t="str">
        <f t="shared" si="14"/>
        <v/>
      </c>
      <c r="AT190" s="90">
        <f t="shared" si="15"/>
        <v>6</v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>-1.8</v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190" s="92">
        <f t="shared" si="16"/>
        <v>7.8</v>
      </c>
    </row>
    <row r="191" spans="1:49" ht="14.25" customHeight="1" x14ac:dyDescent="0.2">
      <c r="A191" s="48">
        <v>21205660</v>
      </c>
      <c r="B191" s="52" t="s">
        <v>387</v>
      </c>
      <c r="C191" s="52" t="s">
        <v>381</v>
      </c>
      <c r="D191" s="93">
        <v>-74.523179999999996</v>
      </c>
      <c r="E191" s="93">
        <v>4.5791000000000004</v>
      </c>
      <c r="F191" s="48">
        <v>765</v>
      </c>
      <c r="G191" s="46">
        <v>25</v>
      </c>
      <c r="H191" s="46">
        <v>25035</v>
      </c>
      <c r="I191" s="55" t="s">
        <v>74</v>
      </c>
      <c r="J191" s="55" t="s">
        <v>388</v>
      </c>
      <c r="K191" s="51">
        <v>21.2</v>
      </c>
      <c r="L191" s="51">
        <v>20.2</v>
      </c>
      <c r="M191" s="51">
        <v>21</v>
      </c>
      <c r="N191" s="51">
        <v>21.6</v>
      </c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11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2"/>
        <v>4</v>
      </c>
      <c r="AQ191" s="89" t="str">
        <f t="shared" si="13"/>
        <v/>
      </c>
      <c r="AR191" s="89">
        <f>IFERROR(VLOOKUP(A191,Climatologia!A:U,9+$E$2,FALSE),"")</f>
        <v>19.76640571428571</v>
      </c>
      <c r="AS191" s="89" t="str">
        <f t="shared" si="14"/>
        <v/>
      </c>
      <c r="AT191" s="90">
        <f t="shared" si="15"/>
        <v>20.2</v>
      </c>
      <c r="AU191" s="90" t="str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/>
      </c>
      <c r="AV191" s="91" t="str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1" s="92" t="str">
        <f t="shared" si="16"/>
        <v>NA</v>
      </c>
    </row>
    <row r="192" spans="1:49" ht="14.25" customHeight="1" x14ac:dyDescent="0.2">
      <c r="A192" s="48">
        <v>21205700</v>
      </c>
      <c r="B192" s="52" t="s">
        <v>389</v>
      </c>
      <c r="C192" s="52" t="s">
        <v>381</v>
      </c>
      <c r="D192" s="53">
        <v>-73.864452999999997</v>
      </c>
      <c r="E192" s="53">
        <v>4.8779529999999998</v>
      </c>
      <c r="F192" s="48">
        <v>2750</v>
      </c>
      <c r="G192" s="46">
        <v>25</v>
      </c>
      <c r="H192" s="46">
        <v>25322</v>
      </c>
      <c r="I192" s="55" t="s">
        <v>74</v>
      </c>
      <c r="J192" s="55" t="s">
        <v>389</v>
      </c>
      <c r="K192" s="51">
        <v>11.4</v>
      </c>
      <c r="L192" s="51">
        <v>10.199999999999999</v>
      </c>
      <c r="M192" s="51">
        <v>10.4</v>
      </c>
      <c r="N192" s="51">
        <v>9.6</v>
      </c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11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2"/>
        <v>4</v>
      </c>
      <c r="AQ192" s="89" t="str">
        <f t="shared" si="13"/>
        <v/>
      </c>
      <c r="AR192" s="89">
        <f>IFERROR(VLOOKUP(A192,Climatologia!A:U,9+$E$2,FALSE),"")</f>
        <v>8.3038288971873495</v>
      </c>
      <c r="AS192" s="89" t="str">
        <f t="shared" si="14"/>
        <v/>
      </c>
      <c r="AT192" s="90">
        <f t="shared" si="15"/>
        <v>9.6</v>
      </c>
      <c r="AU192" s="90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>2.4</v>
      </c>
      <c r="AV192" s="91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192" s="92">
        <f t="shared" si="16"/>
        <v>7.1999999999999993</v>
      </c>
    </row>
    <row r="193" spans="1:49" ht="14.25" customHeight="1" x14ac:dyDescent="0.2">
      <c r="A193" s="48">
        <v>21205720</v>
      </c>
      <c r="B193" s="52" t="s">
        <v>390</v>
      </c>
      <c r="C193" s="52" t="s">
        <v>381</v>
      </c>
      <c r="D193" s="53">
        <v>-74.189277779999998</v>
      </c>
      <c r="E193" s="53">
        <v>4.5057499999999999</v>
      </c>
      <c r="F193" s="48">
        <v>2900</v>
      </c>
      <c r="G193" s="46">
        <v>25</v>
      </c>
      <c r="H193" s="46">
        <v>25754</v>
      </c>
      <c r="I193" s="55" t="s">
        <v>74</v>
      </c>
      <c r="J193" s="55" t="s">
        <v>391</v>
      </c>
      <c r="K193" s="51">
        <v>11.2</v>
      </c>
      <c r="L193" s="51">
        <v>10.199999999999999</v>
      </c>
      <c r="M193" s="51">
        <v>11</v>
      </c>
      <c r="N193" s="51">
        <v>8.6</v>
      </c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2"/>
        <v>4</v>
      </c>
      <c r="AQ193" s="89" t="str">
        <f t="shared" si="13"/>
        <v/>
      </c>
      <c r="AR193" s="89">
        <f>IFERROR(VLOOKUP(A193,Climatologia!A:U,9+$E$2,FALSE),"")</f>
        <v>7.7278206554291087</v>
      </c>
      <c r="AS193" s="89" t="str">
        <f t="shared" si="14"/>
        <v/>
      </c>
      <c r="AT193" s="90">
        <f t="shared" si="15"/>
        <v>8.6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1.2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34888</v>
      </c>
      <c r="AW193" s="92">
        <f t="shared" si="16"/>
        <v>7.3999999999999995</v>
      </c>
    </row>
    <row r="194" spans="1:49" ht="14.25" customHeight="1" x14ac:dyDescent="0.2">
      <c r="A194" s="48">
        <v>21205740</v>
      </c>
      <c r="B194" s="52" t="s">
        <v>392</v>
      </c>
      <c r="C194" s="52" t="s">
        <v>381</v>
      </c>
      <c r="D194" s="53">
        <v>-73.70141667</v>
      </c>
      <c r="E194" s="53">
        <v>5.1177222220000003</v>
      </c>
      <c r="F194" s="48">
        <v>2709</v>
      </c>
      <c r="G194" s="46">
        <v>25</v>
      </c>
      <c r="H194" s="46">
        <v>25183</v>
      </c>
      <c r="I194" s="55" t="s">
        <v>74</v>
      </c>
      <c r="J194" s="55" t="s">
        <v>393</v>
      </c>
      <c r="K194" s="51">
        <v>7.8</v>
      </c>
      <c r="L194" s="51">
        <v>8.1999999999999993</v>
      </c>
      <c r="M194" s="51">
        <v>8.6</v>
      </c>
      <c r="N194" s="51">
        <v>9.1999999999999993</v>
      </c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2"/>
        <v>4</v>
      </c>
      <c r="AQ194" s="89" t="str">
        <f t="shared" si="13"/>
        <v/>
      </c>
      <c r="AR194" s="89">
        <f>IFERROR(VLOOKUP(A194,Climatologia!A:U,9+$E$2,FALSE),"")</f>
        <v>8.1093100992191847</v>
      </c>
      <c r="AS194" s="89" t="str">
        <f t="shared" si="14"/>
        <v/>
      </c>
      <c r="AT194" s="90">
        <f t="shared" si="15"/>
        <v>7.8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0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27958</v>
      </c>
      <c r="AW194" s="92">
        <f t="shared" si="16"/>
        <v>7.8</v>
      </c>
    </row>
    <row r="195" spans="1:49" ht="14.25" customHeight="1" x14ac:dyDescent="0.2">
      <c r="A195" s="48">
        <v>21205920</v>
      </c>
      <c r="B195" s="52" t="s">
        <v>394</v>
      </c>
      <c r="C195" s="52" t="s">
        <v>381</v>
      </c>
      <c r="D195" s="53">
        <v>-73.963888890000007</v>
      </c>
      <c r="E195" s="53">
        <v>4.8208333330000004</v>
      </c>
      <c r="F195" s="48">
        <v>2650</v>
      </c>
      <c r="G195" s="46">
        <v>25</v>
      </c>
      <c r="H195" s="46">
        <v>25758</v>
      </c>
      <c r="I195" s="55" t="s">
        <v>74</v>
      </c>
      <c r="J195" s="55" t="s">
        <v>395</v>
      </c>
      <c r="K195" s="51">
        <v>5.6</v>
      </c>
      <c r="L195" s="51">
        <v>1.8</v>
      </c>
      <c r="M195" s="51">
        <v>3.8</v>
      </c>
      <c r="N195" s="51">
        <v>5.2</v>
      </c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2"/>
        <v>4</v>
      </c>
      <c r="AQ195" s="89" t="str">
        <f t="shared" si="13"/>
        <v/>
      </c>
      <c r="AR195" s="89">
        <f>IFERROR(VLOOKUP(A195,Climatologia!A:U,9+$E$2,FALSE),"")</f>
        <v>7.7848444585694851</v>
      </c>
      <c r="AS195" s="89" t="str">
        <f t="shared" si="14"/>
        <v/>
      </c>
      <c r="AT195" s="90">
        <f t="shared" si="15"/>
        <v>1.8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0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95" s="92">
        <f t="shared" si="16"/>
        <v>1.8</v>
      </c>
    </row>
    <row r="196" spans="1:49" ht="14.25" customHeight="1" x14ac:dyDescent="0.2">
      <c r="A196" s="48">
        <v>21205940</v>
      </c>
      <c r="B196" s="52" t="s">
        <v>396</v>
      </c>
      <c r="C196" s="52" t="s">
        <v>381</v>
      </c>
      <c r="D196" s="53">
        <v>-74.380560000000003</v>
      </c>
      <c r="E196" s="53">
        <v>4.8321100000000001</v>
      </c>
      <c r="F196" s="48">
        <v>2590</v>
      </c>
      <c r="G196" s="46">
        <v>25</v>
      </c>
      <c r="H196" s="46">
        <v>25269</v>
      </c>
      <c r="I196" s="55" t="s">
        <v>74</v>
      </c>
      <c r="J196" s="55" t="s">
        <v>397</v>
      </c>
      <c r="K196" s="51">
        <v>9.8000000000000007</v>
      </c>
      <c r="L196" s="51">
        <v>4.5999999999999996</v>
      </c>
      <c r="M196" s="51">
        <v>7.8</v>
      </c>
      <c r="N196" s="51">
        <v>10.4</v>
      </c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2"/>
        <v>4</v>
      </c>
      <c r="AQ196" s="89" t="str">
        <f t="shared" si="13"/>
        <v/>
      </c>
      <c r="AR196" s="89">
        <f>IFERROR(VLOOKUP(A196,Climatologia!A:U,9+$E$2,FALSE),"")</f>
        <v>6.8173462365591373</v>
      </c>
      <c r="AS196" s="89" t="str">
        <f t="shared" si="14"/>
        <v/>
      </c>
      <c r="AT196" s="90">
        <f t="shared" si="15"/>
        <v>4.5999999999999996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-0.4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36346</v>
      </c>
      <c r="AW196" s="92">
        <f t="shared" si="16"/>
        <v>5</v>
      </c>
    </row>
    <row r="197" spans="1:49" ht="14.25" customHeight="1" x14ac:dyDescent="0.2">
      <c r="A197" s="48">
        <v>21205960</v>
      </c>
      <c r="B197" s="52" t="s">
        <v>398</v>
      </c>
      <c r="C197" s="52" t="s">
        <v>381</v>
      </c>
      <c r="D197" s="93">
        <v>-74.152583329999999</v>
      </c>
      <c r="E197" s="93">
        <v>4.9390555559999996</v>
      </c>
      <c r="F197" s="48">
        <v>2650</v>
      </c>
      <c r="G197" s="46">
        <v>25</v>
      </c>
      <c r="H197" s="46">
        <v>25769</v>
      </c>
      <c r="I197" s="55" t="s">
        <v>74</v>
      </c>
      <c r="J197" s="55" t="s">
        <v>399</v>
      </c>
      <c r="K197" s="51">
        <v>11.4</v>
      </c>
      <c r="L197" s="51">
        <v>9.1999999999999993</v>
      </c>
      <c r="M197" s="51">
        <v>7.8</v>
      </c>
      <c r="N197" s="51">
        <v>7.2</v>
      </c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7">COUNTIF(K197:AO197,"&gt;0")</f>
        <v>4</v>
      </c>
      <c r="AQ197" s="89" t="str">
        <f t="shared" ref="AQ197:AQ260" si="18">IF(AP197&gt;14,AVERAGE(K197:AO197),"")</f>
        <v/>
      </c>
      <c r="AR197" s="89">
        <f>IFERROR(VLOOKUP(A197,Climatologia!A:U,9+$E$2,FALSE),"")</f>
        <v>7.8933666539450718</v>
      </c>
      <c r="AS197" s="89" t="str">
        <f t="shared" ref="AS197:AS260" si="19">IF(OR(AQ197="",AR197=""),"",IFERROR(AQ197-AR197,""))</f>
        <v/>
      </c>
      <c r="AT197" s="90">
        <f t="shared" ref="AT197:AT207" si="20">IF(COUNT(K197:AO197)=0,"",MIN(K197:AO197))</f>
        <v>7.2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0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29062</v>
      </c>
      <c r="AW197" s="92">
        <f t="shared" ref="AW197:AW207" si="21">IF(OR(AT197="",AU197=""),"NA",IFERROR(AT197-AU197,"NA"))</f>
        <v>7.2</v>
      </c>
    </row>
    <row r="198" spans="1:49" ht="14.25" customHeight="1" x14ac:dyDescent="0.2">
      <c r="A198" s="48">
        <v>21205980</v>
      </c>
      <c r="B198" s="52" t="s">
        <v>400</v>
      </c>
      <c r="C198" s="52" t="s">
        <v>381</v>
      </c>
      <c r="D198" s="93">
        <v>-74.200916669999998</v>
      </c>
      <c r="E198" s="93">
        <v>4.7923888889999997</v>
      </c>
      <c r="F198" s="48">
        <v>2560</v>
      </c>
      <c r="G198" s="46">
        <v>47</v>
      </c>
      <c r="H198" s="46">
        <v>47798</v>
      </c>
      <c r="I198" s="55" t="s">
        <v>32</v>
      </c>
      <c r="J198" s="55" t="s">
        <v>401</v>
      </c>
      <c r="K198" s="51">
        <v>11</v>
      </c>
      <c r="L198" s="51">
        <v>7.4</v>
      </c>
      <c r="M198" s="51">
        <v>11</v>
      </c>
      <c r="N198" s="51">
        <v>10</v>
      </c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7"/>
        <v>4</v>
      </c>
      <c r="AQ198" s="89" t="str">
        <f t="shared" si="18"/>
        <v/>
      </c>
      <c r="AR198" s="89">
        <f>IFERROR(VLOOKUP(A198,Climatologia!A:U,9+$E$2,FALSE),"")</f>
        <v>7.7598125606935424</v>
      </c>
      <c r="AS198" s="89" t="str">
        <f t="shared" si="19"/>
        <v/>
      </c>
      <c r="AT198" s="90">
        <f t="shared" si="20"/>
        <v>7.4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-1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34167</v>
      </c>
      <c r="AW198" s="92">
        <f t="shared" si="21"/>
        <v>8.4</v>
      </c>
    </row>
    <row r="199" spans="1:49" ht="14.25" customHeight="1" x14ac:dyDescent="0.2">
      <c r="A199" s="48">
        <v>21206020</v>
      </c>
      <c r="B199" s="52" t="s">
        <v>402</v>
      </c>
      <c r="C199" s="52" t="s">
        <v>381</v>
      </c>
      <c r="D199" s="93">
        <v>-74.104833330000005</v>
      </c>
      <c r="E199" s="93">
        <v>4.8985277780000001</v>
      </c>
      <c r="F199" s="48">
        <v>2575</v>
      </c>
      <c r="G199" s="46">
        <v>25</v>
      </c>
      <c r="H199" s="46">
        <v>25785</v>
      </c>
      <c r="I199" s="55" t="s">
        <v>74</v>
      </c>
      <c r="J199" s="55" t="s">
        <v>403</v>
      </c>
      <c r="K199" s="51">
        <v>11</v>
      </c>
      <c r="L199" s="51">
        <v>7</v>
      </c>
      <c r="M199" s="51">
        <v>9.4</v>
      </c>
      <c r="N199" s="51">
        <v>9</v>
      </c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11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7"/>
        <v>4</v>
      </c>
      <c r="AQ199" s="89" t="str">
        <f t="shared" si="18"/>
        <v/>
      </c>
      <c r="AR199" s="89">
        <f>IFERROR(VLOOKUP(A199,Climatologia!A:U,9+$E$2,FALSE),"")</f>
        <v>7.4125279631689516</v>
      </c>
      <c r="AS199" s="89" t="str">
        <f t="shared" si="19"/>
        <v/>
      </c>
      <c r="AT199" s="90">
        <f t="shared" si="20"/>
        <v>7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0.5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36724</v>
      </c>
      <c r="AW199" s="92">
        <f t="shared" si="21"/>
        <v>6.5</v>
      </c>
    </row>
    <row r="200" spans="1:49" ht="14.25" customHeight="1" x14ac:dyDescent="0.2">
      <c r="A200" s="48">
        <v>21206060</v>
      </c>
      <c r="B200" s="52" t="s">
        <v>404</v>
      </c>
      <c r="C200" s="52" t="s">
        <v>381</v>
      </c>
      <c r="D200" s="53">
        <v>-74.253333330000004</v>
      </c>
      <c r="E200" s="53">
        <v>4.7171111110000004</v>
      </c>
      <c r="F200" s="48">
        <v>2575</v>
      </c>
      <c r="G200" s="46">
        <v>25</v>
      </c>
      <c r="H200" s="46">
        <v>25430</v>
      </c>
      <c r="I200" s="55" t="s">
        <v>74</v>
      </c>
      <c r="J200" s="55" t="s">
        <v>405</v>
      </c>
      <c r="K200" s="51">
        <v>8</v>
      </c>
      <c r="L200" s="51">
        <v>6.8</v>
      </c>
      <c r="M200" s="51">
        <v>11</v>
      </c>
      <c r="N200" s="51">
        <v>9.4</v>
      </c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7"/>
        <v>4</v>
      </c>
      <c r="AQ200" s="89" t="str">
        <f t="shared" si="18"/>
        <v/>
      </c>
      <c r="AR200" s="89">
        <f>IFERROR(VLOOKUP(A200,Climatologia!A:U,9+$E$2,FALSE),"")</f>
        <v>6.7196341375857118</v>
      </c>
      <c r="AS200" s="89" t="str">
        <f t="shared" si="19"/>
        <v/>
      </c>
      <c r="AT200" s="90">
        <f t="shared" si="20"/>
        <v>6.8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0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28690</v>
      </c>
      <c r="AW200" s="92">
        <f t="shared" si="21"/>
        <v>6.8</v>
      </c>
    </row>
    <row r="201" spans="1:49" ht="14.25" customHeight="1" x14ac:dyDescent="0.2">
      <c r="A201" s="48">
        <v>21206260</v>
      </c>
      <c r="B201" s="52" t="s">
        <v>406</v>
      </c>
      <c r="C201" s="52" t="s">
        <v>381</v>
      </c>
      <c r="D201" s="93">
        <v>-74.049722220000007</v>
      </c>
      <c r="E201" s="93">
        <v>4.7986388890000002</v>
      </c>
      <c r="F201" s="48">
        <v>2570</v>
      </c>
      <c r="G201" s="46">
        <v>11</v>
      </c>
      <c r="H201" s="46">
        <v>11001</v>
      </c>
      <c r="I201" s="55" t="s">
        <v>407</v>
      </c>
      <c r="J201" s="55" t="s">
        <v>408</v>
      </c>
      <c r="K201" s="51">
        <v>9.8000000000000007</v>
      </c>
      <c r="L201" s="51">
        <v>7.8</v>
      </c>
      <c r="M201" s="51">
        <v>7.6</v>
      </c>
      <c r="N201" s="51">
        <v>9.1999999999999993</v>
      </c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7"/>
        <v>4</v>
      </c>
      <c r="AQ201" s="89" t="str">
        <f t="shared" si="18"/>
        <v/>
      </c>
      <c r="AR201" s="89">
        <f>IFERROR(VLOOKUP(A201,Climatologia!A:U,9+$E$2,FALSE),"")</f>
        <v>7.737258054422024</v>
      </c>
      <c r="AS201" s="89" t="str">
        <f t="shared" si="19"/>
        <v/>
      </c>
      <c r="AT201" s="90">
        <f t="shared" si="20"/>
        <v>7.6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0.1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34157</v>
      </c>
      <c r="AW201" s="92">
        <f t="shared" si="21"/>
        <v>7.5</v>
      </c>
    </row>
    <row r="202" spans="1:49" ht="14.25" customHeight="1" x14ac:dyDescent="0.2">
      <c r="A202" s="48">
        <v>21206600</v>
      </c>
      <c r="B202" s="52" t="s">
        <v>409</v>
      </c>
      <c r="C202" s="52" t="s">
        <v>381</v>
      </c>
      <c r="D202" s="53">
        <v>-74.102247000000006</v>
      </c>
      <c r="E202" s="53">
        <v>4.786594</v>
      </c>
      <c r="F202" s="48">
        <v>2590</v>
      </c>
      <c r="G202" s="46">
        <v>11</v>
      </c>
      <c r="H202" s="46">
        <v>11001</v>
      </c>
      <c r="I202" s="55" t="s">
        <v>407</v>
      </c>
      <c r="J202" s="55" t="s">
        <v>408</v>
      </c>
      <c r="K202" s="51">
        <v>4.5</v>
      </c>
      <c r="L202" s="51">
        <v>4.2</v>
      </c>
      <c r="M202" s="51">
        <v>4.5999999999999996</v>
      </c>
      <c r="N202" s="51">
        <v>4.4000000000000004</v>
      </c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7"/>
        <v>4</v>
      </c>
      <c r="AQ202" s="89" t="str">
        <f t="shared" si="18"/>
        <v/>
      </c>
      <c r="AR202" s="89">
        <f>IFERROR(VLOOKUP(A202,Climatologia!A:U,9+$E$2,FALSE),"")</f>
        <v>8.0131665360709121</v>
      </c>
      <c r="AS202" s="89" t="str">
        <f t="shared" si="19"/>
        <v/>
      </c>
      <c r="AT202" s="90">
        <f t="shared" si="20"/>
        <v>4.2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-0.4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38184</v>
      </c>
      <c r="AW202" s="92">
        <f t="shared" si="21"/>
        <v>4.6000000000000005</v>
      </c>
    </row>
    <row r="203" spans="1:49" ht="14.25" customHeight="1" x14ac:dyDescent="0.2">
      <c r="A203" s="48">
        <v>21206650</v>
      </c>
      <c r="B203" s="52" t="s">
        <v>410</v>
      </c>
      <c r="C203" s="52" t="s">
        <v>381</v>
      </c>
      <c r="D203" s="53">
        <v>-74.088222221999999</v>
      </c>
      <c r="E203" s="53">
        <v>4.5167527779999999</v>
      </c>
      <c r="F203" s="48">
        <v>3100</v>
      </c>
      <c r="G203" s="46">
        <v>11</v>
      </c>
      <c r="H203" s="46">
        <v>11001</v>
      </c>
      <c r="I203" s="55" t="s">
        <v>407</v>
      </c>
      <c r="J203" s="55" t="s">
        <v>408</v>
      </c>
      <c r="K203" s="51">
        <v>5</v>
      </c>
      <c r="L203" s="51">
        <v>5.4</v>
      </c>
      <c r="M203" s="51">
        <v>5.8</v>
      </c>
      <c r="N203" s="51">
        <v>5.2</v>
      </c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7"/>
        <v>4</v>
      </c>
      <c r="AQ203" s="89" t="str">
        <f t="shared" si="18"/>
        <v/>
      </c>
      <c r="AR203" s="89" t="str">
        <f>IFERROR(VLOOKUP(A203,Climatologia!A:U,9+$E$2,FALSE),"")</f>
        <v/>
      </c>
      <c r="AS203" s="89" t="str">
        <f t="shared" si="19"/>
        <v/>
      </c>
      <c r="AT203" s="90">
        <f t="shared" si="20"/>
        <v>5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2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40019</v>
      </c>
      <c r="AW203" s="92">
        <f t="shared" si="21"/>
        <v>3</v>
      </c>
    </row>
    <row r="204" spans="1:49" ht="14.25" customHeight="1" x14ac:dyDescent="0.2">
      <c r="A204" s="48">
        <v>23065110</v>
      </c>
      <c r="B204" s="52" t="s">
        <v>411</v>
      </c>
      <c r="C204" s="52" t="s">
        <v>381</v>
      </c>
      <c r="D204" s="53">
        <v>-74.351249999999993</v>
      </c>
      <c r="E204" s="53">
        <v>5.4812099999999999</v>
      </c>
      <c r="F204" s="48">
        <v>1347</v>
      </c>
      <c r="G204" s="46">
        <v>25</v>
      </c>
      <c r="H204" s="46">
        <v>25885</v>
      </c>
      <c r="I204" s="55" t="s">
        <v>74</v>
      </c>
      <c r="J204" s="55" t="s">
        <v>412</v>
      </c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7"/>
        <v>0</v>
      </c>
      <c r="AQ204" s="89" t="str">
        <f t="shared" si="18"/>
        <v/>
      </c>
      <c r="AR204" s="89">
        <f>IFERROR(VLOOKUP(A204,Climatologia!A:U,9+$E$2,FALSE),"")</f>
        <v>17.563073923478811</v>
      </c>
      <c r="AS204" s="89" t="str">
        <f t="shared" si="19"/>
        <v/>
      </c>
      <c r="AT204" s="90" t="str">
        <f t="shared" si="20"/>
        <v/>
      </c>
      <c r="AU204" s="90" t="str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/>
      </c>
      <c r="AV204" s="91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4" s="92" t="str">
        <f t="shared" si="21"/>
        <v>NA</v>
      </c>
    </row>
    <row r="205" spans="1:49" ht="14.25" customHeight="1" x14ac:dyDescent="0.2">
      <c r="A205" s="48">
        <v>24015120</v>
      </c>
      <c r="B205" s="52" t="s">
        <v>413</v>
      </c>
      <c r="C205" s="52" t="s">
        <v>381</v>
      </c>
      <c r="D205" s="53">
        <v>-73.734805559999998</v>
      </c>
      <c r="E205" s="53">
        <v>5.4672777779999997</v>
      </c>
      <c r="F205" s="48">
        <v>2580</v>
      </c>
      <c r="G205" s="46">
        <v>25</v>
      </c>
      <c r="H205" s="46">
        <v>25288</v>
      </c>
      <c r="I205" s="55" t="s">
        <v>74</v>
      </c>
      <c r="J205" s="55" t="s">
        <v>414</v>
      </c>
      <c r="K205" s="51">
        <v>11.4</v>
      </c>
      <c r="L205" s="51">
        <v>10</v>
      </c>
      <c r="M205" s="51">
        <v>11.2</v>
      </c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7"/>
        <v>3</v>
      </c>
      <c r="AQ205" s="89" t="str">
        <f t="shared" si="18"/>
        <v/>
      </c>
      <c r="AR205" s="89">
        <f>IFERROR(VLOOKUP(A205,Climatologia!A:U,9+$E$2,FALSE),"")</f>
        <v>9.4398271387109567</v>
      </c>
      <c r="AS205" s="89" t="str">
        <f t="shared" si="19"/>
        <v/>
      </c>
      <c r="AT205" s="90">
        <f t="shared" si="20"/>
        <v>10</v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>2</v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>29052</v>
      </c>
      <c r="AW205" s="92">
        <f t="shared" si="21"/>
        <v>8</v>
      </c>
    </row>
    <row r="206" spans="1:49" ht="14.25" customHeight="1" x14ac:dyDescent="0.2">
      <c r="A206" s="48">
        <v>35025060</v>
      </c>
      <c r="B206" s="52" t="s">
        <v>415</v>
      </c>
      <c r="C206" s="52" t="s">
        <v>381</v>
      </c>
      <c r="D206" s="53">
        <v>-73.995885000000001</v>
      </c>
      <c r="E206" s="53">
        <v>4.587059</v>
      </c>
      <c r="F206" s="48">
        <v>3195</v>
      </c>
      <c r="G206" s="46">
        <v>25</v>
      </c>
      <c r="H206" s="46">
        <v>25181</v>
      </c>
      <c r="I206" s="55" t="s">
        <v>74</v>
      </c>
      <c r="J206" s="55" t="s">
        <v>416</v>
      </c>
      <c r="K206" s="51">
        <v>6.8</v>
      </c>
      <c r="L206" s="51">
        <v>6.6</v>
      </c>
      <c r="M206" s="51">
        <v>7</v>
      </c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11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7"/>
        <v>3</v>
      </c>
      <c r="AQ206" s="89" t="str">
        <f t="shared" si="18"/>
        <v/>
      </c>
      <c r="AR206" s="89">
        <f>IFERROR(VLOOKUP(A206,Climatologia!A:U,9+$E$2,FALSE),"")</f>
        <v>5.2432824793440451</v>
      </c>
      <c r="AS206" s="89" t="str">
        <f t="shared" si="19"/>
        <v/>
      </c>
      <c r="AT206" s="90">
        <f t="shared" si="20"/>
        <v>6.6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206" s="92">
        <f t="shared" si="21"/>
        <v>5.3999999999999995</v>
      </c>
    </row>
    <row r="207" spans="1:49" ht="14.25" customHeight="1" x14ac:dyDescent="0.2">
      <c r="A207" s="48">
        <v>47075010</v>
      </c>
      <c r="B207" s="52" t="s">
        <v>417</v>
      </c>
      <c r="C207" s="52" t="s">
        <v>381</v>
      </c>
      <c r="D207" s="53">
        <v>-72.789583332999996</v>
      </c>
      <c r="E207" s="53">
        <v>-1.4446111109999999</v>
      </c>
      <c r="F207" s="48">
        <v>160</v>
      </c>
      <c r="G207" s="46">
        <v>91</v>
      </c>
      <c r="H207" s="46">
        <v>91405</v>
      </c>
      <c r="I207" s="55" t="s">
        <v>99</v>
      </c>
      <c r="J207" s="55" t="s">
        <v>417</v>
      </c>
      <c r="K207" s="51">
        <v>20</v>
      </c>
      <c r="L207" s="51">
        <v>20.399999999999999</v>
      </c>
      <c r="M207" s="51">
        <v>19.8</v>
      </c>
      <c r="N207" s="51">
        <v>19.600000000000001</v>
      </c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7"/>
        <v>4</v>
      </c>
      <c r="AQ207" s="89" t="str">
        <f t="shared" si="18"/>
        <v/>
      </c>
      <c r="AR207" s="89" t="str">
        <f>IFERROR(VLOOKUP(A207,Climatologia!A:U,9+$E$2,FALSE),"")</f>
        <v/>
      </c>
      <c r="AS207" s="89" t="str">
        <f t="shared" si="19"/>
        <v/>
      </c>
      <c r="AT207" s="90">
        <f t="shared" si="20"/>
        <v>19.600000000000001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17.2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41481</v>
      </c>
      <c r="AW207" s="92">
        <f t="shared" si="21"/>
        <v>2.4000000000000021</v>
      </c>
    </row>
    <row r="208" spans="1:49" x14ac:dyDescent="0.25">
      <c r="Z208" s="110"/>
      <c r="AB208" s="84"/>
      <c r="AC208" s="84"/>
      <c r="AD208" s="84"/>
      <c r="AE208" s="84"/>
      <c r="AF208" s="84"/>
      <c r="AG208" s="76"/>
      <c r="AH208" s="95"/>
      <c r="AI208" s="95"/>
      <c r="AJ208" s="95"/>
      <c r="AK208" s="95"/>
      <c r="AL208" s="95"/>
      <c r="AM208" s="95"/>
      <c r="AN208" s="95"/>
      <c r="AO208" s="95"/>
      <c r="AP208" s="96"/>
      <c r="AQ208" s="96"/>
    </row>
  </sheetData>
  <conditionalFormatting sqref="K5:AO207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8">
    <cfRule type="cellIs" dxfId="12" priority="84" stopIfTrue="1" operator="equal">
      <formula>1</formula>
    </cfRule>
  </conditionalFormatting>
  <conditionalFormatting sqref="AP5:AP207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7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7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418</v>
      </c>
      <c r="B1" s="106"/>
      <c r="C1" s="106"/>
      <c r="D1" s="106"/>
      <c r="E1" s="106"/>
      <c r="F1" s="106"/>
      <c r="G1" s="106"/>
      <c r="H1" s="106"/>
      <c r="I1" s="104"/>
      <c r="J1" s="107" t="s">
        <v>419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7" t="s">
        <v>420</v>
      </c>
      <c r="X1" s="118"/>
    </row>
    <row r="2" spans="1:24" ht="24.6" customHeight="1" thickBot="1" x14ac:dyDescent="0.25">
      <c r="A2" s="1" t="s">
        <v>421</v>
      </c>
      <c r="B2" s="2" t="s">
        <v>422</v>
      </c>
      <c r="C2" s="2" t="s">
        <v>423</v>
      </c>
      <c r="D2" s="2" t="s">
        <v>16</v>
      </c>
      <c r="E2" s="2" t="s">
        <v>15</v>
      </c>
      <c r="F2" s="3" t="s">
        <v>424</v>
      </c>
      <c r="G2" s="2" t="s">
        <v>425</v>
      </c>
      <c r="H2" s="4" t="s">
        <v>426</v>
      </c>
      <c r="I2" s="5" t="s">
        <v>427</v>
      </c>
      <c r="J2" s="6" t="s">
        <v>428</v>
      </c>
      <c r="K2" s="2" t="s">
        <v>429</v>
      </c>
      <c r="L2" s="2" t="s">
        <v>430</v>
      </c>
      <c r="M2" s="2" t="s">
        <v>431</v>
      </c>
      <c r="N2" s="2" t="s">
        <v>432</v>
      </c>
      <c r="O2" s="2" t="s">
        <v>433</v>
      </c>
      <c r="P2" s="2" t="s">
        <v>434</v>
      </c>
      <c r="Q2" s="2" t="s">
        <v>435</v>
      </c>
      <c r="R2" s="2" t="s">
        <v>436</v>
      </c>
      <c r="S2" s="2" t="s">
        <v>437</v>
      </c>
      <c r="T2" s="2" t="s">
        <v>438</v>
      </c>
      <c r="U2" s="2" t="s">
        <v>439</v>
      </c>
      <c r="V2" s="7" t="s">
        <v>440</v>
      </c>
      <c r="W2" s="8" t="s">
        <v>441</v>
      </c>
      <c r="X2" s="9" t="s">
        <v>442</v>
      </c>
    </row>
    <row r="3" spans="1:24" ht="13.9" customHeight="1" x14ac:dyDescent="0.2">
      <c r="A3" s="10">
        <v>48015050</v>
      </c>
      <c r="B3" s="11" t="s">
        <v>443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444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445</v>
      </c>
      <c r="C5" s="11" t="s">
        <v>446</v>
      </c>
      <c r="D5" s="11" t="s">
        <v>447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444</v>
      </c>
      <c r="C6" s="11" t="s">
        <v>448</v>
      </c>
      <c r="D6" s="11" t="s">
        <v>448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449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444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444</v>
      </c>
      <c r="C9" s="11" t="s">
        <v>450</v>
      </c>
      <c r="D9" s="11" t="s">
        <v>451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449</v>
      </c>
      <c r="C10" s="11" t="s">
        <v>116</v>
      </c>
      <c r="D10" s="11" t="s">
        <v>452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444</v>
      </c>
      <c r="C11" s="11" t="s">
        <v>453</v>
      </c>
      <c r="D11" s="11" t="s">
        <v>454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443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444</v>
      </c>
      <c r="C13" s="11" t="s">
        <v>455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444</v>
      </c>
      <c r="C14" s="11" t="s">
        <v>456</v>
      </c>
      <c r="D14" s="11" t="s">
        <v>457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444</v>
      </c>
      <c r="C15" s="11" t="s">
        <v>458</v>
      </c>
      <c r="D15" s="11" t="s">
        <v>459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444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444</v>
      </c>
      <c r="C17" s="11" t="s">
        <v>460</v>
      </c>
      <c r="D17" s="11" t="s">
        <v>461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444</v>
      </c>
      <c r="C18" s="11" t="s">
        <v>462</v>
      </c>
      <c r="D18" s="11" t="s">
        <v>463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444</v>
      </c>
      <c r="C19" s="11" t="s">
        <v>111</v>
      </c>
      <c r="D19" s="11" t="s">
        <v>464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443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444</v>
      </c>
      <c r="C21" s="11" t="s">
        <v>465</v>
      </c>
      <c r="D21" s="11" t="s">
        <v>466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444</v>
      </c>
      <c r="C22" s="11" t="s">
        <v>467</v>
      </c>
      <c r="D22" s="11" t="s">
        <v>468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444</v>
      </c>
      <c r="C23" s="11" t="s">
        <v>469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470</v>
      </c>
      <c r="C24" s="11" t="s">
        <v>471</v>
      </c>
      <c r="D24" s="11" t="s">
        <v>472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444</v>
      </c>
      <c r="C25" s="11" t="s">
        <v>473</v>
      </c>
      <c r="D25" s="11" t="s">
        <v>474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443</v>
      </c>
      <c r="C26" s="11" t="s">
        <v>62</v>
      </c>
      <c r="D26" s="11" t="s">
        <v>475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449</v>
      </c>
      <c r="C27" s="11" t="s">
        <v>476</v>
      </c>
      <c r="D27" s="11" t="s">
        <v>475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470</v>
      </c>
      <c r="C28" s="11" t="s">
        <v>477</v>
      </c>
      <c r="D28" s="11" t="s">
        <v>478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444</v>
      </c>
      <c r="C29" s="11" t="s">
        <v>479</v>
      </c>
      <c r="D29" s="11" t="s">
        <v>480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470</v>
      </c>
      <c r="C30" s="11" t="s">
        <v>481</v>
      </c>
      <c r="D30" s="11" t="s">
        <v>482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470</v>
      </c>
      <c r="C31" s="11" t="s">
        <v>483</v>
      </c>
      <c r="D31" s="11" t="s">
        <v>484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444</v>
      </c>
      <c r="C32" s="11" t="s">
        <v>485</v>
      </c>
      <c r="D32" s="11" t="s">
        <v>486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449</v>
      </c>
      <c r="C33" s="11" t="s">
        <v>487</v>
      </c>
      <c r="D33" s="11" t="s">
        <v>488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444</v>
      </c>
      <c r="C34" s="35" t="s">
        <v>489</v>
      </c>
      <c r="D34" s="35" t="s">
        <v>490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444</v>
      </c>
      <c r="C35" s="35" t="s">
        <v>491</v>
      </c>
      <c r="D35" s="35" t="s">
        <v>492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493</v>
      </c>
      <c r="C36" s="35" t="s">
        <v>494</v>
      </c>
      <c r="D36" s="35" t="s">
        <v>495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470</v>
      </c>
      <c r="C37" s="35" t="s">
        <v>496</v>
      </c>
      <c r="D37" s="35" t="s">
        <v>497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444</v>
      </c>
      <c r="C38" s="35" t="s">
        <v>498</v>
      </c>
      <c r="D38" s="35" t="s">
        <v>499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444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444</v>
      </c>
      <c r="C40" s="35" t="s">
        <v>365</v>
      </c>
      <c r="D40" s="35" t="s">
        <v>500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444</v>
      </c>
      <c r="C41" s="35" t="s">
        <v>501</v>
      </c>
      <c r="D41" s="35" t="s">
        <v>501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443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444</v>
      </c>
      <c r="C43" s="35" t="s">
        <v>258</v>
      </c>
      <c r="D43" s="35" t="s">
        <v>258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443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443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444</v>
      </c>
      <c r="C46" s="35" t="s">
        <v>502</v>
      </c>
      <c r="D46" s="35" t="s">
        <v>502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470</v>
      </c>
      <c r="C47" s="35" t="s">
        <v>503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470</v>
      </c>
      <c r="C48" s="35" t="s">
        <v>504</v>
      </c>
      <c r="D48" s="35" t="s">
        <v>505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443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443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449</v>
      </c>
      <c r="C51" s="35" t="s">
        <v>506</v>
      </c>
      <c r="D51" s="35" t="s">
        <v>507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470</v>
      </c>
      <c r="C52" s="35" t="s">
        <v>508</v>
      </c>
      <c r="D52" s="35" t="s">
        <v>509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444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444</v>
      </c>
      <c r="C54" s="35" t="s">
        <v>510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444</v>
      </c>
      <c r="C55" s="35" t="s">
        <v>511</v>
      </c>
      <c r="D55" s="35" t="s">
        <v>512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444</v>
      </c>
      <c r="C56" s="35" t="s">
        <v>513</v>
      </c>
      <c r="D56" s="35" t="s">
        <v>512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444</v>
      </c>
      <c r="C57" s="35" t="s">
        <v>514</v>
      </c>
      <c r="D57" s="35" t="s">
        <v>515</v>
      </c>
      <c r="E57" s="21" t="s">
        <v>211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449</v>
      </c>
      <c r="C58" s="35" t="s">
        <v>234</v>
      </c>
      <c r="D58" s="35" t="s">
        <v>234</v>
      </c>
      <c r="E58" s="21" t="s">
        <v>211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470</v>
      </c>
      <c r="C59" s="35" t="s">
        <v>209</v>
      </c>
      <c r="D59" s="35" t="s">
        <v>516</v>
      </c>
      <c r="E59" s="21" t="s">
        <v>211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444</v>
      </c>
      <c r="C60" s="35" t="s">
        <v>247</v>
      </c>
      <c r="D60" s="35" t="s">
        <v>247</v>
      </c>
      <c r="E60" s="21" t="s">
        <v>211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444</v>
      </c>
      <c r="C61" s="35" t="s">
        <v>235</v>
      </c>
      <c r="D61" s="35" t="s">
        <v>235</v>
      </c>
      <c r="E61" s="21" t="s">
        <v>211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444</v>
      </c>
      <c r="C62" s="35" t="s">
        <v>233</v>
      </c>
      <c r="D62" s="35" t="s">
        <v>233</v>
      </c>
      <c r="E62" s="21" t="s">
        <v>211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444</v>
      </c>
      <c r="C63" s="35" t="s">
        <v>517</v>
      </c>
      <c r="D63" s="35" t="s">
        <v>231</v>
      </c>
      <c r="E63" s="21" t="s">
        <v>211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444</v>
      </c>
      <c r="C64" s="35" t="s">
        <v>518</v>
      </c>
      <c r="D64" s="35" t="s">
        <v>519</v>
      </c>
      <c r="E64" s="21" t="s">
        <v>211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449</v>
      </c>
      <c r="C65" s="35" t="s">
        <v>226</v>
      </c>
      <c r="D65" s="35" t="s">
        <v>227</v>
      </c>
      <c r="E65" s="21" t="s">
        <v>211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444</v>
      </c>
      <c r="C66" s="35" t="s">
        <v>520</v>
      </c>
      <c r="D66" s="35" t="s">
        <v>520</v>
      </c>
      <c r="E66" s="21" t="s">
        <v>211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444</v>
      </c>
      <c r="C67" s="35" t="s">
        <v>521</v>
      </c>
      <c r="D67" s="35" t="s">
        <v>520</v>
      </c>
      <c r="E67" s="21" t="s">
        <v>211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444</v>
      </c>
      <c r="C68" s="35" t="s">
        <v>522</v>
      </c>
      <c r="D68" s="35" t="s">
        <v>523</v>
      </c>
      <c r="E68" s="21" t="s">
        <v>211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470</v>
      </c>
      <c r="C69" s="35" t="s">
        <v>524</v>
      </c>
      <c r="D69" s="35" t="s">
        <v>244</v>
      </c>
      <c r="E69" s="21" t="s">
        <v>211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444</v>
      </c>
      <c r="C70" s="35" t="s">
        <v>245</v>
      </c>
      <c r="D70" s="35" t="s">
        <v>525</v>
      </c>
      <c r="E70" s="21" t="s">
        <v>211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449</v>
      </c>
      <c r="C71" s="35" t="s">
        <v>239</v>
      </c>
      <c r="D71" s="35" t="s">
        <v>239</v>
      </c>
      <c r="E71" s="21" t="s">
        <v>211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444</v>
      </c>
      <c r="C72" s="35" t="s">
        <v>526</v>
      </c>
      <c r="D72" s="35" t="s">
        <v>526</v>
      </c>
      <c r="E72" s="21" t="s">
        <v>211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470</v>
      </c>
      <c r="C73" s="35" t="s">
        <v>527</v>
      </c>
      <c r="D73" s="35" t="s">
        <v>237</v>
      </c>
      <c r="E73" s="21" t="s">
        <v>211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449</v>
      </c>
      <c r="C74" s="35" t="s">
        <v>528</v>
      </c>
      <c r="D74" s="35" t="s">
        <v>237</v>
      </c>
      <c r="E74" s="21" t="s">
        <v>211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444</v>
      </c>
      <c r="C75" s="35" t="s">
        <v>249</v>
      </c>
      <c r="D75" s="35" t="s">
        <v>250</v>
      </c>
      <c r="E75" s="21" t="s">
        <v>211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444</v>
      </c>
      <c r="C76" s="35" t="s">
        <v>529</v>
      </c>
      <c r="D76" s="35" t="s">
        <v>213</v>
      </c>
      <c r="E76" s="21" t="s">
        <v>211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444</v>
      </c>
      <c r="C77" s="35" t="s">
        <v>241</v>
      </c>
      <c r="D77" s="35" t="s">
        <v>242</v>
      </c>
      <c r="E77" s="21" t="s">
        <v>211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470</v>
      </c>
      <c r="C78" s="35" t="s">
        <v>216</v>
      </c>
      <c r="D78" s="35" t="s">
        <v>217</v>
      </c>
      <c r="E78" s="21" t="s">
        <v>211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444</v>
      </c>
      <c r="C79" s="35" t="s">
        <v>530</v>
      </c>
      <c r="D79" s="35" t="s">
        <v>215</v>
      </c>
      <c r="E79" s="21" t="s">
        <v>211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444</v>
      </c>
      <c r="C80" s="35" t="s">
        <v>531</v>
      </c>
      <c r="D80" s="35" t="s">
        <v>531</v>
      </c>
      <c r="E80" s="21" t="s">
        <v>211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444</v>
      </c>
      <c r="C81" s="35" t="s">
        <v>532</v>
      </c>
      <c r="D81" s="35" t="s">
        <v>533</v>
      </c>
      <c r="E81" s="21" t="s">
        <v>211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470</v>
      </c>
      <c r="C82" s="11" t="s">
        <v>534</v>
      </c>
      <c r="D82" s="35" t="s">
        <v>535</v>
      </c>
      <c r="E82" s="21" t="s">
        <v>211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470</v>
      </c>
      <c r="C83" s="35" t="s">
        <v>240</v>
      </c>
      <c r="D83" s="35" t="s">
        <v>240</v>
      </c>
      <c r="E83" s="21" t="s">
        <v>211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444</v>
      </c>
      <c r="C84" s="35" t="s">
        <v>536</v>
      </c>
      <c r="D84" s="35" t="s">
        <v>223</v>
      </c>
      <c r="E84" s="21" t="s">
        <v>211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470</v>
      </c>
      <c r="C85" s="35" t="s">
        <v>228</v>
      </c>
      <c r="D85" s="35" t="s">
        <v>229</v>
      </c>
      <c r="E85" s="21" t="s">
        <v>211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470</v>
      </c>
      <c r="C86" s="35" t="s">
        <v>537</v>
      </c>
      <c r="D86" s="35" t="s">
        <v>538</v>
      </c>
      <c r="E86" s="21" t="s">
        <v>211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444</v>
      </c>
      <c r="C87" s="35" t="s">
        <v>539</v>
      </c>
      <c r="D87" s="35" t="s">
        <v>540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444</v>
      </c>
      <c r="C88" s="35" t="s">
        <v>349</v>
      </c>
      <c r="D88" s="35" t="s">
        <v>350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470</v>
      </c>
      <c r="C89" s="35" t="s">
        <v>541</v>
      </c>
      <c r="D89" s="35" t="s">
        <v>352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444</v>
      </c>
      <c r="C90" s="35" t="s">
        <v>542</v>
      </c>
      <c r="D90" s="35" t="s">
        <v>352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444</v>
      </c>
      <c r="C91" s="35" t="s">
        <v>543</v>
      </c>
      <c r="D91" s="35" t="s">
        <v>544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444</v>
      </c>
      <c r="C92" s="35" t="s">
        <v>379</v>
      </c>
      <c r="D92" s="35" t="s">
        <v>379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444</v>
      </c>
      <c r="C93" s="35" t="s">
        <v>545</v>
      </c>
      <c r="D93" s="35" t="s">
        <v>546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444</v>
      </c>
      <c r="C94" s="35" t="s">
        <v>547</v>
      </c>
      <c r="D94" s="35" t="s">
        <v>548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444</v>
      </c>
      <c r="C95" s="35" t="s">
        <v>549</v>
      </c>
      <c r="D95" s="35" t="s">
        <v>550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449</v>
      </c>
      <c r="C96" s="35" t="s">
        <v>551</v>
      </c>
      <c r="D96" s="35" t="s">
        <v>550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444</v>
      </c>
      <c r="C97" s="35" t="s">
        <v>552</v>
      </c>
      <c r="D97" s="35" t="s">
        <v>553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444</v>
      </c>
      <c r="C98" s="35" t="s">
        <v>554</v>
      </c>
      <c r="D98" s="35" t="s">
        <v>555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444</v>
      </c>
      <c r="C99" s="35" t="s">
        <v>556</v>
      </c>
      <c r="D99" s="35" t="s">
        <v>557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444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444</v>
      </c>
      <c r="C101" s="35" t="s">
        <v>248</v>
      </c>
      <c r="D101" s="35" t="s">
        <v>248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444</v>
      </c>
      <c r="C102" s="35" t="s">
        <v>558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470</v>
      </c>
      <c r="C103" s="35" t="s">
        <v>559</v>
      </c>
      <c r="D103" s="35" t="s">
        <v>559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444</v>
      </c>
      <c r="C104" s="35" t="s">
        <v>560</v>
      </c>
      <c r="D104" s="35" t="s">
        <v>256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561</v>
      </c>
      <c r="C105" s="35" t="s">
        <v>562</v>
      </c>
      <c r="D105" s="35" t="s">
        <v>562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470</v>
      </c>
      <c r="C106" s="35" t="s">
        <v>563</v>
      </c>
      <c r="D106" s="35" t="s">
        <v>564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470</v>
      </c>
      <c r="C107" s="35" t="s">
        <v>565</v>
      </c>
      <c r="D107" s="35" t="s">
        <v>252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444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444</v>
      </c>
      <c r="C109" s="35" t="s">
        <v>566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444</v>
      </c>
      <c r="C110" s="35" t="s">
        <v>567</v>
      </c>
      <c r="D110" s="35" t="s">
        <v>336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444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470</v>
      </c>
      <c r="C112" s="35" t="s">
        <v>279</v>
      </c>
      <c r="D112" s="35" t="s">
        <v>279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470</v>
      </c>
      <c r="C113" s="35" t="s">
        <v>568</v>
      </c>
      <c r="D113" s="35" t="s">
        <v>569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444</v>
      </c>
      <c r="C114" s="35" t="s">
        <v>570</v>
      </c>
      <c r="D114" s="35" t="s">
        <v>570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444</v>
      </c>
      <c r="C115" s="35" t="s">
        <v>571</v>
      </c>
      <c r="D115" s="35" t="s">
        <v>572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444</v>
      </c>
      <c r="C116" s="35" t="s">
        <v>573</v>
      </c>
      <c r="D116" s="35" t="s">
        <v>574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470</v>
      </c>
      <c r="C117" s="35" t="s">
        <v>575</v>
      </c>
      <c r="D117" s="35" t="s">
        <v>576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444</v>
      </c>
      <c r="C118" s="35" t="s">
        <v>577</v>
      </c>
      <c r="D118" s="35" t="s">
        <v>578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470</v>
      </c>
      <c r="C119" s="35" t="s">
        <v>259</v>
      </c>
      <c r="D119" s="35" t="s">
        <v>261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444</v>
      </c>
      <c r="C120" s="35" t="s">
        <v>579</v>
      </c>
      <c r="D120" s="35" t="s">
        <v>580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444</v>
      </c>
      <c r="C121" s="35" t="s">
        <v>337</v>
      </c>
      <c r="D121" s="35" t="s">
        <v>580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444</v>
      </c>
      <c r="C122" s="35" t="s">
        <v>275</v>
      </c>
      <c r="D122" s="35" t="s">
        <v>581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444</v>
      </c>
      <c r="C123" s="35" t="s">
        <v>582</v>
      </c>
      <c r="D123" s="35" t="s">
        <v>583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445</v>
      </c>
      <c r="C124" s="35" t="s">
        <v>584</v>
      </c>
      <c r="D124" s="35" t="s">
        <v>585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444</v>
      </c>
      <c r="C125" s="35" t="s">
        <v>586</v>
      </c>
      <c r="D125" s="35" t="s">
        <v>587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449</v>
      </c>
      <c r="C126" s="35" t="s">
        <v>588</v>
      </c>
      <c r="D126" s="35" t="s">
        <v>587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470</v>
      </c>
      <c r="C127" s="35" t="s">
        <v>589</v>
      </c>
      <c r="D127" s="35" t="s">
        <v>590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444</v>
      </c>
      <c r="C128" s="35" t="s">
        <v>591</v>
      </c>
      <c r="D128" s="35" t="s">
        <v>591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445</v>
      </c>
      <c r="C129" s="35" t="s">
        <v>592</v>
      </c>
      <c r="D129" s="35" t="s">
        <v>593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470</v>
      </c>
      <c r="C130" s="35" t="s">
        <v>594</v>
      </c>
      <c r="D130" s="35" t="s">
        <v>595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444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443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444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444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444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444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444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444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444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443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445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449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444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444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470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470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444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443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444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444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449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444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444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444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444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444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470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470</v>
      </c>
      <c r="C158" s="35" t="s">
        <v>387</v>
      </c>
      <c r="D158" s="35" t="s">
        <v>388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444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444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443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470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444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470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444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470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561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561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444</v>
      </c>
      <c r="C169" s="35" t="s">
        <v>415</v>
      </c>
      <c r="D169" s="35" t="s">
        <v>416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444</v>
      </c>
      <c r="C170" s="35" t="s">
        <v>392</v>
      </c>
      <c r="D170" s="35" t="s">
        <v>393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470</v>
      </c>
      <c r="C171" s="35" t="s">
        <v>637</v>
      </c>
      <c r="D171" s="35" t="s">
        <v>397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561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470</v>
      </c>
      <c r="C173" s="35" t="s">
        <v>640</v>
      </c>
      <c r="D173" s="35" t="s">
        <v>414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444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444</v>
      </c>
      <c r="C175" s="35" t="s">
        <v>389</v>
      </c>
      <c r="D175" s="35" t="s">
        <v>389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444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444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561</v>
      </c>
      <c r="C178" s="35" t="s">
        <v>404</v>
      </c>
      <c r="D178" s="35" t="s">
        <v>405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561</v>
      </c>
      <c r="C179" s="35" t="s">
        <v>646</v>
      </c>
      <c r="D179" s="35" t="s">
        <v>405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449</v>
      </c>
      <c r="C180" s="35" t="s">
        <v>385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470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444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444</v>
      </c>
      <c r="C183" s="35" t="s">
        <v>380</v>
      </c>
      <c r="D183" s="35" t="s">
        <v>380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444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449</v>
      </c>
      <c r="C185" s="35" t="s">
        <v>654</v>
      </c>
      <c r="D185" s="35" t="s">
        <v>384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444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561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470</v>
      </c>
      <c r="C188" s="35" t="s">
        <v>659</v>
      </c>
      <c r="D188" s="35" t="s">
        <v>383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444</v>
      </c>
      <c r="C189" s="35" t="s">
        <v>390</v>
      </c>
      <c r="D189" s="35" t="s">
        <v>391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561</v>
      </c>
      <c r="C190" s="35" t="s">
        <v>660</v>
      </c>
      <c r="D190" s="35" t="s">
        <v>395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561</v>
      </c>
      <c r="C191" s="35" t="s">
        <v>394</v>
      </c>
      <c r="D191" s="35" t="s">
        <v>395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561</v>
      </c>
      <c r="C192" s="35" t="s">
        <v>655</v>
      </c>
      <c r="D192" s="35" t="s">
        <v>399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561</v>
      </c>
      <c r="C193" s="35" t="s">
        <v>661</v>
      </c>
      <c r="D193" s="35" t="s">
        <v>399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561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561</v>
      </c>
      <c r="C195" s="35" t="s">
        <v>402</v>
      </c>
      <c r="D195" s="35" t="s">
        <v>403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444</v>
      </c>
      <c r="C196" s="35" t="s">
        <v>400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444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470</v>
      </c>
      <c r="C198" s="35" t="s">
        <v>667</v>
      </c>
      <c r="D198" s="35" t="s">
        <v>412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470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449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444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444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449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444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444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444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449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444</v>
      </c>
      <c r="C208" s="35" t="s">
        <v>492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444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470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444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444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444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444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444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444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470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444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444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444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444</v>
      </c>
      <c r="C222" s="35" t="s">
        <v>347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445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444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444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444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449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444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444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470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444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443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470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470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444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444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444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470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470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444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470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443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470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444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444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444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444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444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444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444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470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444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444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561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444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444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443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449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470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444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443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470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445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443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444</v>
      </c>
      <c r="C265" s="35" t="s">
        <v>285</v>
      </c>
      <c r="D265" s="35" t="s">
        <v>286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444</v>
      </c>
      <c r="C266" s="35" t="s">
        <v>291</v>
      </c>
      <c r="D266" s="35" t="s">
        <v>291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470</v>
      </c>
      <c r="C267" s="35" t="s">
        <v>743</v>
      </c>
      <c r="D267" s="35" t="s">
        <v>270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470</v>
      </c>
      <c r="C268" s="35" t="s">
        <v>744</v>
      </c>
      <c r="D268" s="35" t="s">
        <v>270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449</v>
      </c>
      <c r="C269" s="35" t="s">
        <v>280</v>
      </c>
      <c r="D269" s="35" t="s">
        <v>270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444</v>
      </c>
      <c r="C270" s="35" t="s">
        <v>267</v>
      </c>
      <c r="D270" s="35" t="s">
        <v>268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444</v>
      </c>
      <c r="C271" s="35" t="s">
        <v>745</v>
      </c>
      <c r="D271" s="35" t="s">
        <v>284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444</v>
      </c>
      <c r="C272" s="35" t="s">
        <v>287</v>
      </c>
      <c r="D272" s="35" t="s">
        <v>288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444</v>
      </c>
      <c r="C273" s="35" t="s">
        <v>281</v>
      </c>
      <c r="D273" s="35" t="s">
        <v>281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444</v>
      </c>
      <c r="C274" s="35" t="s">
        <v>282</v>
      </c>
      <c r="D274" s="35" t="s">
        <v>282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470</v>
      </c>
      <c r="C275" s="35" t="s">
        <v>289</v>
      </c>
      <c r="D275" s="35" t="s">
        <v>290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470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470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470</v>
      </c>
      <c r="C278" s="35" t="s">
        <v>749</v>
      </c>
      <c r="D278" s="35" t="s">
        <v>294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470</v>
      </c>
      <c r="C279" s="35" t="s">
        <v>750</v>
      </c>
      <c r="D279" s="35" t="s">
        <v>309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444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470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443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470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470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470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444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470</v>
      </c>
      <c r="C287" s="35" t="s">
        <v>306</v>
      </c>
      <c r="D287" s="35" t="s">
        <v>307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444</v>
      </c>
      <c r="C288" s="35" t="s">
        <v>760</v>
      </c>
      <c r="D288" s="35" t="s">
        <v>307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449</v>
      </c>
      <c r="C289" s="35" t="s">
        <v>297</v>
      </c>
      <c r="D289" s="35" t="s">
        <v>300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444</v>
      </c>
      <c r="C290" s="35" t="s">
        <v>761</v>
      </c>
      <c r="D290" s="35" t="s">
        <v>301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470</v>
      </c>
      <c r="C291" s="35" t="s">
        <v>301</v>
      </c>
      <c r="D291" s="35" t="s">
        <v>301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470</v>
      </c>
      <c r="C292" s="35" t="s">
        <v>304</v>
      </c>
      <c r="D292" s="35" t="s">
        <v>304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445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444</v>
      </c>
      <c r="C294" s="35" t="s">
        <v>392</v>
      </c>
      <c r="D294" s="35" t="s">
        <v>392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444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444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444</v>
      </c>
      <c r="C297" s="35" t="s">
        <v>332</v>
      </c>
      <c r="D297" s="35" t="s">
        <v>499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444</v>
      </c>
      <c r="C298" s="35" t="s">
        <v>766</v>
      </c>
      <c r="D298" s="35" t="s">
        <v>266</v>
      </c>
      <c r="E298" s="21" t="s">
        <v>263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470</v>
      </c>
      <c r="C299" s="35" t="s">
        <v>767</v>
      </c>
      <c r="D299" s="35" t="s">
        <v>264</v>
      </c>
      <c r="E299" s="21" t="s">
        <v>263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449</v>
      </c>
      <c r="C300" s="35" t="s">
        <v>768</v>
      </c>
      <c r="D300" s="35" t="s">
        <v>272</v>
      </c>
      <c r="E300" s="21" t="s">
        <v>263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444</v>
      </c>
      <c r="C301" s="35" t="s">
        <v>272</v>
      </c>
      <c r="D301" s="35" t="s">
        <v>272</v>
      </c>
      <c r="E301" s="21" t="s">
        <v>263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444</v>
      </c>
      <c r="C302" s="35" t="s">
        <v>271</v>
      </c>
      <c r="D302" s="35" t="s">
        <v>272</v>
      </c>
      <c r="E302" s="21" t="s">
        <v>263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444</v>
      </c>
      <c r="C303" s="35" t="s">
        <v>769</v>
      </c>
      <c r="D303" s="35" t="s">
        <v>770</v>
      </c>
      <c r="E303" s="21" t="s">
        <v>263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449</v>
      </c>
      <c r="C304" s="35" t="s">
        <v>771</v>
      </c>
      <c r="D304" s="35" t="s">
        <v>771</v>
      </c>
      <c r="E304" s="21" t="s">
        <v>263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443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443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444</v>
      </c>
      <c r="C307" s="35" t="s">
        <v>348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444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445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444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444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444</v>
      </c>
      <c r="C312" s="35" t="s">
        <v>310</v>
      </c>
      <c r="D312" s="35" t="s">
        <v>310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443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444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444</v>
      </c>
      <c r="C315" s="35" t="s">
        <v>232</v>
      </c>
      <c r="D315" s="35" t="s">
        <v>232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444</v>
      </c>
      <c r="C316" s="35" t="s">
        <v>781</v>
      </c>
      <c r="D316" s="35" t="s">
        <v>326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444</v>
      </c>
      <c r="C317" s="35" t="s">
        <v>782</v>
      </c>
      <c r="D317" s="35" t="s">
        <v>326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444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444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444</v>
      </c>
      <c r="C320" s="35" t="s">
        <v>311</v>
      </c>
      <c r="D320" s="35" t="s">
        <v>311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444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444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444</v>
      </c>
      <c r="C323" s="35" t="s">
        <v>786</v>
      </c>
      <c r="D323" s="35" t="s">
        <v>320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444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443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470</v>
      </c>
      <c r="C326" s="35" t="s">
        <v>788</v>
      </c>
      <c r="D326" s="35" t="s">
        <v>324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444</v>
      </c>
      <c r="C327" s="35" t="s">
        <v>328</v>
      </c>
      <c r="D327" s="35" t="s">
        <v>329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445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444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445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470</v>
      </c>
      <c r="C331" s="35" t="s">
        <v>315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444</v>
      </c>
      <c r="C332" s="35" t="s">
        <v>796</v>
      </c>
      <c r="D332" s="35" t="s">
        <v>318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444</v>
      </c>
      <c r="C333" s="35" t="s">
        <v>797</v>
      </c>
      <c r="D333" s="35" t="s">
        <v>318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470</v>
      </c>
      <c r="C334" s="35" t="s">
        <v>798</v>
      </c>
      <c r="D334" s="35" t="s">
        <v>331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445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444</v>
      </c>
      <c r="C336" s="35" t="s">
        <v>327</v>
      </c>
      <c r="D336" s="35" t="s">
        <v>327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470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470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449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561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470</v>
      </c>
      <c r="C341" s="35" t="s">
        <v>805</v>
      </c>
      <c r="D341" s="35" t="s">
        <v>367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470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444</v>
      </c>
      <c r="C343" s="35" t="s">
        <v>808</v>
      </c>
      <c r="D343" s="35" t="s">
        <v>374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444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444</v>
      </c>
      <c r="C345" s="35" t="s">
        <v>810</v>
      </c>
      <c r="D345" s="35" t="s">
        <v>372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444</v>
      </c>
      <c r="C346" s="35" t="s">
        <v>811</v>
      </c>
      <c r="D346" s="35" t="s">
        <v>372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444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444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444</v>
      </c>
      <c r="C349" s="35" t="s">
        <v>360</v>
      </c>
      <c r="D349" s="35" t="s">
        <v>361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449</v>
      </c>
      <c r="C350" s="35" t="s">
        <v>816</v>
      </c>
      <c r="D350" s="35" t="s">
        <v>361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470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470</v>
      </c>
      <c r="C352" s="35" t="s">
        <v>358</v>
      </c>
      <c r="D352" s="35" t="s">
        <v>358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444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470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444</v>
      </c>
      <c r="C356" s="35" t="s">
        <v>310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470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444</v>
      </c>
      <c r="C358" s="11" t="s">
        <v>823</v>
      </c>
      <c r="D358" s="35" t="s">
        <v>357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444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444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470</v>
      </c>
      <c r="C361" s="35" t="s">
        <v>375</v>
      </c>
      <c r="D361" s="35" t="s">
        <v>376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445</v>
      </c>
      <c r="C362" s="35" t="s">
        <v>828</v>
      </c>
      <c r="D362" s="35" t="s">
        <v>365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444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444</v>
      </c>
      <c r="C364" s="35" t="s">
        <v>370</v>
      </c>
      <c r="D364" s="35" t="s">
        <v>370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445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444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470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444</v>
      </c>
      <c r="C368" s="35" t="s">
        <v>343</v>
      </c>
      <c r="D368" s="35" t="s">
        <v>344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470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444</v>
      </c>
      <c r="C370" s="35" t="s">
        <v>401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449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470</v>
      </c>
      <c r="C372" s="35" t="s">
        <v>839</v>
      </c>
      <c r="D372" s="35" t="s">
        <v>464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443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444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449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444</v>
      </c>
      <c r="C376" s="35" t="s">
        <v>346</v>
      </c>
      <c r="D376" s="35" t="s">
        <v>347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443</v>
      </c>
      <c r="C377" s="35" t="s">
        <v>842</v>
      </c>
      <c r="D377" s="35" t="s">
        <v>342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444</v>
      </c>
      <c r="C378" s="35" t="s">
        <v>843</v>
      </c>
      <c r="D378" s="35" t="s">
        <v>342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444</v>
      </c>
      <c r="C379" s="35" t="s">
        <v>345</v>
      </c>
      <c r="D379" s="35" t="s">
        <v>342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444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470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444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470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443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2" t="s">
        <v>848</v>
      </c>
      <c r="B1" s="122" t="s">
        <v>8</v>
      </c>
      <c r="C1" s="122" t="s">
        <v>11</v>
      </c>
      <c r="D1" s="122" t="s">
        <v>10</v>
      </c>
      <c r="E1" s="122" t="s">
        <v>12</v>
      </c>
      <c r="F1" s="122" t="s">
        <v>16</v>
      </c>
      <c r="G1" s="122" t="s">
        <v>849</v>
      </c>
      <c r="H1" s="119" t="s">
        <v>850</v>
      </c>
      <c r="I1" s="120"/>
      <c r="J1" s="121"/>
      <c r="K1" s="119" t="s">
        <v>851</v>
      </c>
      <c r="L1" s="120"/>
      <c r="M1" s="121"/>
      <c r="N1" s="119" t="s">
        <v>852</v>
      </c>
      <c r="O1" s="120"/>
      <c r="P1" s="121"/>
      <c r="Q1" s="119" t="s">
        <v>853</v>
      </c>
      <c r="R1" s="120"/>
      <c r="S1" s="121"/>
      <c r="T1" s="119" t="s">
        <v>854</v>
      </c>
      <c r="U1" s="120"/>
      <c r="V1" s="121"/>
      <c r="W1" s="119" t="s">
        <v>855</v>
      </c>
      <c r="X1" s="120"/>
      <c r="Y1" s="121"/>
      <c r="Z1" s="119" t="s">
        <v>856</v>
      </c>
      <c r="AA1" s="120"/>
      <c r="AB1" s="121"/>
      <c r="AC1" s="119" t="s">
        <v>857</v>
      </c>
      <c r="AD1" s="120"/>
      <c r="AE1" s="121"/>
      <c r="AF1" s="119" t="s">
        <v>858</v>
      </c>
      <c r="AG1" s="120"/>
      <c r="AH1" s="121"/>
      <c r="AI1" s="119" t="s">
        <v>859</v>
      </c>
      <c r="AJ1" s="120"/>
      <c r="AK1" s="121"/>
      <c r="AL1" s="119" t="s">
        <v>860</v>
      </c>
      <c r="AM1" s="120"/>
      <c r="AN1" s="121"/>
      <c r="AO1" s="119" t="s">
        <v>861</v>
      </c>
      <c r="AP1" s="120"/>
      <c r="AQ1" s="121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3"/>
      <c r="B2" s="123"/>
      <c r="C2" s="123"/>
      <c r="D2" s="123"/>
      <c r="E2" s="123"/>
      <c r="F2" s="123"/>
      <c r="G2" s="123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505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340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509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340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591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595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468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340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209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310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299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587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256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340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466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272</v>
      </c>
      <c r="G81" s="42" t="s">
        <v>263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272</v>
      </c>
      <c r="G85" s="42" t="s">
        <v>263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417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593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587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272</v>
      </c>
      <c r="G103" s="42" t="s">
        <v>263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311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585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299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299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363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367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357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355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252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316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358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257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211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258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263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333</v>
      </c>
      <c r="G139" s="42" t="s">
        <v>299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361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361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495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562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359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474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264</v>
      </c>
      <c r="G162" s="42" t="s">
        <v>263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374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320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484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304</v>
      </c>
      <c r="G171" s="42" t="s">
        <v>299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372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329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380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340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340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340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340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578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340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372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338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344</v>
      </c>
      <c r="G186" s="42" t="s">
        <v>340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340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340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526</v>
      </c>
      <c r="G193" s="42" t="s">
        <v>211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299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477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342</v>
      </c>
      <c r="G197" s="42" t="s">
        <v>340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500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570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307</v>
      </c>
      <c r="G200" s="42" t="s">
        <v>299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497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299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232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447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213</v>
      </c>
      <c r="G208" s="42" t="s">
        <v>211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454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244</v>
      </c>
      <c r="G212" s="42" t="s">
        <v>211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247</v>
      </c>
      <c r="G213" s="42" t="s">
        <v>211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479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461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322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383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309</v>
      </c>
      <c r="G222" s="42" t="s">
        <v>299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307</v>
      </c>
      <c r="G223" s="42" t="s">
        <v>299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492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286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299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288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379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301</v>
      </c>
      <c r="G233" s="42" t="s">
        <v>299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250</v>
      </c>
      <c r="G234" s="42" t="s">
        <v>211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376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448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246</v>
      </c>
      <c r="G238" s="42" t="s">
        <v>211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324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310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347</v>
      </c>
      <c r="G245" s="42" t="s">
        <v>340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301</v>
      </c>
      <c r="G246" s="42" t="s">
        <v>299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268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318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327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574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336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279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282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299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318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240</v>
      </c>
      <c r="G264" s="42" t="s">
        <v>211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486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350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457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458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370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266</v>
      </c>
      <c r="G275" s="42" t="s">
        <v>263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352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211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234</v>
      </c>
      <c r="G279" s="42" t="s">
        <v>211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463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540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291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281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209</v>
      </c>
      <c r="G284" s="42" t="s">
        <v>211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242</v>
      </c>
      <c r="G285" s="42" t="s">
        <v>211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365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215</v>
      </c>
      <c r="G288" s="42" t="s">
        <v>211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352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300</v>
      </c>
      <c r="G291" s="42" t="s">
        <v>299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233</v>
      </c>
      <c r="G292" s="42" t="s">
        <v>211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239</v>
      </c>
      <c r="G293" s="42" t="s">
        <v>211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581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227</v>
      </c>
      <c r="G295" s="42" t="s">
        <v>211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535</v>
      </c>
      <c r="G296" s="42" t="s">
        <v>211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237</v>
      </c>
      <c r="G297" s="42" t="s">
        <v>211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211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386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408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405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221</v>
      </c>
      <c r="G304" s="42" t="s">
        <v>211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408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408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408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395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408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403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405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515</v>
      </c>
      <c r="G315" s="42" t="s">
        <v>211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414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397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408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531</v>
      </c>
      <c r="G319" s="42" t="s">
        <v>211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217</v>
      </c>
      <c r="G320" s="42" t="s">
        <v>211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340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235</v>
      </c>
      <c r="G322" s="42" t="s">
        <v>211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395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399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399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365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229</v>
      </c>
      <c r="G328" s="42" t="s">
        <v>211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223</v>
      </c>
      <c r="G329" s="42" t="s">
        <v>211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393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270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389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290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365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270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270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326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391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261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342</v>
      </c>
      <c r="G342" s="42" t="s">
        <v>340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523</v>
      </c>
      <c r="G343" s="42" t="s">
        <v>211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520</v>
      </c>
      <c r="G346" s="42" t="s">
        <v>211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519</v>
      </c>
      <c r="G347" s="42" t="s">
        <v>211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294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583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408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284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408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416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331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227</v>
      </c>
      <c r="G355" s="42" t="s">
        <v>211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533</v>
      </c>
      <c r="G356" s="42" t="s">
        <v>211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520</v>
      </c>
      <c r="G357" s="42" t="s">
        <v>211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2026-07-04T15:11:13Z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2026-07-04T15:11:12Z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021cf7e9-8478-4b83-9d69-e6a8350b6e15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