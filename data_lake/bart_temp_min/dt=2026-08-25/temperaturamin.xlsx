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51AC33F-3DD4-4579-8F0B-B6E4368E0A2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Temperatura!$AI$1:$AI$209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W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Q202" i="1"/>
  <c r="AS202" i="1" s="1"/>
  <c r="AP202" i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W196" i="1" s="1"/>
  <c r="AR196" i="1"/>
  <c r="AP196" i="1"/>
  <c r="AQ196" i="1" s="1"/>
  <c r="AV195" i="1" a="1"/>
  <c r="AV195" i="1" s="1"/>
  <c r="AU195" i="1" a="1"/>
  <c r="AU195" i="1" s="1"/>
  <c r="AT195" i="1"/>
  <c r="AW195" i="1" s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Q187" i="1"/>
  <c r="AP187" i="1"/>
  <c r="AV186" i="1" a="1"/>
  <c r="AV186" i="1" s="1"/>
  <c r="AU186" i="1" a="1"/>
  <c r="AU186" i="1" s="1"/>
  <c r="AT186" i="1"/>
  <c r="AW186" i="1" s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/>
  <c r="AW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Q167" i="1"/>
  <c r="AP167" i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W164" i="1" s="1"/>
  <c r="AR164" i="1"/>
  <c r="AP164" i="1"/>
  <c r="AQ164" i="1" s="1"/>
  <c r="AV163" i="1" a="1"/>
  <c r="AV163" i="1" s="1"/>
  <c r="AU163" i="1" a="1"/>
  <c r="AU163" i="1" s="1"/>
  <c r="AW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Q149" i="1"/>
  <c r="AP149" i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 s="1"/>
  <c r="AW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/>
  <c r="AW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Q139" i="1"/>
  <c r="AP139" i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W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Q129" i="1"/>
  <c r="AP129" i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W126" i="1" s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W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Q117" i="1"/>
  <c r="AP117" i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W107" i="1" s="1"/>
  <c r="AR107" i="1"/>
  <c r="AQ107" i="1"/>
  <c r="AS107" i="1" s="1"/>
  <c r="AP107" i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/>
  <c r="AT103" i="1"/>
  <c r="AR103" i="1"/>
  <c r="AQ103" i="1"/>
  <c r="AS103" i="1" s="1"/>
  <c r="AP103" i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/>
  <c r="AU96" i="1" a="1"/>
  <c r="AU96" i="1" s="1"/>
  <c r="AT96" i="1"/>
  <c r="AR96" i="1"/>
  <c r="AP96" i="1"/>
  <c r="AQ96" i="1" s="1"/>
  <c r="AS96" i="1" s="1"/>
  <c r="AV95" i="1" a="1"/>
  <c r="AV95" i="1"/>
  <c r="AU95" i="1" a="1"/>
  <c r="AU95" i="1" s="1"/>
  <c r="AT95" i="1"/>
  <c r="AR95" i="1"/>
  <c r="AQ95" i="1"/>
  <c r="AP95" i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W92" i="1" s="1"/>
  <c r="AR92" i="1"/>
  <c r="AP92" i="1"/>
  <c r="AQ92" i="1" s="1"/>
  <c r="AV91" i="1" a="1"/>
  <c r="AV91" i="1" s="1"/>
  <c r="AU91" i="1" a="1"/>
  <c r="AU91" i="1" s="1"/>
  <c r="AW91" i="1" s="1"/>
  <c r="AT91" i="1"/>
  <c r="AR91" i="1"/>
  <c r="AQ91" i="1"/>
  <c r="AS91" i="1" s="1"/>
  <c r="AP91" i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W84" i="1" s="1"/>
  <c r="AR84" i="1"/>
  <c r="AP84" i="1"/>
  <c r="AQ84" i="1" s="1"/>
  <c r="AV83" i="1" a="1"/>
  <c r="AV83" i="1" s="1"/>
  <c r="AU83" i="1" a="1"/>
  <c r="AU83" i="1"/>
  <c r="AW83" i="1" s="1"/>
  <c r="AT83" i="1"/>
  <c r="AR83" i="1"/>
  <c r="AP83" i="1"/>
  <c r="AQ83" i="1" s="1"/>
  <c r="AS83" i="1" s="1"/>
  <c r="AV82" i="1" a="1"/>
  <c r="AV82" i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W78" i="1" s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 s="1"/>
  <c r="AU72" i="1" a="1"/>
  <c r="AU72" i="1" s="1"/>
  <c r="AT72" i="1"/>
  <c r="AW72" i="1" s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W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/>
  <c r="AU63" i="1" a="1"/>
  <c r="AU63" i="1" s="1"/>
  <c r="AW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/>
  <c r="AT61" i="1"/>
  <c r="AR61" i="1"/>
  <c r="AP61" i="1"/>
  <c r="AQ61" i="1" s="1"/>
  <c r="AV60" i="1" a="1"/>
  <c r="AV60" i="1" s="1"/>
  <c r="AU60" i="1" a="1"/>
  <c r="AU60" i="1" s="1"/>
  <c r="AT60" i="1"/>
  <c r="AR60" i="1"/>
  <c r="AQ60" i="1"/>
  <c r="AP60" i="1"/>
  <c r="AV59" i="1" a="1"/>
  <c r="AV59" i="1" s="1"/>
  <c r="AU59" i="1" a="1"/>
  <c r="AU59" i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V43" i="1" a="1"/>
  <c r="AV43" i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W41" i="1" s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Q39" i="1"/>
  <c r="AP39" i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R32" i="1"/>
  <c r="AQ32" i="1"/>
  <c r="AP32" i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/>
  <c r="AT28" i="1"/>
  <c r="AR28" i="1"/>
  <c r="AP28" i="1"/>
  <c r="AQ28" i="1" s="1"/>
  <c r="AV27" i="1" a="1"/>
  <c r="AV27" i="1" s="1"/>
  <c r="AU27" i="1" a="1"/>
  <c r="AU27" i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/>
  <c r="AT25" i="1"/>
  <c r="AW25" i="1" s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/>
  <c r="AT22" i="1"/>
  <c r="AW22" i="1" s="1"/>
  <c r="AR22" i="1"/>
  <c r="AP22" i="1"/>
  <c r="AQ22" i="1" s="1"/>
  <c r="AS22" i="1" s="1"/>
  <c r="AV21" i="1" a="1"/>
  <c r="AV21" i="1" s="1"/>
  <c r="AU21" i="1" a="1"/>
  <c r="AU21" i="1"/>
  <c r="AT21" i="1"/>
  <c r="AW21" i="1" s="1"/>
  <c r="AR21" i="1"/>
  <c r="AP21" i="1"/>
  <c r="AQ21" i="1" s="1"/>
  <c r="AS21" i="1" s="1"/>
  <c r="AV20" i="1" a="1"/>
  <c r="AV20" i="1" s="1"/>
  <c r="AU20" i="1" a="1"/>
  <c r="AU20" i="1"/>
  <c r="AT20" i="1"/>
  <c r="AR20" i="1"/>
  <c r="AP20" i="1"/>
  <c r="AQ20" i="1" s="1"/>
  <c r="AS20" i="1" s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Q18" i="1"/>
  <c r="AS18" i="1" s="1"/>
  <c r="AP18" i="1"/>
  <c r="AV17" i="1" a="1"/>
  <c r="AV17" i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/>
  <c r="AT14" i="1"/>
  <c r="AW14" i="1" s="1"/>
  <c r="AR14" i="1"/>
  <c r="AP14" i="1"/>
  <c r="AQ14" i="1" s="1"/>
  <c r="AV13" i="1" a="1"/>
  <c r="AV13" i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/>
  <c r="AT12" i="1"/>
  <c r="AW12" i="1" s="1"/>
  <c r="AR12" i="1"/>
  <c r="AP12" i="1"/>
  <c r="AQ12" i="1" s="1"/>
  <c r="AS12" i="1" s="1"/>
  <c r="AV11" i="1" a="1"/>
  <c r="AV11" i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/>
  <c r="AT10" i="1"/>
  <c r="AW10" i="1" s="1"/>
  <c r="AR10" i="1"/>
  <c r="AQ10" i="1"/>
  <c r="AS10" i="1" s="1"/>
  <c r="AP10" i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/>
  <c r="AU7" i="1" a="1"/>
  <c r="AU7" i="1" s="1"/>
  <c r="AT7" i="1"/>
  <c r="AR7" i="1"/>
  <c r="AP7" i="1"/>
  <c r="AQ7" i="1" s="1"/>
  <c r="AS7" i="1" s="1"/>
  <c r="AV6" i="1" a="1"/>
  <c r="AV6" i="1" s="1"/>
  <c r="AU6" i="1" a="1"/>
  <c r="AU6" i="1"/>
  <c r="AT6" i="1"/>
  <c r="AR6" i="1"/>
  <c r="AP6" i="1"/>
  <c r="AQ6" i="1" s="1"/>
  <c r="AS6" i="1" s="1"/>
  <c r="AV5" i="1" a="1"/>
  <c r="AV5" i="1" s="1"/>
  <c r="AU5" i="1" a="1"/>
  <c r="AU5" i="1" s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21" i="1" l="1"/>
  <c r="AS39" i="1"/>
  <c r="AS43" i="1"/>
  <c r="AS50" i="1"/>
  <c r="AS118" i="1"/>
  <c r="AW167" i="1"/>
  <c r="AS194" i="1"/>
  <c r="AW85" i="1"/>
  <c r="AS47" i="1"/>
  <c r="AS79" i="1"/>
  <c r="AW137" i="1"/>
  <c r="AS145" i="1"/>
  <c r="AS183" i="1"/>
  <c r="AS168" i="1"/>
  <c r="AS33" i="1"/>
  <c r="AW7" i="1"/>
  <c r="AW23" i="1"/>
  <c r="AW75" i="1"/>
  <c r="AW89" i="1"/>
  <c r="AW103" i="1"/>
  <c r="AS14" i="1"/>
  <c r="AW20" i="1"/>
  <c r="AS37" i="1"/>
  <c r="AW79" i="1"/>
  <c r="AW183" i="1"/>
  <c r="AS104" i="1"/>
  <c r="AW111" i="1"/>
  <c r="AW157" i="1"/>
  <c r="AW191" i="1"/>
  <c r="AW90" i="1"/>
  <c r="AS108" i="1"/>
  <c r="AW119" i="1"/>
  <c r="AS123" i="1"/>
  <c r="AS127" i="1"/>
  <c r="AS169" i="1"/>
  <c r="AS203" i="1"/>
  <c r="AW51" i="1"/>
  <c r="AW55" i="1"/>
  <c r="AS94" i="1"/>
  <c r="AW97" i="1"/>
  <c r="AS112" i="1"/>
  <c r="AS116" i="1"/>
  <c r="AW146" i="1"/>
  <c r="AW184" i="1"/>
  <c r="AS28" i="1"/>
  <c r="AW65" i="1"/>
  <c r="AS73" i="1"/>
  <c r="AS87" i="1"/>
  <c r="AS101" i="1"/>
  <c r="AS154" i="1"/>
  <c r="AS173" i="1"/>
  <c r="AS52" i="1"/>
  <c r="AW80" i="1"/>
  <c r="AS162" i="1"/>
  <c r="AS200" i="1"/>
  <c r="AW173" i="1"/>
  <c r="AS9" i="1"/>
  <c r="AW15" i="1"/>
  <c r="AS49" i="1"/>
  <c r="AS81" i="1"/>
  <c r="AS132" i="1"/>
  <c r="AS208" i="1"/>
  <c r="AS32" i="1"/>
  <c r="AS42" i="1"/>
  <c r="AW56" i="1"/>
  <c r="AS102" i="1"/>
  <c r="AS117" i="1"/>
  <c r="AS155" i="1"/>
  <c r="AS159" i="1"/>
  <c r="AW204" i="1"/>
  <c r="AW18" i="1"/>
  <c r="AW6" i="1"/>
  <c r="AS19" i="1"/>
  <c r="AW32" i="1"/>
  <c r="AS46" i="1"/>
  <c r="AW49" i="1"/>
  <c r="AW95" i="1"/>
  <c r="AS144" i="1"/>
  <c r="AW151" i="1"/>
  <c r="AW174" i="1"/>
  <c r="AS182" i="1"/>
  <c r="AW193" i="1"/>
  <c r="AW197" i="1"/>
  <c r="AS57" i="1"/>
  <c r="AS67" i="1"/>
  <c r="AW88" i="1"/>
  <c r="AS99" i="1"/>
  <c r="AS125" i="1"/>
  <c r="AS167" i="1"/>
  <c r="AS171" i="1"/>
  <c r="AW201" i="1"/>
  <c r="AS205" i="1"/>
  <c r="AW43" i="1"/>
  <c r="AW161" i="1"/>
  <c r="AS60" i="1"/>
  <c r="AS66" i="1"/>
  <c r="AW69" i="1"/>
  <c r="AW139" i="1"/>
  <c r="AW36" i="1"/>
  <c r="AS54" i="1"/>
  <c r="AW60" i="1"/>
  <c r="AW76" i="1"/>
  <c r="AS88" i="1"/>
  <c r="AW114" i="1"/>
  <c r="AS136" i="1"/>
  <c r="AS143" i="1"/>
  <c r="AW153" i="1"/>
  <c r="AS164" i="1"/>
  <c r="AS192" i="1"/>
  <c r="AW199" i="1"/>
  <c r="AS206" i="1"/>
  <c r="AW47" i="1"/>
  <c r="AW31" i="1"/>
  <c r="AW57" i="1"/>
  <c r="AS70" i="1"/>
  <c r="AW125" i="1"/>
  <c r="AS129" i="1"/>
  <c r="AW185" i="1"/>
  <c r="AS196" i="1"/>
  <c r="AS95" i="1"/>
  <c r="AW136" i="1"/>
  <c r="AS175" i="1"/>
  <c r="AW206" i="1"/>
  <c r="AW101" i="1"/>
  <c r="AW129" i="1"/>
  <c r="AW189" i="1"/>
  <c r="AW34" i="1"/>
  <c r="AW39" i="1"/>
  <c r="AS48" i="1"/>
  <c r="AS61" i="1"/>
  <c r="AS77" i="1"/>
  <c r="AS126" i="1"/>
  <c r="AS133" i="1"/>
  <c r="AW147" i="1"/>
  <c r="AS151" i="1"/>
  <c r="AS158" i="1"/>
  <c r="AW175" i="1"/>
  <c r="AS186" i="1"/>
  <c r="AW8" i="1"/>
  <c r="AW16" i="1"/>
  <c r="AW29" i="1"/>
  <c r="AW45" i="1"/>
  <c r="AS55" i="1"/>
  <c r="AS58" i="1"/>
  <c r="AS74" i="1"/>
  <c r="AS80" i="1"/>
  <c r="AS92" i="1"/>
  <c r="AW115" i="1"/>
  <c r="AS119" i="1"/>
  <c r="AW154" i="1"/>
  <c r="AS165" i="1"/>
  <c r="AS193" i="1"/>
  <c r="AS207" i="1"/>
  <c r="AW48" i="1"/>
  <c r="AW61" i="1"/>
  <c r="AS71" i="1"/>
  <c r="AW77" i="1"/>
  <c r="AS86" i="1"/>
  <c r="AW179" i="1"/>
  <c r="AW24" i="1"/>
  <c r="AP2" i="1"/>
  <c r="AW11" i="1"/>
  <c r="AW19" i="1"/>
  <c r="AW133" i="1"/>
  <c r="AS148" i="1"/>
  <c r="AW165" i="1"/>
  <c r="AS176" i="1"/>
  <c r="AS190" i="1"/>
  <c r="AW207" i="1"/>
  <c r="AW71" i="1"/>
  <c r="AS78" i="1"/>
  <c r="AW169" i="1"/>
  <c r="AS93" i="1"/>
  <c r="AW99" i="1"/>
  <c r="AS105" i="1"/>
  <c r="AW116" i="1"/>
  <c r="AS134" i="1"/>
  <c r="AW155" i="1"/>
  <c r="AS166" i="1"/>
  <c r="AS180" i="1"/>
  <c r="AS187" i="1"/>
  <c r="AS51" i="1"/>
  <c r="AW37" i="1"/>
  <c r="AW26" i="1"/>
  <c r="AW9" i="1"/>
  <c r="AW17" i="1"/>
  <c r="AW30" i="1"/>
  <c r="AW35" i="1"/>
  <c r="AW40" i="1"/>
  <c r="AW46" i="1"/>
  <c r="AS90" i="1"/>
  <c r="AW93" i="1"/>
  <c r="AW96" i="1"/>
  <c r="AW105" i="1"/>
  <c r="AS113" i="1"/>
  <c r="AW127" i="1"/>
  <c r="AS131" i="1"/>
  <c r="AS152" i="1"/>
  <c r="AW159" i="1"/>
  <c r="AW166" i="1"/>
  <c r="AW187" i="1"/>
  <c r="AS191" i="1"/>
  <c r="AS198" i="1"/>
  <c r="AS56" i="1"/>
  <c r="AW59" i="1"/>
  <c r="AS65" i="1"/>
  <c r="AW68" i="1"/>
  <c r="AS72" i="1"/>
  <c r="AS84" i="1"/>
  <c r="AW109" i="1"/>
  <c r="AS149" i="1"/>
  <c r="AS156" i="1"/>
  <c r="AS170" i="1"/>
  <c r="AS177" i="1"/>
  <c r="AW194" i="1"/>
  <c r="AW87" i="1"/>
  <c r="AS106" i="1"/>
  <c r="AW113" i="1"/>
  <c r="AS128" i="1"/>
  <c r="AS135" i="1"/>
  <c r="AS142" i="1"/>
  <c r="AW149" i="1"/>
  <c r="AW156" i="1"/>
  <c r="AW177" i="1"/>
  <c r="AS181" i="1"/>
  <c r="AS188" i="1"/>
  <c r="AW208" i="1"/>
  <c r="AW33" i="1"/>
  <c r="AW38" i="1"/>
  <c r="AW53" i="1"/>
  <c r="AS69" i="1"/>
  <c r="AS97" i="1"/>
  <c r="AS121" i="1"/>
  <c r="AW124" i="1"/>
  <c r="AS146" i="1"/>
  <c r="AS160" i="1"/>
  <c r="AS195" i="1"/>
  <c r="AW28" i="1"/>
  <c r="AS41" i="1"/>
  <c r="AS44" i="1"/>
  <c r="AS82" i="1"/>
  <c r="AW94" i="1"/>
  <c r="AW100" i="1"/>
  <c r="AS110" i="1"/>
  <c r="AW135" i="1"/>
  <c r="AS139" i="1"/>
  <c r="AS153" i="1"/>
  <c r="AS174" i="1"/>
  <c r="AW145" i="1"/>
  <c r="AW81" i="1"/>
  <c r="AW117" i="1"/>
  <c r="AW205" i="1"/>
  <c r="AW44" i="1"/>
  <c r="AW54" i="1"/>
  <c r="AW66" i="1"/>
  <c r="AW106" i="1"/>
  <c r="AW64" i="1"/>
  <c r="AW104" i="1"/>
  <c r="AW50" i="1"/>
  <c r="AW134" i="1"/>
  <c r="AW62" i="1"/>
  <c r="AW102" i="1"/>
  <c r="AW74" i="1"/>
  <c r="AW112" i="1"/>
  <c r="AW122" i="1"/>
  <c r="AW132" i="1"/>
  <c r="AW142" i="1"/>
  <c r="AW152" i="1"/>
  <c r="AW162" i="1"/>
  <c r="AW172" i="1"/>
  <c r="AW182" i="1"/>
  <c r="AW192" i="1"/>
  <c r="AW202" i="1"/>
  <c r="AW86" i="1"/>
  <c r="AW58" i="1"/>
  <c r="AW98" i="1"/>
  <c r="AW110" i="1"/>
  <c r="AW120" i="1"/>
  <c r="AW130" i="1"/>
  <c r="AW140" i="1"/>
  <c r="AW150" i="1"/>
  <c r="AW160" i="1"/>
  <c r="AW170" i="1"/>
  <c r="AW180" i="1"/>
  <c r="AW190" i="1"/>
  <c r="AW200" i="1"/>
  <c r="AW70" i="1"/>
  <c r="AW42" i="1"/>
  <c r="AW82" i="1"/>
  <c r="AW108" i="1"/>
  <c r="AW118" i="1"/>
  <c r="AW128" i="1"/>
  <c r="AW138" i="1"/>
  <c r="AW148" i="1"/>
  <c r="AW158" i="1"/>
  <c r="AW168" i="1"/>
  <c r="AW178" i="1"/>
  <c r="AW188" i="1"/>
  <c r="AW198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<sst xmlns="http://schemas.openxmlformats.org/spreadsheetml/2006/main" count="3543" uniqueCount="1271">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</sst>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J1" zoomScale="80" zoomScaleNormal="80" workbookViewId="0">
      <selection activeCell="AK9" sqref="AK9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64" width="32.42578125" style="74" customWidth="1"/>
    <col min="165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AGOSTO</v>
      </c>
      <c r="E2" s="82">
        <v>8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3.6</v>
      </c>
      <c r="AE2" s="89">
        <f t="shared" si="0"/>
        <v>5</v>
      </c>
      <c r="AF2" s="89">
        <f t="shared" si="0"/>
        <v>5.6</v>
      </c>
      <c r="AG2" s="89">
        <f t="shared" si="0"/>
        <v>3.4</v>
      </c>
      <c r="AH2" s="89">
        <f t="shared" si="0"/>
        <v>4</v>
      </c>
      <c r="AI2" s="89">
        <f t="shared" si="0"/>
        <v>4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116">
        <v>25.7</v>
      </c>
      <c r="AD5" s="51">
        <v>26.7</v>
      </c>
      <c r="AE5" s="51">
        <v>27</v>
      </c>
      <c r="AF5" s="51">
        <v>27.7</v>
      </c>
      <c r="AG5" s="51">
        <v>26.4</v>
      </c>
      <c r="AH5" s="51">
        <v>25.8</v>
      </c>
      <c r="AI5" s="51">
        <v>27.2</v>
      </c>
      <c r="AJ5" s="51"/>
      <c r="AK5" s="51"/>
      <c r="AL5" s="51"/>
      <c r="AM5" s="51"/>
      <c r="AN5" s="51"/>
      <c r="AO5" s="51"/>
      <c r="AP5" s="88">
        <f t="shared" ref="AP5:AP68" si="1">COUNTIF(K5:AO5,"&gt;0")</f>
        <v>25</v>
      </c>
      <c r="AQ5" s="89">
        <f t="shared" ref="AQ5:AQ68" si="2">IF(AP5&gt;14,AVERAGE(K5:AO5),"")</f>
        <v>26.776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0.51671142146966886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>
        <v>26.7</v>
      </c>
      <c r="AE6" s="51">
        <v>27.8</v>
      </c>
      <c r="AF6" s="51">
        <v>27.2</v>
      </c>
      <c r="AG6" s="51">
        <v>28</v>
      </c>
      <c r="AH6" s="51">
        <v>25.9</v>
      </c>
      <c r="AI6" s="51">
        <v>25.4</v>
      </c>
      <c r="AJ6" s="51"/>
      <c r="AK6" s="51"/>
      <c r="AL6" s="51"/>
      <c r="AM6" s="51"/>
      <c r="AN6" s="51"/>
      <c r="AO6" s="51"/>
      <c r="AP6" s="88">
        <f t="shared" si="1"/>
        <v>25</v>
      </c>
      <c r="AQ6" s="89">
        <f t="shared" si="2"/>
        <v>27.04</v>
      </c>
      <c r="AR6" s="89">
        <f>IFERROR(VLOOKUP(A6,Climatologia!A:U,9+$E$2,FALSE),"")</f>
        <v>26.228813072776621</v>
      </c>
      <c r="AS6" s="89">
        <f t="shared" si="3"/>
        <v>0.81118692722337826</v>
      </c>
      <c r="AT6" s="90">
        <f t="shared" si="4"/>
        <v>25.4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>
        <v>25.9</v>
      </c>
      <c r="AE7" s="51">
        <v>27.2</v>
      </c>
      <c r="AF7" s="51">
        <v>27.4</v>
      </c>
      <c r="AG7" s="51">
        <v>27</v>
      </c>
      <c r="AH7" s="51">
        <v>23.7</v>
      </c>
      <c r="AI7" s="51">
        <v>25.8</v>
      </c>
      <c r="AJ7" s="51"/>
      <c r="AK7" s="51"/>
      <c r="AL7" s="51"/>
      <c r="AM7" s="51"/>
      <c r="AN7" s="51"/>
      <c r="AO7" s="51"/>
      <c r="AP7" s="88">
        <f t="shared" si="1"/>
        <v>25</v>
      </c>
      <c r="AQ7" s="89">
        <f t="shared" si="2"/>
        <v>26.448</v>
      </c>
      <c r="AR7" s="89">
        <f>IFERROR(VLOOKUP(A7,Climatologia!A:U,9+$E$2,FALSE),"")</f>
        <v>24.806006674082301</v>
      </c>
      <c r="AS7" s="89">
        <f t="shared" si="3"/>
        <v>1.6419933259176993</v>
      </c>
      <c r="AT7" s="90">
        <f t="shared" si="4"/>
        <v>23.7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3.0999999999999979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>
        <v>25.4</v>
      </c>
      <c r="AE8" s="51">
        <v>27.4</v>
      </c>
      <c r="AF8" s="51">
        <v>26.3</v>
      </c>
      <c r="AG8" s="51">
        <v>25.2</v>
      </c>
      <c r="AH8" s="51">
        <v>24.6</v>
      </c>
      <c r="AI8" s="51">
        <v>26.2</v>
      </c>
      <c r="AJ8" s="51"/>
      <c r="AK8" s="51"/>
      <c r="AL8" s="51"/>
      <c r="AM8" s="51"/>
      <c r="AN8" s="51"/>
      <c r="AO8" s="51"/>
      <c r="AP8" s="88">
        <f t="shared" si="1"/>
        <v>25</v>
      </c>
      <c r="AQ8" s="89">
        <f t="shared" si="2"/>
        <v>26.276</v>
      </c>
      <c r="AR8" s="89">
        <f>IFERROR(VLOOKUP(A8,Climatologia!A:U,9+$E$2,FALSE),"")</f>
        <v>25.86230323116423</v>
      </c>
      <c r="AS8" s="89">
        <f t="shared" si="3"/>
        <v>0.41369676883577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>
        <v>27.4</v>
      </c>
      <c r="AE9" s="51">
        <v>26.8</v>
      </c>
      <c r="AF9" s="51">
        <v>26.8</v>
      </c>
      <c r="AG9" s="51">
        <v>27</v>
      </c>
      <c r="AH9" s="51">
        <v>22.4</v>
      </c>
      <c r="AI9" s="51">
        <v>25.7</v>
      </c>
      <c r="AJ9" s="51"/>
      <c r="AK9" s="51"/>
      <c r="AL9" s="51"/>
      <c r="AM9" s="51"/>
      <c r="AN9" s="51"/>
      <c r="AO9" s="51"/>
      <c r="AP9" s="88">
        <f t="shared" si="1"/>
        <v>25</v>
      </c>
      <c r="AQ9" s="89">
        <f t="shared" si="2"/>
        <v>26.055999999999997</v>
      </c>
      <c r="AR9" s="89">
        <f>IFERROR(VLOOKUP(A9,Climatologia!A:U,9+$E$2,FALSE),"")</f>
        <v>24.75295901904628</v>
      </c>
      <c r="AS9" s="89">
        <f t="shared" si="3"/>
        <v>1.3030409809537176</v>
      </c>
      <c r="AT9" s="90">
        <f t="shared" si="4"/>
        <v>22.4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2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>
        <v>28.7</v>
      </c>
      <c r="AE10" s="51">
        <v>29</v>
      </c>
      <c r="AF10" s="51">
        <v>28.8</v>
      </c>
      <c r="AG10" s="51">
        <v>27.8</v>
      </c>
      <c r="AH10" s="51">
        <v>25.7</v>
      </c>
      <c r="AI10" s="51">
        <v>28.8</v>
      </c>
      <c r="AJ10" s="51"/>
      <c r="AK10" s="51"/>
      <c r="AL10" s="51"/>
      <c r="AM10" s="51"/>
      <c r="AN10" s="51"/>
      <c r="AO10" s="51"/>
      <c r="AP10" s="88">
        <f t="shared" si="1"/>
        <v>25</v>
      </c>
      <c r="AQ10" s="89">
        <f t="shared" si="2"/>
        <v>28.007999999999996</v>
      </c>
      <c r="AR10" s="89">
        <f>IFERROR(VLOOKUP(A10,Climatologia!A:U,9+$E$2,FALSE),"")</f>
        <v>25.518421261719372</v>
      </c>
      <c r="AS10" s="89">
        <f t="shared" si="3"/>
        <v>2.489578738280624</v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>
        <v>26.9</v>
      </c>
      <c r="AE11" s="51">
        <v>27.7</v>
      </c>
      <c r="AF11" s="51">
        <v>27.9</v>
      </c>
      <c r="AG11" s="51">
        <v>27.7</v>
      </c>
      <c r="AH11" s="51">
        <v>24.7</v>
      </c>
      <c r="AI11" s="51">
        <v>26</v>
      </c>
      <c r="AJ11" s="51"/>
      <c r="AK11" s="51"/>
      <c r="AL11" s="51"/>
      <c r="AM11" s="51"/>
      <c r="AN11" s="51"/>
      <c r="AO11" s="51"/>
      <c r="AP11" s="88">
        <f t="shared" si="1"/>
        <v>25</v>
      </c>
      <c r="AQ11" s="89">
        <f t="shared" si="2"/>
        <v>26.716000000000005</v>
      </c>
      <c r="AR11" s="89">
        <f>IFERROR(VLOOKUP(A11,Climatologia!A:U,9+$E$2,FALSE),"")</f>
        <v>24.333982334869429</v>
      </c>
      <c r="AS11" s="89">
        <f t="shared" si="3"/>
        <v>2.3820176651305758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>
        <v>25.1</v>
      </c>
      <c r="AE12" s="51">
        <v>27.3</v>
      </c>
      <c r="AF12" s="51">
        <v>23.3</v>
      </c>
      <c r="AG12" s="51">
        <v>24.9</v>
      </c>
      <c r="AH12" s="51">
        <v>24.2</v>
      </c>
      <c r="AI12" s="51">
        <v>25.9</v>
      </c>
      <c r="AJ12" s="51"/>
      <c r="AK12" s="51"/>
      <c r="AL12" s="51"/>
      <c r="AM12" s="51"/>
      <c r="AN12" s="51"/>
      <c r="AO12" s="51"/>
      <c r="AP12" s="88">
        <f t="shared" si="1"/>
        <v>25</v>
      </c>
      <c r="AQ12" s="89">
        <f t="shared" si="2"/>
        <v>25.627999999999997</v>
      </c>
      <c r="AR12" s="89">
        <f>IFERROR(VLOOKUP(A12,Climatologia!A:U,9+$E$2,FALSE),"")</f>
        <v>23.252867103531361</v>
      </c>
      <c r="AS12" s="89">
        <f t="shared" si="3"/>
        <v>2.3751328964686351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>
        <v>24.2</v>
      </c>
      <c r="AE13" s="51">
        <v>26</v>
      </c>
      <c r="AF13" s="51">
        <v>24</v>
      </c>
      <c r="AG13" s="51">
        <v>24.4</v>
      </c>
      <c r="AH13" s="51">
        <v>24</v>
      </c>
      <c r="AI13" s="51">
        <v>25.4</v>
      </c>
      <c r="AJ13" s="51"/>
      <c r="AK13" s="51"/>
      <c r="AL13" s="51"/>
      <c r="AM13" s="51"/>
      <c r="AN13" s="51"/>
      <c r="AO13" s="51"/>
      <c r="AP13" s="88">
        <f t="shared" si="1"/>
        <v>25</v>
      </c>
      <c r="AQ13" s="89">
        <f t="shared" si="2"/>
        <v>24.963999999999995</v>
      </c>
      <c r="AR13" s="89">
        <f>IFERROR(VLOOKUP(A13,Climatologia!A:U,9+$E$2,FALSE),"")</f>
        <v>23.256381449473771</v>
      </c>
      <c r="AS13" s="89">
        <f t="shared" si="3"/>
        <v>1.7076185505262238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>
        <v>20.2</v>
      </c>
      <c r="AE14" s="51">
        <v>21</v>
      </c>
      <c r="AF14" s="51">
        <v>19.2</v>
      </c>
      <c r="AG14" s="51">
        <v>19.5</v>
      </c>
      <c r="AH14" s="51">
        <v>20.3</v>
      </c>
      <c r="AI14" s="51">
        <v>20</v>
      </c>
      <c r="AJ14" s="51"/>
      <c r="AK14" s="51"/>
      <c r="AL14" s="51"/>
      <c r="AM14" s="51"/>
      <c r="AN14" s="51"/>
      <c r="AO14" s="51"/>
      <c r="AP14" s="88">
        <f t="shared" si="1"/>
        <v>25</v>
      </c>
      <c r="AQ14" s="89">
        <f t="shared" si="2"/>
        <v>20.116</v>
      </c>
      <c r="AR14" s="89">
        <f>IFERROR(VLOOKUP(A14,Climatologia!A:U,9+$E$2,FALSE),"")</f>
        <v>18.604610712863401</v>
      </c>
      <c r="AS14" s="89">
        <f t="shared" si="3"/>
        <v>1.5113892871365984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>
        <v>25.6</v>
      </c>
      <c r="AE15" s="51">
        <v>24.7</v>
      </c>
      <c r="AF15" s="51">
        <v>23</v>
      </c>
      <c r="AG15" s="51">
        <v>24.8</v>
      </c>
      <c r="AH15" s="51">
        <v>24.9</v>
      </c>
      <c r="AI15" s="51">
        <v>27.2</v>
      </c>
      <c r="AJ15" s="51"/>
      <c r="AK15" s="51"/>
      <c r="AL15" s="51"/>
      <c r="AM15" s="51"/>
      <c r="AN15" s="51"/>
      <c r="AO15" s="51"/>
      <c r="AP15" s="88">
        <f t="shared" si="1"/>
        <v>25</v>
      </c>
      <c r="AQ15" s="89">
        <f t="shared" si="2"/>
        <v>25.467999999999996</v>
      </c>
      <c r="AR15" s="89">
        <f>IFERROR(VLOOKUP(A15,Climatologia!A:U,9+$E$2,FALSE),"")</f>
        <v>23.891303077493511</v>
      </c>
      <c r="AS15" s="89">
        <f t="shared" si="3"/>
        <v>1.5766969225064855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>
        <v>26.4</v>
      </c>
      <c r="AE16" s="51">
        <v>26.5</v>
      </c>
      <c r="AF16" s="51">
        <v>24.4</v>
      </c>
      <c r="AG16" s="51">
        <v>23.4</v>
      </c>
      <c r="AH16" s="51">
        <v>24</v>
      </c>
      <c r="AI16" s="51">
        <v>24.7</v>
      </c>
      <c r="AJ16" s="51"/>
      <c r="AK16" s="51"/>
      <c r="AL16" s="51"/>
      <c r="AM16" s="51"/>
      <c r="AN16" s="51"/>
      <c r="AO16" s="51"/>
      <c r="AP16" s="88">
        <f t="shared" si="1"/>
        <v>25</v>
      </c>
      <c r="AQ16" s="89">
        <f t="shared" si="2"/>
        <v>24.891999999999999</v>
      </c>
      <c r="AR16" s="89">
        <f>IFERROR(VLOOKUP(A16,Climatologia!A:U,9+$E$2,FALSE),"")</f>
        <v>23.404404619673439</v>
      </c>
      <c r="AS16" s="89">
        <f t="shared" si="3"/>
        <v>1.4875953803265602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>
        <v>19</v>
      </c>
      <c r="AE17" s="51">
        <v>20.100000000000001</v>
      </c>
      <c r="AF17" s="51">
        <v>19.7</v>
      </c>
      <c r="AG17" s="51">
        <v>19.2</v>
      </c>
      <c r="AH17" s="51">
        <v>19</v>
      </c>
      <c r="AI17" s="51">
        <v>20</v>
      </c>
      <c r="AJ17" s="51"/>
      <c r="AK17" s="51"/>
      <c r="AL17" s="51"/>
      <c r="AM17" s="51"/>
      <c r="AN17" s="51"/>
      <c r="AO17" s="51"/>
      <c r="AP17" s="88">
        <f t="shared" si="1"/>
        <v>25</v>
      </c>
      <c r="AQ17" s="89">
        <f t="shared" si="2"/>
        <v>19.388000000000002</v>
      </c>
      <c r="AR17" s="89">
        <f>IFERROR(VLOOKUP(A17,Climatologia!A:U,9+$E$2,FALSE),"")</f>
        <v>17.58853046594982</v>
      </c>
      <c r="AS17" s="89">
        <f t="shared" si="3"/>
        <v>1.7994695340501821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>
        <v>11.7</v>
      </c>
      <c r="AE18" s="51">
        <v>11.7</v>
      </c>
      <c r="AF18" s="51">
        <v>13.4</v>
      </c>
      <c r="AG18" s="51">
        <v>13.6</v>
      </c>
      <c r="AH18" s="51">
        <v>14.2</v>
      </c>
      <c r="AI18" s="51">
        <v>13.2</v>
      </c>
      <c r="AJ18" s="51"/>
      <c r="AK18" s="51"/>
      <c r="AL18" s="51"/>
      <c r="AM18" s="51"/>
      <c r="AN18" s="51"/>
      <c r="AO18" s="51"/>
      <c r="AP18" s="88">
        <f t="shared" si="1"/>
        <v>25</v>
      </c>
      <c r="AQ18" s="89">
        <f t="shared" si="2"/>
        <v>12.764000000000003</v>
      </c>
      <c r="AR18" s="89">
        <f>IFERROR(VLOOKUP(A18,Climatologia!A:U,9+$E$2,FALSE),"")</f>
        <v>12.112884686688909</v>
      </c>
      <c r="AS18" s="89">
        <f t="shared" si="3"/>
        <v>0.6511153133110934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>
        <v>18.600000000000001</v>
      </c>
      <c r="AE19" s="51">
        <v>19.2</v>
      </c>
      <c r="AF19" s="51">
        <v>20</v>
      </c>
      <c r="AG19" s="51">
        <v>18.600000000000001</v>
      </c>
      <c r="AH19" s="51">
        <v>19</v>
      </c>
      <c r="AI19" s="51">
        <v>18.8</v>
      </c>
      <c r="AJ19" s="51"/>
      <c r="AK19" s="51"/>
      <c r="AL19" s="51"/>
      <c r="AM19" s="51"/>
      <c r="AN19" s="51"/>
      <c r="AO19" s="51"/>
      <c r="AP19" s="88">
        <f t="shared" si="1"/>
        <v>25</v>
      </c>
      <c r="AQ19" s="89">
        <f t="shared" si="2"/>
        <v>18.695999999999998</v>
      </c>
      <c r="AR19" s="89">
        <f>IFERROR(VLOOKUP(A19,Climatologia!A:U,9+$E$2,FALSE),"")</f>
        <v>17.60198511166254</v>
      </c>
      <c r="AS19" s="89">
        <f t="shared" si="3"/>
        <v>1.0940148883374583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>
        <v>17</v>
      </c>
      <c r="AE20" s="51">
        <v>18.3</v>
      </c>
      <c r="AF20" s="51">
        <v>19.2</v>
      </c>
      <c r="AG20" s="51">
        <v>16.899999999999999</v>
      </c>
      <c r="AH20" s="51">
        <v>17.8</v>
      </c>
      <c r="AI20" s="51">
        <v>17.3</v>
      </c>
      <c r="AJ20" s="51"/>
      <c r="AK20" s="51"/>
      <c r="AL20" s="51"/>
      <c r="AM20" s="51"/>
      <c r="AN20" s="51"/>
      <c r="AO20" s="51"/>
      <c r="AP20" s="88">
        <f t="shared" si="1"/>
        <v>25</v>
      </c>
      <c r="AQ20" s="89">
        <f t="shared" si="2"/>
        <v>17.600000000000001</v>
      </c>
      <c r="AR20" s="89">
        <f>IFERROR(VLOOKUP(A20,Climatologia!A:U,9+$E$2,FALSE),"")</f>
        <v>16.759506289039098</v>
      </c>
      <c r="AS20" s="89">
        <f t="shared" si="3"/>
        <v>0.84049371096090297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>
        <v>21.7</v>
      </c>
      <c r="AE21" s="51">
        <v>21.4</v>
      </c>
      <c r="AF21" s="51">
        <v>21.6</v>
      </c>
      <c r="AG21" s="51">
        <v>21.3</v>
      </c>
      <c r="AH21" s="51">
        <v>21.2</v>
      </c>
      <c r="AI21" s="51">
        <v>21.8</v>
      </c>
      <c r="AJ21" s="51"/>
      <c r="AK21" s="51"/>
      <c r="AL21" s="51"/>
      <c r="AM21" s="51"/>
      <c r="AN21" s="51"/>
      <c r="AO21" s="51"/>
      <c r="AP21" s="88">
        <f t="shared" si="1"/>
        <v>25</v>
      </c>
      <c r="AQ21" s="89">
        <f t="shared" si="2"/>
        <v>21.416</v>
      </c>
      <c r="AR21" s="89">
        <f>IFERROR(VLOOKUP(A21,Climatologia!A:U,9+$E$2,FALSE),"")</f>
        <v>19.456815855631209</v>
      </c>
      <c r="AS21" s="89">
        <f t="shared" si="3"/>
        <v>1.9591841443687912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>
        <v>9.1999999999999993</v>
      </c>
      <c r="AE22" s="51">
        <v>11.1</v>
      </c>
      <c r="AF22" s="51">
        <v>10.8</v>
      </c>
      <c r="AG22" s="51">
        <v>6.1</v>
      </c>
      <c r="AH22" s="51">
        <v>11</v>
      </c>
      <c r="AI22" s="51">
        <v>7.2</v>
      </c>
      <c r="AJ22" s="51"/>
      <c r="AK22" s="51"/>
      <c r="AL22" s="51"/>
      <c r="AM22" s="51"/>
      <c r="AN22" s="51"/>
      <c r="AO22" s="51"/>
      <c r="AP22" s="88">
        <f t="shared" si="1"/>
        <v>25</v>
      </c>
      <c r="AQ22" s="89">
        <f t="shared" si="2"/>
        <v>9.5039999999999996</v>
      </c>
      <c r="AR22" s="89">
        <f>IFERROR(VLOOKUP(A22,Climatologia!A:U,9+$E$2,FALSE),"")</f>
        <v>8.3796136733122264</v>
      </c>
      <c r="AS22" s="89">
        <f t="shared" si="3"/>
        <v>1.1243863266877732</v>
      </c>
      <c r="AT22" s="90">
        <f t="shared" si="4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6.3999999999999995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>
        <v>18.3</v>
      </c>
      <c r="AE23" s="51">
        <v>17.600000000000001</v>
      </c>
      <c r="AF23" s="51">
        <v>20</v>
      </c>
      <c r="AG23" s="51">
        <v>20.399999999999999</v>
      </c>
      <c r="AH23" s="51">
        <v>20.6</v>
      </c>
      <c r="AI23" s="51">
        <v>19.2</v>
      </c>
      <c r="AJ23" s="51"/>
      <c r="AK23" s="51"/>
      <c r="AL23" s="51"/>
      <c r="AM23" s="51"/>
      <c r="AN23" s="51"/>
      <c r="AO23" s="51"/>
      <c r="AP23" s="88">
        <f t="shared" si="1"/>
        <v>25</v>
      </c>
      <c r="AQ23" s="89">
        <f t="shared" si="2"/>
        <v>19.071999999999999</v>
      </c>
      <c r="AR23" s="89">
        <f>IFERROR(VLOOKUP(A23,Climatologia!A:U,9+$E$2,FALSE),"")</f>
        <v>18.46166778427882</v>
      </c>
      <c r="AS23" s="89">
        <f t="shared" si="3"/>
        <v>0.61033221572117924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>
        <v>25.2</v>
      </c>
      <c r="AE24" s="51">
        <v>24.8</v>
      </c>
      <c r="AF24" s="51">
        <v>25.6</v>
      </c>
      <c r="AG24" s="51">
        <v>25.2</v>
      </c>
      <c r="AH24" s="51">
        <v>26</v>
      </c>
      <c r="AI24" s="51">
        <v>25.8</v>
      </c>
      <c r="AJ24" s="51"/>
      <c r="AK24" s="51"/>
      <c r="AL24" s="51"/>
      <c r="AM24" s="51"/>
      <c r="AN24" s="51"/>
      <c r="AO24" s="51"/>
      <c r="AP24" s="88">
        <f t="shared" si="1"/>
        <v>25</v>
      </c>
      <c r="AQ24" s="89">
        <f t="shared" si="2"/>
        <v>25.091999999999995</v>
      </c>
      <c r="AR24" s="89">
        <f>IFERROR(VLOOKUP(A24,Climatologia!A:U,9+$E$2,FALSE),"")</f>
        <v>23.298802867383511</v>
      </c>
      <c r="AS24" s="89">
        <f t="shared" si="3"/>
        <v>1.7931971326164842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>
        <v>16.600000000000001</v>
      </c>
      <c r="AE25" s="51">
        <v>16.8</v>
      </c>
      <c r="AF25" s="51">
        <v>15.6</v>
      </c>
      <c r="AG25" s="51">
        <v>15.4</v>
      </c>
      <c r="AH25" s="51">
        <v>16.8</v>
      </c>
      <c r="AI25" s="51">
        <v>16</v>
      </c>
      <c r="AJ25" s="51"/>
      <c r="AK25" s="51"/>
      <c r="AL25" s="51"/>
      <c r="AM25" s="51"/>
      <c r="AN25" s="51"/>
      <c r="AO25" s="51"/>
      <c r="AP25" s="88">
        <f t="shared" si="1"/>
        <v>25</v>
      </c>
      <c r="AQ25" s="89">
        <f t="shared" si="2"/>
        <v>15.772</v>
      </c>
      <c r="AR25" s="89">
        <f>IFERROR(VLOOKUP(A25,Climatologia!A:U,9+$E$2,FALSE),"")</f>
        <v>14.619937099422639</v>
      </c>
      <c r="AS25" s="89">
        <f t="shared" si="3"/>
        <v>1.152062900577361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>
        <v>8.8000000000000007</v>
      </c>
      <c r="AE26" s="51">
        <v>5.8</v>
      </c>
      <c r="AF26" s="51">
        <v>5.6</v>
      </c>
      <c r="AG26" s="51">
        <v>7.2</v>
      </c>
      <c r="AH26" s="51">
        <v>8.4</v>
      </c>
      <c r="AI26" s="51">
        <v>8.4</v>
      </c>
      <c r="AJ26" s="51"/>
      <c r="AK26" s="51"/>
      <c r="AL26" s="51"/>
      <c r="AM26" s="51"/>
      <c r="AN26" s="51"/>
      <c r="AO26" s="51"/>
      <c r="AP26" s="88">
        <f t="shared" si="1"/>
        <v>25</v>
      </c>
      <c r="AQ26" s="89">
        <f t="shared" si="2"/>
        <v>7.0720000000000018</v>
      </c>
      <c r="AR26" s="89">
        <f>IFERROR(VLOOKUP(A26,Climatologia!A:U,9+$E$2,FALSE),"")</f>
        <v>4.8923173896922503</v>
      </c>
      <c r="AS26" s="89">
        <f t="shared" si="3"/>
        <v>2.1796826103077516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>
        <v>26</v>
      </c>
      <c r="AE27" s="51">
        <v>25.6</v>
      </c>
      <c r="AF27" s="51">
        <v>23.8</v>
      </c>
      <c r="AG27" s="51">
        <v>24.2</v>
      </c>
      <c r="AH27" s="51">
        <v>25.5</v>
      </c>
      <c r="AI27" s="51">
        <v>24.8</v>
      </c>
      <c r="AJ27" s="51"/>
      <c r="AK27" s="51"/>
      <c r="AL27" s="51"/>
      <c r="AM27" s="51"/>
      <c r="AN27" s="51"/>
      <c r="AO27" s="51"/>
      <c r="AP27" s="88">
        <f t="shared" si="1"/>
        <v>25</v>
      </c>
      <c r="AQ27" s="89">
        <f t="shared" si="2"/>
        <v>24.391999999999999</v>
      </c>
      <c r="AR27" s="89">
        <f>IFERROR(VLOOKUP(A27,Climatologia!A:U,9+$E$2,FALSE),"")</f>
        <v>23.179136204978711</v>
      </c>
      <c r="AS27" s="89">
        <f t="shared" si="3"/>
        <v>1.2128637950212884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>
        <v>24</v>
      </c>
      <c r="AE28" s="51">
        <v>23.4</v>
      </c>
      <c r="AF28" s="51">
        <v>23.3</v>
      </c>
      <c r="AG28" s="51">
        <v>22.5</v>
      </c>
      <c r="AH28" s="51">
        <v>23.1</v>
      </c>
      <c r="AI28" s="51">
        <v>23.1</v>
      </c>
      <c r="AJ28" s="51"/>
      <c r="AK28" s="51"/>
      <c r="AL28" s="51"/>
      <c r="AM28" s="51"/>
      <c r="AN28" s="51"/>
      <c r="AO28" s="51"/>
      <c r="AP28" s="88">
        <f t="shared" si="1"/>
        <v>25</v>
      </c>
      <c r="AQ28" s="89">
        <f t="shared" si="2"/>
        <v>23.547999999999998</v>
      </c>
      <c r="AR28" s="89">
        <f>IFERROR(VLOOKUP(A28,Climatologia!A:U,9+$E$2,FALSE),"")</f>
        <v>22.746845081640782</v>
      </c>
      <c r="AS28" s="89">
        <f t="shared" si="3"/>
        <v>0.80115491835921659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>
        <v>25.6</v>
      </c>
      <c r="AE29" s="51">
        <v>25.8</v>
      </c>
      <c r="AF29" s="51">
        <v>24.6</v>
      </c>
      <c r="AG29" s="51">
        <v>22.8</v>
      </c>
      <c r="AH29" s="51">
        <v>24.4</v>
      </c>
      <c r="AI29" s="51">
        <v>25.8</v>
      </c>
      <c r="AJ29" s="51"/>
      <c r="AK29" s="51"/>
      <c r="AL29" s="51"/>
      <c r="AM29" s="51"/>
      <c r="AN29" s="51"/>
      <c r="AO29" s="51"/>
      <c r="AP29" s="88">
        <f t="shared" si="1"/>
        <v>25</v>
      </c>
      <c r="AQ29" s="89">
        <f t="shared" si="2"/>
        <v>24.967999999999996</v>
      </c>
      <c r="AR29" s="89">
        <f>IFERROR(VLOOKUP(A29,Climatologia!A:U,9+$E$2,FALSE),"")</f>
        <v>23.54566184649611</v>
      </c>
      <c r="AS29" s="89">
        <f t="shared" si="3"/>
        <v>1.4223381535038868</v>
      </c>
      <c r="AT29" s="90">
        <f t="shared" si="4"/>
        <v>22.8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2.8000000000000007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>
        <v>22.1</v>
      </c>
      <c r="AE30" s="51">
        <v>22.2</v>
      </c>
      <c r="AF30" s="51">
        <v>21.7</v>
      </c>
      <c r="AG30" s="51">
        <v>21.8</v>
      </c>
      <c r="AH30" s="51">
        <v>21.8</v>
      </c>
      <c r="AI30" s="51">
        <v>21.3</v>
      </c>
      <c r="AJ30" s="51"/>
      <c r="AK30" s="51"/>
      <c r="AL30" s="51"/>
      <c r="AM30" s="51"/>
      <c r="AN30" s="51"/>
      <c r="AO30" s="51"/>
      <c r="AP30" s="88">
        <f t="shared" si="1"/>
        <v>25</v>
      </c>
      <c r="AQ30" s="89">
        <f t="shared" si="2"/>
        <v>21.64</v>
      </c>
      <c r="AR30" s="89">
        <f>IFERROR(VLOOKUP(A30,Climatologia!A:U,9+$E$2,FALSE),"")</f>
        <v>20.53698553948831</v>
      </c>
      <c r="AS30" s="89">
        <f t="shared" si="3"/>
        <v>1.1030144605116909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>
        <v>22.9</v>
      </c>
      <c r="AE31" s="108">
        <v>23.9</v>
      </c>
      <c r="AF31" s="108">
        <v>24.1</v>
      </c>
      <c r="AG31" s="108">
        <v>21.8</v>
      </c>
      <c r="AH31" s="108">
        <v>22.6</v>
      </c>
      <c r="AI31" s="108">
        <v>23.4</v>
      </c>
      <c r="AJ31" s="108"/>
      <c r="AK31" s="108"/>
      <c r="AL31" s="108"/>
      <c r="AM31" s="108"/>
      <c r="AN31" s="108"/>
      <c r="AO31" s="108"/>
      <c r="AP31" s="88">
        <f t="shared" si="1"/>
        <v>25</v>
      </c>
      <c r="AQ31" s="89">
        <f t="shared" si="2"/>
        <v>23.147999999999996</v>
      </c>
      <c r="AR31" s="89">
        <f>IFERROR(VLOOKUP(A31,Climatologia!A:U,9+$E$2,FALSE),"")</f>
        <v>21.82882961124896</v>
      </c>
      <c r="AS31" s="89">
        <f t="shared" si="3"/>
        <v>1.3191703887510364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>
        <v>13</v>
      </c>
      <c r="AE32" s="51">
        <v>13</v>
      </c>
      <c r="AF32" s="51">
        <v>15</v>
      </c>
      <c r="AG32" s="51">
        <v>15.2</v>
      </c>
      <c r="AH32" s="51">
        <v>14.6</v>
      </c>
      <c r="AI32" s="51">
        <v>14.2</v>
      </c>
      <c r="AJ32" s="51"/>
      <c r="AK32" s="51"/>
      <c r="AL32" s="51"/>
      <c r="AM32" s="51"/>
      <c r="AN32" s="51"/>
      <c r="AO32" s="51"/>
      <c r="AP32" s="88">
        <f t="shared" si="1"/>
        <v>25</v>
      </c>
      <c r="AQ32" s="89">
        <f t="shared" si="2"/>
        <v>13.703999999999999</v>
      </c>
      <c r="AR32" s="89">
        <f>IFERROR(VLOOKUP(A32,Climatologia!A:U,9+$E$2,FALSE),"")</f>
        <v>13.384747431302269</v>
      </c>
      <c r="AS32" s="89">
        <f t="shared" si="3"/>
        <v>0.31925256869772944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>
        <v>14.6</v>
      </c>
      <c r="AE34" s="51">
        <v>15.8</v>
      </c>
      <c r="AF34" s="51">
        <v>15.4</v>
      </c>
      <c r="AG34" s="51">
        <v>16</v>
      </c>
      <c r="AH34" s="51">
        <v>15.2</v>
      </c>
      <c r="AI34" s="51">
        <v>16.600000000000001</v>
      </c>
      <c r="AJ34" s="51"/>
      <c r="AK34" s="51"/>
      <c r="AL34" s="51"/>
      <c r="AM34" s="51"/>
      <c r="AN34" s="51"/>
      <c r="AO34" s="51"/>
      <c r="AP34" s="88">
        <f t="shared" si="1"/>
        <v>25</v>
      </c>
      <c r="AQ34" s="89">
        <f t="shared" si="2"/>
        <v>15.736000000000001</v>
      </c>
      <c r="AR34" s="89">
        <f>IFERROR(VLOOKUP(A34,Climatologia!A:U,9+$E$2,FALSE),"")</f>
        <v>14.78540372493654</v>
      </c>
      <c r="AS34" s="89">
        <f t="shared" si="3"/>
        <v>0.95059627506346089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>
        <v>15.4</v>
      </c>
      <c r="AE35" s="51">
        <v>15</v>
      </c>
      <c r="AF35" s="51">
        <v>15.4</v>
      </c>
      <c r="AG35" s="51">
        <v>14.8</v>
      </c>
      <c r="AH35" s="51">
        <v>14.2</v>
      </c>
      <c r="AI35" s="51">
        <v>15.8</v>
      </c>
      <c r="AJ35" s="51"/>
      <c r="AK35" s="51"/>
      <c r="AL35" s="51"/>
      <c r="AM35" s="51"/>
      <c r="AN35" s="51"/>
      <c r="AO35" s="51"/>
      <c r="AP35" s="88">
        <f t="shared" si="1"/>
        <v>25</v>
      </c>
      <c r="AQ35" s="89">
        <f t="shared" si="2"/>
        <v>14.96</v>
      </c>
      <c r="AR35" s="89">
        <f>IFERROR(VLOOKUP(A35,Climatologia!A:U,9+$E$2,FALSE),"")</f>
        <v>13.2928973207542</v>
      </c>
      <c r="AS35" s="89">
        <f t="shared" si="3"/>
        <v>1.6671026792458008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>
        <v>18.399999999999999</v>
      </c>
      <c r="AE36" s="51">
        <v>18.8</v>
      </c>
      <c r="AF36" s="51">
        <v>19.2</v>
      </c>
      <c r="AG36" s="51">
        <v>18.2</v>
      </c>
      <c r="AH36" s="51">
        <v>18.399999999999999</v>
      </c>
      <c r="AI36" s="51">
        <v>18.8</v>
      </c>
      <c r="AJ36" s="51"/>
      <c r="AK36" s="51"/>
      <c r="AL36" s="51"/>
      <c r="AM36" s="51"/>
      <c r="AN36" s="51"/>
      <c r="AO36" s="51"/>
      <c r="AP36" s="88">
        <f t="shared" si="1"/>
        <v>25</v>
      </c>
      <c r="AQ36" s="89">
        <f t="shared" si="2"/>
        <v>18.600000000000001</v>
      </c>
      <c r="AR36" s="89">
        <f>IFERROR(VLOOKUP(A36,Climatologia!A:U,9+$E$2,FALSE),"")</f>
        <v>19.435919418842811</v>
      </c>
      <c r="AS36" s="89">
        <f t="shared" si="3"/>
        <v>-0.83591941884280985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>
        <v>8.8000000000000007</v>
      </c>
      <c r="AE37" s="51">
        <v>8</v>
      </c>
      <c r="AF37" s="51">
        <v>9.8000000000000007</v>
      </c>
      <c r="AG37" s="51">
        <v>5.4</v>
      </c>
      <c r="AH37" s="51">
        <v>9.1999999999999993</v>
      </c>
      <c r="AI37" s="51">
        <v>8.8000000000000007</v>
      </c>
      <c r="AJ37" s="51"/>
      <c r="AK37" s="51"/>
      <c r="AL37" s="51"/>
      <c r="AM37" s="51"/>
      <c r="AN37" s="51"/>
      <c r="AO37" s="51"/>
      <c r="AP37" s="88">
        <f t="shared" si="1"/>
        <v>25</v>
      </c>
      <c r="AQ37" s="89">
        <f t="shared" si="2"/>
        <v>9.088000000000001</v>
      </c>
      <c r="AR37" s="89">
        <f>IFERROR(VLOOKUP(A37,Climatologia!A:U,9+$E$2,FALSE),"")</f>
        <v>9.4603029050299927</v>
      </c>
      <c r="AS37" s="89">
        <f t="shared" si="3"/>
        <v>-0.37230290502999175</v>
      </c>
      <c r="AT37" s="90">
        <f t="shared" si="4"/>
        <v>5.4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>
        <v>17.2</v>
      </c>
      <c r="AE38" s="51">
        <v>18</v>
      </c>
      <c r="AF38" s="51">
        <v>18</v>
      </c>
      <c r="AG38" s="51">
        <v>16.399999999999999</v>
      </c>
      <c r="AH38" s="51">
        <v>16.8</v>
      </c>
      <c r="AI38" s="51">
        <v>17</v>
      </c>
      <c r="AJ38" s="51"/>
      <c r="AK38" s="51"/>
      <c r="AL38" s="51"/>
      <c r="AM38" s="51"/>
      <c r="AN38" s="51"/>
      <c r="AO38" s="51"/>
      <c r="AP38" s="88">
        <f t="shared" si="1"/>
        <v>25</v>
      </c>
      <c r="AQ38" s="89">
        <f t="shared" si="2"/>
        <v>17.527999999999999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>
        <v>19.600000000000001</v>
      </c>
      <c r="AE39" s="51">
        <v>19.8</v>
      </c>
      <c r="AF39" s="51">
        <v>19.399999999999999</v>
      </c>
      <c r="AG39" s="51">
        <v>19.2</v>
      </c>
      <c r="AH39" s="51">
        <v>20</v>
      </c>
      <c r="AI39" s="51">
        <v>19.399999999999999</v>
      </c>
      <c r="AJ39" s="51"/>
      <c r="AK39" s="51"/>
      <c r="AL39" s="51"/>
      <c r="AM39" s="51"/>
      <c r="AN39" s="51"/>
      <c r="AO39" s="51"/>
      <c r="AP39" s="88">
        <f t="shared" si="1"/>
        <v>25</v>
      </c>
      <c r="AQ39" s="89">
        <f t="shared" si="2"/>
        <v>19.624000000000002</v>
      </c>
      <c r="AR39" s="89">
        <f>IFERROR(VLOOKUP(A39,Climatologia!A:U,9+$E$2,FALSE),"")</f>
        <v>17.324090157154679</v>
      </c>
      <c r="AS39" s="89">
        <f t="shared" si="3"/>
        <v>2.2999098428453237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>
        <v>13.2</v>
      </c>
      <c r="AE40" s="51">
        <v>14.4</v>
      </c>
      <c r="AF40" s="51">
        <v>16.8</v>
      </c>
      <c r="AG40" s="51">
        <v>14.8</v>
      </c>
      <c r="AH40" s="51">
        <v>14.8</v>
      </c>
      <c r="AI40" s="51">
        <v>14.4</v>
      </c>
      <c r="AJ40" s="51"/>
      <c r="AK40" s="51"/>
      <c r="AL40" s="51"/>
      <c r="AM40" s="51"/>
      <c r="AN40" s="51"/>
      <c r="AO40" s="51"/>
      <c r="AP40" s="88">
        <f t="shared" si="1"/>
        <v>25</v>
      </c>
      <c r="AQ40" s="89">
        <f t="shared" si="2"/>
        <v>14.696</v>
      </c>
      <c r="AR40" s="89">
        <f>IFERROR(VLOOKUP(A40,Climatologia!A:U,9+$E$2,FALSE),"")</f>
        <v>13.024959037378389</v>
      </c>
      <c r="AS40" s="89">
        <f t="shared" si="3"/>
        <v>1.6710409626216105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>
        <v>24.2</v>
      </c>
      <c r="AE41" s="51">
        <v>25</v>
      </c>
      <c r="AF41" s="51">
        <v>23.4</v>
      </c>
      <c r="AG41" s="51">
        <v>23</v>
      </c>
      <c r="AH41" s="51">
        <v>23.6</v>
      </c>
      <c r="AI41" s="51">
        <v>24.2</v>
      </c>
      <c r="AJ41" s="51"/>
      <c r="AK41" s="51"/>
      <c r="AL41" s="51"/>
      <c r="AM41" s="51"/>
      <c r="AN41" s="51"/>
      <c r="AO41" s="51"/>
      <c r="AP41" s="88">
        <f t="shared" si="1"/>
        <v>25</v>
      </c>
      <c r="AQ41" s="89">
        <f t="shared" si="2"/>
        <v>24.616000000000003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>
        <v>23.6</v>
      </c>
      <c r="AE42" s="51">
        <v>26.8</v>
      </c>
      <c r="AF42" s="51">
        <v>24.4</v>
      </c>
      <c r="AG42" s="51">
        <v>25.6</v>
      </c>
      <c r="AH42" s="51">
        <v>23.8</v>
      </c>
      <c r="AI42" s="51">
        <v>25.4</v>
      </c>
      <c r="AJ42" s="51"/>
      <c r="AK42" s="51"/>
      <c r="AL42" s="51"/>
      <c r="AM42" s="51"/>
      <c r="AN42" s="51"/>
      <c r="AO42" s="51"/>
      <c r="AP42" s="88">
        <f t="shared" si="1"/>
        <v>25</v>
      </c>
      <c r="AQ42" s="89">
        <f t="shared" si="2"/>
        <v>25.743999999999993</v>
      </c>
      <c r="AR42" s="89">
        <f>IFERROR(VLOOKUP(A42,Climatologia!A:U,9+$E$2,FALSE),"")</f>
        <v>24.242887721454171</v>
      </c>
      <c r="AS42" s="89">
        <f t="shared" si="3"/>
        <v>1.501112278545822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>
        <v>24</v>
      </c>
      <c r="AE43" s="51">
        <v>24.2</v>
      </c>
      <c r="AF43" s="51">
        <v>22.9</v>
      </c>
      <c r="AG43" s="51">
        <v>24.1</v>
      </c>
      <c r="AH43" s="51"/>
      <c r="AI43" s="51">
        <v>24.2</v>
      </c>
      <c r="AJ43" s="51"/>
      <c r="AK43" s="51"/>
      <c r="AL43" s="51"/>
      <c r="AM43" s="51"/>
      <c r="AN43" s="51"/>
      <c r="AO43" s="51"/>
      <c r="AP43" s="88">
        <f t="shared" si="1"/>
        <v>24</v>
      </c>
      <c r="AQ43" s="89">
        <f t="shared" si="2"/>
        <v>24.741666666666671</v>
      </c>
      <c r="AR43" s="89">
        <f>IFERROR(VLOOKUP(A43,Climatologia!A:U,9+$E$2,FALSE),"")</f>
        <v>23.780114118567958</v>
      </c>
      <c r="AS43" s="89">
        <f t="shared" si="3"/>
        <v>0.96155254809871238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>
        <v>24.2</v>
      </c>
      <c r="AE44" s="51">
        <v>25.6</v>
      </c>
      <c r="AF44" s="51">
        <v>23.6</v>
      </c>
      <c r="AG44" s="51">
        <v>24.4</v>
      </c>
      <c r="AH44" s="51">
        <v>24.2</v>
      </c>
      <c r="AI44" s="51">
        <v>25.4</v>
      </c>
      <c r="AJ44" s="51"/>
      <c r="AK44" s="51"/>
      <c r="AL44" s="51"/>
      <c r="AM44" s="51"/>
      <c r="AN44" s="51"/>
      <c r="AO44" s="51"/>
      <c r="AP44" s="88">
        <f t="shared" si="1"/>
        <v>25</v>
      </c>
      <c r="AQ44" s="89">
        <f t="shared" si="2"/>
        <v>24.687999999999999</v>
      </c>
      <c r="AR44" s="89">
        <f>IFERROR(VLOOKUP(A44,Climatologia!A:U,9+$E$2,FALSE),"")</f>
        <v>23.0554149406661</v>
      </c>
      <c r="AS44" s="89">
        <f t="shared" si="3"/>
        <v>1.6325850593338984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>
        <v>25.4</v>
      </c>
      <c r="AE47" s="51">
        <v>25.8</v>
      </c>
      <c r="AF47" s="51">
        <v>23</v>
      </c>
      <c r="AG47" s="51">
        <v>24</v>
      </c>
      <c r="AH47" s="51">
        <v>23.4</v>
      </c>
      <c r="AI47" s="51">
        <v>24</v>
      </c>
      <c r="AJ47" s="51"/>
      <c r="AK47" s="51"/>
      <c r="AL47" s="51"/>
      <c r="AM47" s="51"/>
      <c r="AN47" s="51"/>
      <c r="AO47" s="51"/>
      <c r="AP47" s="88">
        <f t="shared" si="1"/>
        <v>25</v>
      </c>
      <c r="AQ47" s="89">
        <f t="shared" si="2"/>
        <v>24.975999999999999</v>
      </c>
      <c r="AR47" s="89">
        <f>IFERROR(VLOOKUP(A47,Climatologia!A:U,9+$E$2,FALSE),"")</f>
        <v>22.672444338506629</v>
      </c>
      <c r="AS47" s="89">
        <f t="shared" si="3"/>
        <v>2.3035556614933697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>
        <v>25.8</v>
      </c>
      <c r="AE51" s="51">
        <v>26.4</v>
      </c>
      <c r="AF51" s="51">
        <v>23.6</v>
      </c>
      <c r="AG51" s="51">
        <v>23.8</v>
      </c>
      <c r="AH51" s="51">
        <v>23</v>
      </c>
      <c r="AI51" s="51">
        <v>24.4</v>
      </c>
      <c r="AJ51" s="51"/>
      <c r="AK51" s="51"/>
      <c r="AL51" s="51"/>
      <c r="AM51" s="51"/>
      <c r="AN51" s="51"/>
      <c r="AO51" s="51"/>
      <c r="AP51" s="88">
        <f t="shared" si="1"/>
        <v>25</v>
      </c>
      <c r="AQ51" s="89">
        <f t="shared" si="2"/>
        <v>25</v>
      </c>
      <c r="AR51" s="89">
        <f>IFERROR(VLOOKUP(A51,Climatologia!A:U,9+$E$2,FALSE),"")</f>
        <v>23.046735261401551</v>
      </c>
      <c r="AS51" s="89">
        <f t="shared" si="3"/>
        <v>1.953264738598449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>
        <v>23.8</v>
      </c>
      <c r="AE52" s="51">
        <v>26.8</v>
      </c>
      <c r="AF52" s="51">
        <v>24.4</v>
      </c>
      <c r="AG52" s="51">
        <v>24.6</v>
      </c>
      <c r="AH52" s="51">
        <v>24.4</v>
      </c>
      <c r="AI52" s="51">
        <v>24.4</v>
      </c>
      <c r="AJ52" s="51"/>
      <c r="AK52" s="51"/>
      <c r="AL52" s="51"/>
      <c r="AM52" s="51"/>
      <c r="AN52" s="51"/>
      <c r="AO52" s="51"/>
      <c r="AP52" s="88">
        <f t="shared" si="1"/>
        <v>25</v>
      </c>
      <c r="AQ52" s="89">
        <f t="shared" si="2"/>
        <v>24.687999999999999</v>
      </c>
      <c r="AR52" s="89">
        <f>IFERROR(VLOOKUP(A52,Climatologia!A:U,9+$E$2,FALSE),"")</f>
        <v>22.42011697979439</v>
      </c>
      <c r="AS52" s="89">
        <f t="shared" si="3"/>
        <v>2.2678830202056091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>
        <v>25.6</v>
      </c>
      <c r="AE53" s="51">
        <v>26.2</v>
      </c>
      <c r="AF53" s="51">
        <v>26.4</v>
      </c>
      <c r="AG53" s="51">
        <v>25.8</v>
      </c>
      <c r="AH53" s="51">
        <v>23.8</v>
      </c>
      <c r="AI53" s="51">
        <v>25.6</v>
      </c>
      <c r="AJ53" s="51"/>
      <c r="AK53" s="51"/>
      <c r="AL53" s="51"/>
      <c r="AM53" s="51"/>
      <c r="AN53" s="51"/>
      <c r="AO53" s="51"/>
      <c r="AP53" s="88">
        <f t="shared" si="1"/>
        <v>24</v>
      </c>
      <c r="AQ53" s="89">
        <f t="shared" si="2"/>
        <v>25.299999999999997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>
        <v>25.4</v>
      </c>
      <c r="AE57" s="51">
        <v>26</v>
      </c>
      <c r="AF57" s="51">
        <v>24.6</v>
      </c>
      <c r="AG57" s="51">
        <v>26</v>
      </c>
      <c r="AH57" s="51">
        <v>23.8</v>
      </c>
      <c r="AI57" s="51">
        <v>25</v>
      </c>
      <c r="AJ57" s="51"/>
      <c r="AK57" s="51"/>
      <c r="AL57" s="51"/>
      <c r="AM57" s="51"/>
      <c r="AN57" s="51"/>
      <c r="AO57" s="51"/>
      <c r="AP57" s="88">
        <f t="shared" si="1"/>
        <v>25</v>
      </c>
      <c r="AQ57" s="89">
        <f t="shared" si="2"/>
        <v>25.175999999999995</v>
      </c>
      <c r="AR57" s="89">
        <f>IFERROR(VLOOKUP(A57,Climatologia!A:U,9+$E$2,FALSE),"")</f>
        <v>23.979265352535649</v>
      </c>
      <c r="AS57" s="89">
        <f t="shared" si="3"/>
        <v>1.1967346474643463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>
        <v>24.2</v>
      </c>
      <c r="X58" s="51"/>
      <c r="Y58" s="51">
        <v>22</v>
      </c>
      <c r="Z58" s="111">
        <v>22.8</v>
      </c>
      <c r="AA58" s="51">
        <v>21.8</v>
      </c>
      <c r="AB58" s="51">
        <v>21.8</v>
      </c>
      <c r="AC58" s="51">
        <v>23</v>
      </c>
      <c r="AD58" s="51"/>
      <c r="AE58" s="51">
        <v>22.6</v>
      </c>
      <c r="AF58" s="51">
        <v>22.6</v>
      </c>
      <c r="AG58" s="51">
        <v>22.6</v>
      </c>
      <c r="AH58" s="51">
        <v>23.2</v>
      </c>
      <c r="AI58" s="51">
        <v>22.6</v>
      </c>
      <c r="AJ58" s="51"/>
      <c r="AK58" s="51"/>
      <c r="AL58" s="51"/>
      <c r="AM58" s="51"/>
      <c r="AN58" s="51"/>
      <c r="AO58" s="51"/>
      <c r="AP58" s="88">
        <f t="shared" si="1"/>
        <v>20</v>
      </c>
      <c r="AQ58" s="89">
        <f t="shared" si="2"/>
        <v>22.480000000000004</v>
      </c>
      <c r="AR58" s="89">
        <f>IFERROR(VLOOKUP(A58,Climatologia!A:U,9+$E$2,FALSE),"")</f>
        <v>21.13704119852942</v>
      </c>
      <c r="AS58" s="89">
        <f t="shared" si="3"/>
        <v>1.3429588014705836</v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>
        <v>23</v>
      </c>
      <c r="AA60" s="51">
        <v>21.6</v>
      </c>
      <c r="AB60" s="51">
        <v>21.4</v>
      </c>
      <c r="AC60" s="51">
        <v>23</v>
      </c>
      <c r="AD60" s="51">
        <v>23</v>
      </c>
      <c r="AE60" s="51">
        <v>23.2</v>
      </c>
      <c r="AF60" s="51">
        <v>22.4</v>
      </c>
      <c r="AG60" s="51">
        <v>22.6</v>
      </c>
      <c r="AH60" s="51">
        <v>23</v>
      </c>
      <c r="AI60" s="51">
        <v>22</v>
      </c>
      <c r="AJ60" s="51"/>
      <c r="AK60" s="51"/>
      <c r="AL60" s="51"/>
      <c r="AM60" s="51"/>
      <c r="AN60" s="51"/>
      <c r="AO60" s="51"/>
      <c r="AP60" s="88">
        <f t="shared" si="1"/>
        <v>25</v>
      </c>
      <c r="AQ60" s="89">
        <f t="shared" si="2"/>
        <v>22.304000000000002</v>
      </c>
      <c r="AR60" s="89">
        <f>IFERROR(VLOOKUP(A60,Climatologia!A:U,9+$E$2,FALSE),"")</f>
        <v>21.421723438405142</v>
      </c>
      <c r="AS60" s="89">
        <f t="shared" si="3"/>
        <v>0.88227656159486045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>
        <v>22.4</v>
      </c>
      <c r="AE63" s="51">
        <v>23</v>
      </c>
      <c r="AF63" s="51">
        <v>22.8</v>
      </c>
      <c r="AG63" s="51">
        <v>22.2</v>
      </c>
      <c r="AH63" s="51">
        <v>22</v>
      </c>
      <c r="AI63" s="51">
        <v>23.2</v>
      </c>
      <c r="AJ63" s="51"/>
      <c r="AK63" s="51"/>
      <c r="AL63" s="51"/>
      <c r="AM63" s="51"/>
      <c r="AN63" s="51"/>
      <c r="AO63" s="51"/>
      <c r="AP63" s="88">
        <f t="shared" si="1"/>
        <v>25</v>
      </c>
      <c r="AQ63" s="89">
        <f t="shared" si="2"/>
        <v>22.232000000000003</v>
      </c>
      <c r="AR63" s="89">
        <f>IFERROR(VLOOKUP(A63,Climatologia!A:U,9+$E$2,FALSE),"")</f>
        <v>22.115021493152749</v>
      </c>
      <c r="AS63" s="89">
        <f t="shared" si="3"/>
        <v>0.11697850684725353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>
        <v>23</v>
      </c>
      <c r="AE64" s="51">
        <v>23.8</v>
      </c>
      <c r="AF64" s="51">
        <v>23.4</v>
      </c>
      <c r="AG64" s="51">
        <v>22.6</v>
      </c>
      <c r="AH64" s="51">
        <v>21.4</v>
      </c>
      <c r="AI64" s="51">
        <v>23.4</v>
      </c>
      <c r="AJ64" s="51"/>
      <c r="AK64" s="51"/>
      <c r="AL64" s="51"/>
      <c r="AM64" s="51"/>
      <c r="AN64" s="51"/>
      <c r="AO64" s="51"/>
      <c r="AP64" s="88">
        <f t="shared" si="1"/>
        <v>25</v>
      </c>
      <c r="AQ64" s="89">
        <f t="shared" si="2"/>
        <v>22.423999999999996</v>
      </c>
      <c r="AR64" s="89">
        <f>IFERROR(VLOOKUP(A64,Climatologia!A:U,9+$E$2,FALSE),"")</f>
        <v>21.829845625062539</v>
      </c>
      <c r="AS64" s="89">
        <f t="shared" si="3"/>
        <v>0.59415437493745671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>
        <v>23.8</v>
      </c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>
        <v>21.2</v>
      </c>
      <c r="AE65" s="51">
        <v>24.2</v>
      </c>
      <c r="AF65" s="51">
        <v>22.2</v>
      </c>
      <c r="AG65" s="51">
        <v>22.6</v>
      </c>
      <c r="AH65" s="51">
        <v>23</v>
      </c>
      <c r="AI65" s="51">
        <v>23.2</v>
      </c>
      <c r="AJ65" s="51"/>
      <c r="AK65" s="51"/>
      <c r="AL65" s="51"/>
      <c r="AM65" s="51"/>
      <c r="AN65" s="51"/>
      <c r="AO65" s="51"/>
      <c r="AP65" s="88">
        <f t="shared" si="1"/>
        <v>25</v>
      </c>
      <c r="AQ65" s="89">
        <f t="shared" si="2"/>
        <v>22.576000000000001</v>
      </c>
      <c r="AR65" s="89">
        <f>IFERROR(VLOOKUP(A65,Climatologia!A:U,9+$E$2,FALSE),"")</f>
        <v>21.51595325788206</v>
      </c>
      <c r="AS65" s="89">
        <f t="shared" si="3"/>
        <v>1.0600467421179403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>
        <v>19</v>
      </c>
      <c r="AE67" s="51">
        <v>21.4</v>
      </c>
      <c r="AF67" s="51">
        <v>20.8</v>
      </c>
      <c r="AG67" s="51"/>
      <c r="AH67" s="51">
        <v>20.399999999999999</v>
      </c>
      <c r="AI67" s="51">
        <v>21</v>
      </c>
      <c r="AJ67" s="51"/>
      <c r="AK67" s="51"/>
      <c r="AL67" s="51"/>
      <c r="AM67" s="51"/>
      <c r="AN67" s="51"/>
      <c r="AO67" s="51"/>
      <c r="AP67" s="88">
        <f t="shared" si="1"/>
        <v>24</v>
      </c>
      <c r="AQ67" s="89">
        <f t="shared" si="2"/>
        <v>20.458333333333336</v>
      </c>
      <c r="AR67" s="89">
        <f>IFERROR(VLOOKUP(A67,Climatologia!A:U,9+$E$2,FALSE),"")</f>
        <v>21.155438855480959</v>
      </c>
      <c r="AS67" s="89">
        <f t="shared" si="3"/>
        <v>-0.69710552214762345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>
        <v>20</v>
      </c>
      <c r="AE68" s="51">
        <v>19</v>
      </c>
      <c r="AF68" s="51">
        <v>19.600000000000001</v>
      </c>
      <c r="AG68" s="51">
        <v>20</v>
      </c>
      <c r="AH68" s="51">
        <v>19.3</v>
      </c>
      <c r="AI68" s="51">
        <v>22.3</v>
      </c>
      <c r="AJ68" s="51"/>
      <c r="AK68" s="51"/>
      <c r="AL68" s="51"/>
      <c r="AM68" s="51"/>
      <c r="AN68" s="51"/>
      <c r="AO68" s="51"/>
      <c r="AP68" s="88">
        <f t="shared" si="1"/>
        <v>25</v>
      </c>
      <c r="AQ68" s="89">
        <f t="shared" si="2"/>
        <v>20.956000000000003</v>
      </c>
      <c r="AR68" s="89">
        <f>IFERROR(VLOOKUP(A68,Climatologia!A:U,9+$E$2,FALSE),"")</f>
        <v>21.17954086440843</v>
      </c>
      <c r="AS68" s="89">
        <f t="shared" si="3"/>
        <v>-0.22354086440842735</v>
      </c>
      <c r="AT68" s="90">
        <f t="shared" si="4"/>
        <v>19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>
        <v>23.6</v>
      </c>
      <c r="AE69" s="51">
        <v>24.4</v>
      </c>
      <c r="AF69" s="51">
        <v>22.2</v>
      </c>
      <c r="AG69" s="51">
        <v>22.6</v>
      </c>
      <c r="AH69" s="51">
        <v>22.2</v>
      </c>
      <c r="AI69" s="51">
        <v>23.2</v>
      </c>
      <c r="AJ69" s="51"/>
      <c r="AK69" s="51"/>
      <c r="AL69" s="51"/>
      <c r="AM69" s="51"/>
      <c r="AN69" s="51"/>
      <c r="AO69" s="51"/>
      <c r="AP69" s="88">
        <f t="shared" ref="AP69:AP132" si="6">COUNTIF(K69:AO69,"&gt;0")</f>
        <v>22</v>
      </c>
      <c r="AQ69" s="89">
        <f t="shared" ref="AQ69:AQ132" si="7">IF(AP69&gt;14,AVERAGE(K69:AO69),"")</f>
        <v>22.763636363636362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1.8054067169389718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>
        <v>22.3</v>
      </c>
      <c r="AE70" s="51">
        <v>24.3</v>
      </c>
      <c r="AF70" s="51">
        <v>23.1</v>
      </c>
      <c r="AG70" s="51">
        <v>23.1</v>
      </c>
      <c r="AH70" s="51">
        <v>22.3</v>
      </c>
      <c r="AI70" s="51">
        <v>24</v>
      </c>
      <c r="AJ70" s="51"/>
      <c r="AK70" s="51"/>
      <c r="AL70" s="51"/>
      <c r="AM70" s="51"/>
      <c r="AN70" s="51"/>
      <c r="AO70" s="51"/>
      <c r="AP70" s="88">
        <f t="shared" si="6"/>
        <v>25</v>
      </c>
      <c r="AQ70" s="89">
        <f t="shared" si="7"/>
        <v>23.04</v>
      </c>
      <c r="AR70" s="89">
        <f>IFERROR(VLOOKUP(A70,Climatologia!A:U,9+$E$2,FALSE),"")</f>
        <v>22.49395085458767</v>
      </c>
      <c r="AS70" s="89">
        <f t="shared" si="8"/>
        <v>0.5460491454123293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>
        <v>21.3</v>
      </c>
      <c r="AE71" s="51">
        <v>22.3</v>
      </c>
      <c r="AF71" s="51">
        <v>23.2</v>
      </c>
      <c r="AG71" s="51">
        <v>23.1</v>
      </c>
      <c r="AH71" s="51">
        <v>23.3</v>
      </c>
      <c r="AI71" s="51">
        <v>24</v>
      </c>
      <c r="AJ71" s="51"/>
      <c r="AK71" s="51"/>
      <c r="AL71" s="51"/>
      <c r="AM71" s="51"/>
      <c r="AN71" s="51"/>
      <c r="AO71" s="51"/>
      <c r="AP71" s="88">
        <f t="shared" si="6"/>
        <v>25</v>
      </c>
      <c r="AQ71" s="89">
        <f t="shared" si="7"/>
        <v>22.544</v>
      </c>
      <c r="AR71" s="89">
        <f>IFERROR(VLOOKUP(A71,Climatologia!A:U,9+$E$2,FALSE),"")</f>
        <v>21.499102150537631</v>
      </c>
      <c r="AS71" s="89">
        <f t="shared" si="8"/>
        <v>1.0448978494623695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>
        <v>21.4</v>
      </c>
      <c r="AE72" s="51">
        <v>21.4</v>
      </c>
      <c r="AF72" s="51">
        <v>21</v>
      </c>
      <c r="AG72" s="51"/>
      <c r="AH72" s="51">
        <v>21</v>
      </c>
      <c r="AI72" s="51">
        <v>21</v>
      </c>
      <c r="AJ72" s="51"/>
      <c r="AK72" s="51"/>
      <c r="AL72" s="51"/>
      <c r="AM72" s="51"/>
      <c r="AN72" s="51"/>
      <c r="AO72" s="51"/>
      <c r="AP72" s="88">
        <f t="shared" si="6"/>
        <v>20</v>
      </c>
      <c r="AQ72" s="89">
        <f t="shared" si="7"/>
        <v>21.074999999999996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>
        <v>16</v>
      </c>
      <c r="AE73" s="51">
        <v>17.399999999999999</v>
      </c>
      <c r="AF73" s="51">
        <v>17.2</v>
      </c>
      <c r="AG73" s="51">
        <v>17.2</v>
      </c>
      <c r="AH73" s="51">
        <v>17</v>
      </c>
      <c r="AI73" s="51">
        <v>17.2</v>
      </c>
      <c r="AJ73" s="51"/>
      <c r="AK73" s="51"/>
      <c r="AL73" s="51"/>
      <c r="AM73" s="51"/>
      <c r="AN73" s="51"/>
      <c r="AO73" s="51"/>
      <c r="AP73" s="88">
        <f t="shared" si="6"/>
        <v>25</v>
      </c>
      <c r="AQ73" s="89">
        <f t="shared" si="7"/>
        <v>17.543999999999993</v>
      </c>
      <c r="AR73" s="89">
        <f>IFERROR(VLOOKUP(A73,Climatologia!A:U,9+$E$2,FALSE),"")</f>
        <v>16.339759362254359</v>
      </c>
      <c r="AS73" s="89">
        <f t="shared" si="8"/>
        <v>1.2042406377456345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>
        <v>12</v>
      </c>
      <c r="AE74" s="51">
        <v>12.4</v>
      </c>
      <c r="AF74" s="51">
        <v>13.2</v>
      </c>
      <c r="AG74" s="51">
        <v>12</v>
      </c>
      <c r="AH74" s="51">
        <v>12.4</v>
      </c>
      <c r="AI74" s="51">
        <v>13.2</v>
      </c>
      <c r="AJ74" s="51"/>
      <c r="AK74" s="51"/>
      <c r="AL74" s="51"/>
      <c r="AM74" s="51"/>
      <c r="AN74" s="51"/>
      <c r="AO74" s="51"/>
      <c r="AP74" s="88">
        <f t="shared" si="6"/>
        <v>24</v>
      </c>
      <c r="AQ74" s="89">
        <f t="shared" si="7"/>
        <v>12.091666666666667</v>
      </c>
      <c r="AR74" s="89">
        <f>IFERROR(VLOOKUP(A74,Climatologia!A:U,9+$E$2,FALSE),"")</f>
        <v>11.60078927362504</v>
      </c>
      <c r="AS74" s="89">
        <f t="shared" si="8"/>
        <v>0.49087739304162703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>
        <v>17</v>
      </c>
      <c r="AE75" s="51">
        <v>17.2</v>
      </c>
      <c r="AF75" s="51">
        <v>17</v>
      </c>
      <c r="AG75" s="51">
        <v>15.8</v>
      </c>
      <c r="AH75" s="51">
        <v>17</v>
      </c>
      <c r="AI75" s="51">
        <v>15</v>
      </c>
      <c r="AJ75" s="51"/>
      <c r="AK75" s="51"/>
      <c r="AL75" s="51"/>
      <c r="AM75" s="51"/>
      <c r="AN75" s="51"/>
      <c r="AO75" s="51"/>
      <c r="AP75" s="88">
        <f t="shared" si="6"/>
        <v>25</v>
      </c>
      <c r="AQ75" s="89">
        <f t="shared" si="7"/>
        <v>16.024000000000001</v>
      </c>
      <c r="AR75" s="89">
        <f>IFERROR(VLOOKUP(A75,Climatologia!A:U,9+$E$2,FALSE),"")</f>
        <v>15.418794564997761</v>
      </c>
      <c r="AS75" s="89">
        <f t="shared" si="8"/>
        <v>0.60520543500224022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>
        <v>16.600000000000001</v>
      </c>
      <c r="AE76" s="51">
        <v>17.399999999999999</v>
      </c>
      <c r="AF76" s="51">
        <v>18.2</v>
      </c>
      <c r="AG76" s="51">
        <v>18</v>
      </c>
      <c r="AH76" s="51">
        <v>18.8</v>
      </c>
      <c r="AI76" s="51">
        <v>18</v>
      </c>
      <c r="AJ76" s="51"/>
      <c r="AK76" s="51"/>
      <c r="AL76" s="51"/>
      <c r="AM76" s="51"/>
      <c r="AN76" s="51"/>
      <c r="AO76" s="51"/>
      <c r="AP76" s="88">
        <f t="shared" si="6"/>
        <v>25</v>
      </c>
      <c r="AQ76" s="89">
        <f t="shared" si="7"/>
        <v>17.472000000000001</v>
      </c>
      <c r="AR76" s="89">
        <f>IFERROR(VLOOKUP(A76,Climatologia!A:U,9+$E$2,FALSE),"")</f>
        <v>18.47633867500863</v>
      </c>
      <c r="AS76" s="89">
        <f t="shared" si="8"/>
        <v>-1.0043386750086292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>
        <v>28.4</v>
      </c>
      <c r="AE77" s="51">
        <v>28.2</v>
      </c>
      <c r="AF77" s="51">
        <v>29.2</v>
      </c>
      <c r="AG77" s="51">
        <v>25.4</v>
      </c>
      <c r="AH77" s="51">
        <v>28.2</v>
      </c>
      <c r="AI77" s="51">
        <v>27.8</v>
      </c>
      <c r="AJ77" s="51"/>
      <c r="AK77" s="51"/>
      <c r="AL77" s="51"/>
      <c r="AM77" s="51"/>
      <c r="AN77" s="51"/>
      <c r="AO77" s="51"/>
      <c r="AP77" s="88">
        <f t="shared" si="6"/>
        <v>25</v>
      </c>
      <c r="AQ77" s="89">
        <f t="shared" si="7"/>
        <v>27.024000000000001</v>
      </c>
      <c r="AR77" s="89">
        <f>IFERROR(VLOOKUP(A77,Climatologia!A:U,9+$E$2,FALSE),"")</f>
        <v>24.545433207708651</v>
      </c>
      <c r="AS77" s="89">
        <f t="shared" si="8"/>
        <v>2.4785667922913497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>
        <v>25.2</v>
      </c>
      <c r="AE78" s="51">
        <v>26</v>
      </c>
      <c r="AF78" s="51">
        <v>24.8</v>
      </c>
      <c r="AG78" s="51">
        <v>24.4</v>
      </c>
      <c r="AH78" s="51">
        <v>26.2</v>
      </c>
      <c r="AI78" s="51">
        <v>26.2</v>
      </c>
      <c r="AJ78" s="51"/>
      <c r="AK78" s="51"/>
      <c r="AL78" s="51"/>
      <c r="AM78" s="51"/>
      <c r="AN78" s="51"/>
      <c r="AO78" s="51"/>
      <c r="AP78" s="88">
        <f t="shared" si="6"/>
        <v>25</v>
      </c>
      <c r="AQ78" s="89">
        <f t="shared" si="7"/>
        <v>25.184000000000001</v>
      </c>
      <c r="AR78" s="89">
        <f>IFERROR(VLOOKUP(A78,Climatologia!A:U,9+$E$2,FALSE),"")</f>
        <v>23.46580771270726</v>
      </c>
      <c r="AS78" s="89">
        <f t="shared" si="8"/>
        <v>1.7181922872927409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>
        <v>14.4</v>
      </c>
      <c r="AE79" s="51">
        <v>14.2</v>
      </c>
      <c r="AF79" s="51">
        <v>15.8</v>
      </c>
      <c r="AG79" s="51">
        <v>14.6</v>
      </c>
      <c r="AH79" s="51">
        <v>15.2</v>
      </c>
      <c r="AI79" s="51">
        <v>15.4</v>
      </c>
      <c r="AJ79" s="51"/>
      <c r="AK79" s="51"/>
      <c r="AL79" s="51"/>
      <c r="AM79" s="51"/>
      <c r="AN79" s="51"/>
      <c r="AO79" s="51"/>
      <c r="AP79" s="88">
        <f t="shared" si="6"/>
        <v>25</v>
      </c>
      <c r="AQ79" s="89">
        <f t="shared" si="7"/>
        <v>14.863999999999997</v>
      </c>
      <c r="AR79" s="89">
        <f>IFERROR(VLOOKUP(A79,Climatologia!A:U,9+$E$2,FALSE),"")</f>
        <v>15.28784620132488</v>
      </c>
      <c r="AS79" s="89">
        <f t="shared" si="8"/>
        <v>-0.42384620132488315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>
        <v>23.2</v>
      </c>
      <c r="AE81" s="51">
        <v>23.4</v>
      </c>
      <c r="AF81" s="51">
        <v>24</v>
      </c>
      <c r="AG81" s="51">
        <v>24.2</v>
      </c>
      <c r="AH81" s="51">
        <v>23.8</v>
      </c>
      <c r="AI81" s="51">
        <v>22.8</v>
      </c>
      <c r="AJ81" s="51"/>
      <c r="AK81" s="51"/>
      <c r="AL81" s="51"/>
      <c r="AM81" s="51"/>
      <c r="AN81" s="51"/>
      <c r="AO81" s="51"/>
      <c r="AP81" s="88">
        <f t="shared" si="6"/>
        <v>25</v>
      </c>
      <c r="AQ81" s="89">
        <f t="shared" si="7"/>
        <v>23.16</v>
      </c>
      <c r="AR81" s="89">
        <f>IFERROR(VLOOKUP(A81,Climatologia!A:U,9+$E$2,FALSE),"")</f>
        <v>21.715420961210111</v>
      </c>
      <c r="AS81" s="89">
        <f t="shared" si="8"/>
        <v>1.4445790387898896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>
        <v>29</v>
      </c>
      <c r="AE83" s="51">
        <v>29.2</v>
      </c>
      <c r="AF83" s="51">
        <v>28</v>
      </c>
      <c r="AG83" s="51">
        <v>27.8</v>
      </c>
      <c r="AH83" s="51">
        <v>28</v>
      </c>
      <c r="AI83" s="51">
        <v>27.6</v>
      </c>
      <c r="AJ83" s="51"/>
      <c r="AK83" s="51"/>
      <c r="AL83" s="51"/>
      <c r="AM83" s="51"/>
      <c r="AN83" s="51"/>
      <c r="AO83" s="51"/>
      <c r="AP83" s="88">
        <f t="shared" si="6"/>
        <v>25</v>
      </c>
      <c r="AQ83" s="89">
        <f t="shared" si="7"/>
        <v>28.032000000000004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>
        <v>27.4</v>
      </c>
      <c r="AE84" s="51">
        <v>27.2</v>
      </c>
      <c r="AF84" s="51">
        <v>26.4</v>
      </c>
      <c r="AG84" s="51">
        <v>26.2</v>
      </c>
      <c r="AH84" s="51">
        <v>25.6</v>
      </c>
      <c r="AI84" s="51">
        <v>27.8</v>
      </c>
      <c r="AJ84" s="51"/>
      <c r="AK84" s="51"/>
      <c r="AL84" s="51"/>
      <c r="AM84" s="51"/>
      <c r="AN84" s="51"/>
      <c r="AO84" s="51"/>
      <c r="AP84" s="88">
        <f t="shared" si="6"/>
        <v>24</v>
      </c>
      <c r="AQ84" s="89">
        <f t="shared" si="7"/>
        <v>26.866666666666664</v>
      </c>
      <c r="AR84" s="89">
        <f>IFERROR(VLOOKUP(A84,Climatologia!A:U,9+$E$2,FALSE),"")</f>
        <v>23.659247311827961</v>
      </c>
      <c r="AS84" s="89">
        <f t="shared" si="8"/>
        <v>3.2074193548387022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>
        <v>25.2</v>
      </c>
      <c r="AE85" s="51">
        <v>26.8</v>
      </c>
      <c r="AF85" s="51">
        <v>25</v>
      </c>
      <c r="AG85" s="51">
        <v>25.2</v>
      </c>
      <c r="AH85" s="51"/>
      <c r="AI85" s="51">
        <v>26.4</v>
      </c>
      <c r="AJ85" s="51"/>
      <c r="AK85" s="51"/>
      <c r="AL85" s="51"/>
      <c r="AM85" s="51"/>
      <c r="AN85" s="51"/>
      <c r="AO85" s="51"/>
      <c r="AP85" s="88">
        <f t="shared" si="6"/>
        <v>23</v>
      </c>
      <c r="AQ85" s="89">
        <f t="shared" si="7"/>
        <v>25.139130434782604</v>
      </c>
      <c r="AR85" s="89">
        <f>IFERROR(VLOOKUP(A85,Climatologia!A:U,9+$E$2,FALSE),"")</f>
        <v>23.235308274059729</v>
      </c>
      <c r="AS85" s="89">
        <f t="shared" si="8"/>
        <v>1.9038221607228749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>
        <v>21.2</v>
      </c>
      <c r="AE86" s="51">
        <v>23.4</v>
      </c>
      <c r="AF86" s="51">
        <v>23</v>
      </c>
      <c r="AG86" s="51">
        <v>22.8</v>
      </c>
      <c r="AH86" s="51">
        <v>19.8</v>
      </c>
      <c r="AI86" s="51">
        <v>22.6</v>
      </c>
      <c r="AJ86" s="51"/>
      <c r="AK86" s="51"/>
      <c r="AL86" s="51"/>
      <c r="AM86" s="51"/>
      <c r="AN86" s="51"/>
      <c r="AO86" s="51"/>
      <c r="AP86" s="88">
        <f t="shared" si="6"/>
        <v>25</v>
      </c>
      <c r="AQ86" s="89">
        <f t="shared" si="7"/>
        <v>21.896000000000004</v>
      </c>
      <c r="AR86" s="89">
        <f>IFERROR(VLOOKUP(A86,Climatologia!A:U,9+$E$2,FALSE),"")</f>
        <v>22.828530465949822</v>
      </c>
      <c r="AS86" s="89">
        <f t="shared" si="8"/>
        <v>-0.93253046594981726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>
        <v>28.2</v>
      </c>
      <c r="AE87" s="51">
        <v>28.4</v>
      </c>
      <c r="AF87" s="51">
        <v>27.6</v>
      </c>
      <c r="AG87" s="51">
        <v>27.4</v>
      </c>
      <c r="AH87" s="51">
        <v>24.6</v>
      </c>
      <c r="AI87" s="51">
        <v>26.2</v>
      </c>
      <c r="AJ87" s="51"/>
      <c r="AK87" s="51"/>
      <c r="AL87" s="51"/>
      <c r="AM87" s="51"/>
      <c r="AN87" s="51"/>
      <c r="AO87" s="51"/>
      <c r="AP87" s="88">
        <f t="shared" si="6"/>
        <v>25</v>
      </c>
      <c r="AQ87" s="89">
        <f t="shared" si="7"/>
        <v>26.384000000000004</v>
      </c>
      <c r="AR87" s="89">
        <f>IFERROR(VLOOKUP(A87,Climatologia!A:U,9+$E$2,FALSE),"")</f>
        <v>23.725363919312059</v>
      </c>
      <c r="AS87" s="89">
        <f t="shared" si="8"/>
        <v>2.6586360806879448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>
        <v>25.8</v>
      </c>
      <c r="AE88" s="51">
        <v>27.4</v>
      </c>
      <c r="AF88" s="51">
        <v>28</v>
      </c>
      <c r="AG88" s="51">
        <v>26.6</v>
      </c>
      <c r="AH88" s="51">
        <v>24.6</v>
      </c>
      <c r="AI88" s="51">
        <v>26.6</v>
      </c>
      <c r="AJ88" s="51"/>
      <c r="AK88" s="51"/>
      <c r="AL88" s="51"/>
      <c r="AM88" s="51"/>
      <c r="AN88" s="51"/>
      <c r="AO88" s="51"/>
      <c r="AP88" s="88">
        <f t="shared" si="6"/>
        <v>25</v>
      </c>
      <c r="AQ88" s="89">
        <f t="shared" si="7"/>
        <v>26.296000000000003</v>
      </c>
      <c r="AR88" s="89">
        <f>IFERROR(VLOOKUP(A88,Climatologia!A:U,9+$E$2,FALSE),"")</f>
        <v>23.148531221247211</v>
      </c>
      <c r="AS88" s="89">
        <f t="shared" si="8"/>
        <v>3.147468778752792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>
        <v>25.8</v>
      </c>
      <c r="AE89" s="116">
        <v>27.2</v>
      </c>
      <c r="AF89" s="116">
        <v>24.8</v>
      </c>
      <c r="AG89" s="116">
        <v>27</v>
      </c>
      <c r="AH89" s="116">
        <v>24</v>
      </c>
      <c r="AI89" s="116">
        <v>25.2</v>
      </c>
      <c r="AJ89" s="116"/>
      <c r="AK89" s="116"/>
      <c r="AL89" s="116"/>
      <c r="AM89" s="116"/>
      <c r="AN89" s="116"/>
      <c r="AO89" s="116"/>
      <c r="AP89" s="88">
        <f t="shared" si="6"/>
        <v>25</v>
      </c>
      <c r="AQ89" s="89">
        <f t="shared" si="7"/>
        <v>26.352000000000004</v>
      </c>
      <c r="AR89" s="89">
        <f>IFERROR(VLOOKUP(A89,Climatologia!A:U,9+$E$2,FALSE),"")</f>
        <v>22.80687536416124</v>
      </c>
      <c r="AS89" s="89">
        <f t="shared" si="8"/>
        <v>3.5451246358387642</v>
      </c>
      <c r="AT89" s="90">
        <f t="shared" si="9"/>
        <v>24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9.1999999999999993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>
        <v>14.8</v>
      </c>
      <c r="AE90" s="51">
        <v>12.8</v>
      </c>
      <c r="AF90" s="51">
        <v>14.2</v>
      </c>
      <c r="AG90" s="51">
        <v>10.4</v>
      </c>
      <c r="AH90" s="51">
        <v>13</v>
      </c>
      <c r="AI90" s="51">
        <v>13</v>
      </c>
      <c r="AJ90" s="51"/>
      <c r="AK90" s="51"/>
      <c r="AL90" s="51"/>
      <c r="AM90" s="51"/>
      <c r="AN90" s="51"/>
      <c r="AO90" s="51"/>
      <c r="AP90" s="88">
        <f t="shared" si="6"/>
        <v>25</v>
      </c>
      <c r="AQ90" s="89">
        <f t="shared" si="7"/>
        <v>12.8</v>
      </c>
      <c r="AR90" s="89">
        <f>IFERROR(VLOOKUP(A90,Climatologia!A:U,9+$E$2,FALSE),"")</f>
        <v>11.03161290322581</v>
      </c>
      <c r="AS90" s="89">
        <f t="shared" si="8"/>
        <v>1.768387096774191</v>
      </c>
      <c r="AT90" s="90">
        <f t="shared" si="9"/>
        <v>10.4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6.2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>
        <v>18.399999999999999</v>
      </c>
      <c r="AE91" s="51">
        <v>19</v>
      </c>
      <c r="AF91" s="51">
        <v>19.2</v>
      </c>
      <c r="AG91" s="51">
        <v>18.600000000000001</v>
      </c>
      <c r="AH91" s="51">
        <v>19.2</v>
      </c>
      <c r="AI91" s="51">
        <v>19</v>
      </c>
      <c r="AJ91" s="51"/>
      <c r="AK91" s="51"/>
      <c r="AL91" s="51"/>
      <c r="AM91" s="51"/>
      <c r="AN91" s="51"/>
      <c r="AO91" s="51"/>
      <c r="AP91" s="88">
        <f t="shared" si="6"/>
        <v>25</v>
      </c>
      <c r="AQ91" s="89">
        <f t="shared" si="7"/>
        <v>18.295999999999996</v>
      </c>
      <c r="AR91" s="89">
        <f>IFERROR(VLOOKUP(A91,Climatologia!A:U,9+$E$2,FALSE),"")</f>
        <v>17.610862560172901</v>
      </c>
      <c r="AS91" s="89">
        <f t="shared" si="8"/>
        <v>0.68513743982709485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>
        <v>11.8</v>
      </c>
      <c r="AE92" s="51">
        <v>11.8</v>
      </c>
      <c r="AF92" s="51">
        <v>11.4</v>
      </c>
      <c r="AG92" s="51">
        <v>8.8000000000000007</v>
      </c>
      <c r="AH92" s="51">
        <v>11.6</v>
      </c>
      <c r="AI92" s="51">
        <v>11</v>
      </c>
      <c r="AJ92" s="51"/>
      <c r="AK92" s="51"/>
      <c r="AL92" s="51"/>
      <c r="AM92" s="51"/>
      <c r="AN92" s="51"/>
      <c r="AO92" s="51"/>
      <c r="AP92" s="88">
        <f t="shared" si="6"/>
        <v>23</v>
      </c>
      <c r="AQ92" s="89">
        <f t="shared" si="7"/>
        <v>11.121739130434785</v>
      </c>
      <c r="AR92" s="89">
        <f>IFERROR(VLOOKUP(A92,Climatologia!A:U,9+$E$2,FALSE),"")</f>
        <v>11.399375551378929</v>
      </c>
      <c r="AS92" s="89">
        <f t="shared" si="8"/>
        <v>-0.27763642094414465</v>
      </c>
      <c r="AT92" s="90">
        <f t="shared" si="9"/>
        <v>8.8000000000000007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2.8000000000000007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>
        <v>10.8</v>
      </c>
      <c r="AE93" s="51">
        <v>11.4</v>
      </c>
      <c r="AF93" s="51">
        <v>10.8</v>
      </c>
      <c r="AG93" s="51">
        <v>8</v>
      </c>
      <c r="AH93" s="51">
        <v>10</v>
      </c>
      <c r="AI93" s="51">
        <v>9.1999999999999993</v>
      </c>
      <c r="AJ93" s="51"/>
      <c r="AK93" s="51"/>
      <c r="AL93" s="51"/>
      <c r="AM93" s="51"/>
      <c r="AN93" s="51"/>
      <c r="AO93" s="51"/>
      <c r="AP93" s="88">
        <f t="shared" si="6"/>
        <v>25</v>
      </c>
      <c r="AQ93" s="89">
        <f t="shared" si="7"/>
        <v>10.136000000000003</v>
      </c>
      <c r="AR93" s="89">
        <f>IFERROR(VLOOKUP(A93,Climatologia!A:U,9+$E$2,FALSE),"")</f>
        <v>8.6931200495597167</v>
      </c>
      <c r="AS93" s="89">
        <f t="shared" si="8"/>
        <v>1.4428799504402861</v>
      </c>
      <c r="AT93" s="90">
        <f t="shared" si="9"/>
        <v>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7.6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>
        <v>7.2</v>
      </c>
      <c r="AE95" s="51">
        <v>8.1999999999999993</v>
      </c>
      <c r="AF95" s="51">
        <v>8.4</v>
      </c>
      <c r="AG95" s="51">
        <v>10.199999999999999</v>
      </c>
      <c r="AH95" s="51">
        <v>8.4</v>
      </c>
      <c r="AI95" s="51">
        <v>7.4</v>
      </c>
      <c r="AJ95" s="51"/>
      <c r="AK95" s="51"/>
      <c r="AL95" s="51"/>
      <c r="AM95" s="51"/>
      <c r="AN95" s="51"/>
      <c r="AO95" s="51"/>
      <c r="AP95" s="88">
        <f t="shared" si="6"/>
        <v>7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7.2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8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>
        <v>7</v>
      </c>
      <c r="AE96" s="51">
        <v>8.1999999999999993</v>
      </c>
      <c r="AF96" s="51">
        <v>10.4</v>
      </c>
      <c r="AG96" s="51">
        <v>5.2</v>
      </c>
      <c r="AH96" s="51">
        <v>7</v>
      </c>
      <c r="AI96" s="51">
        <v>6</v>
      </c>
      <c r="AJ96" s="51"/>
      <c r="AK96" s="51"/>
      <c r="AL96" s="51"/>
      <c r="AM96" s="51"/>
      <c r="AN96" s="51"/>
      <c r="AO96" s="51"/>
      <c r="AP96" s="88">
        <f t="shared" si="6"/>
        <v>25</v>
      </c>
      <c r="AQ96" s="89">
        <f t="shared" si="7"/>
        <v>7.4160000000000004</v>
      </c>
      <c r="AR96" s="89">
        <f>IFERROR(VLOOKUP(A96,Climatologia!A:U,9+$E$2,FALSE),"")</f>
        <v>7.1833471822125867</v>
      </c>
      <c r="AS96" s="89">
        <f t="shared" si="8"/>
        <v>0.23265281778741365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>
        <v>8.8000000000000007</v>
      </c>
      <c r="AF97" s="51">
        <v>9</v>
      </c>
      <c r="AG97" s="51">
        <v>9</v>
      </c>
      <c r="AH97" s="51">
        <v>8.8000000000000007</v>
      </c>
      <c r="AI97" s="51">
        <v>10.8</v>
      </c>
      <c r="AJ97" s="51"/>
      <c r="AK97" s="51"/>
      <c r="AL97" s="51"/>
      <c r="AM97" s="51"/>
      <c r="AN97" s="51"/>
      <c r="AO97" s="51"/>
      <c r="AP97" s="88">
        <f t="shared" si="6"/>
        <v>16</v>
      </c>
      <c r="AQ97" s="89">
        <f t="shared" si="7"/>
        <v>8.2687500000000007</v>
      </c>
      <c r="AR97" s="89">
        <f>IFERROR(VLOOKUP(A97,Climatologia!A:U,9+$E$2,FALSE),"")</f>
        <v>8.1548920317107179</v>
      </c>
      <c r="AS97" s="89">
        <f t="shared" si="8"/>
        <v>0.11385796828928285</v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>
        <v>8.8000000000000007</v>
      </c>
      <c r="AE98" s="51">
        <v>10.4</v>
      </c>
      <c r="AF98" s="51">
        <v>10.4</v>
      </c>
      <c r="AG98" s="51"/>
      <c r="AH98" s="51">
        <v>4</v>
      </c>
      <c r="AI98" s="51">
        <v>5.4</v>
      </c>
      <c r="AJ98" s="51"/>
      <c r="AK98" s="51"/>
      <c r="AL98" s="51"/>
      <c r="AM98" s="51"/>
      <c r="AN98" s="51"/>
      <c r="AO98" s="51"/>
      <c r="AP98" s="88">
        <f t="shared" si="6"/>
        <v>24</v>
      </c>
      <c r="AQ98" s="89">
        <f t="shared" si="7"/>
        <v>6.6500000000000012</v>
      </c>
      <c r="AR98" s="89">
        <f>IFERROR(VLOOKUP(A98,Climatologia!A:U,9+$E$2,FALSE),"")</f>
        <v>6.5568614692818183</v>
      </c>
      <c r="AS98" s="89">
        <f t="shared" si="8"/>
        <v>9.3138530718182899E-2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>
        <v>10.199999999999999</v>
      </c>
      <c r="AE99" s="51">
        <v>11</v>
      </c>
      <c r="AF99" s="51">
        <v>11.2</v>
      </c>
      <c r="AG99" s="51">
        <v>7.8</v>
      </c>
      <c r="AH99" s="51">
        <v>10.6</v>
      </c>
      <c r="AI99" s="51"/>
      <c r="AJ99" s="51"/>
      <c r="AK99" s="51"/>
      <c r="AL99" s="51"/>
      <c r="AM99" s="51"/>
      <c r="AN99" s="51"/>
      <c r="AO99" s="51"/>
      <c r="AP99" s="88">
        <f t="shared" si="6"/>
        <v>24</v>
      </c>
      <c r="AQ99" s="89">
        <f t="shared" si="7"/>
        <v>9.4499999999999993</v>
      </c>
      <c r="AR99" s="89">
        <f>IFERROR(VLOOKUP(A99,Climatologia!A:U,9+$E$2,FALSE),"")</f>
        <v>8.4968567690188941</v>
      </c>
      <c r="AS99" s="89">
        <f t="shared" si="8"/>
        <v>0.95314323098110521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>
        <v>9.4</v>
      </c>
      <c r="AE100" s="51">
        <v>8.8000000000000007</v>
      </c>
      <c r="AF100" s="51">
        <v>8.6</v>
      </c>
      <c r="AG100" s="51">
        <v>7.4</v>
      </c>
      <c r="AH100" s="51">
        <v>8</v>
      </c>
      <c r="AI100" s="51"/>
      <c r="AJ100" s="51"/>
      <c r="AK100" s="51"/>
      <c r="AL100" s="51"/>
      <c r="AM100" s="51"/>
      <c r="AN100" s="51"/>
      <c r="AO100" s="51"/>
      <c r="AP100" s="88">
        <f t="shared" si="6"/>
        <v>23</v>
      </c>
      <c r="AQ100" s="89">
        <f t="shared" si="7"/>
        <v>7.9869565217391312</v>
      </c>
      <c r="AR100" s="89">
        <f>IFERROR(VLOOKUP(A100,Climatologia!A:U,9+$E$2,FALSE),"")</f>
        <v>7.0594081215067499</v>
      </c>
      <c r="AS100" s="89">
        <f t="shared" si="8"/>
        <v>0.92754840023238128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>
        <v>13</v>
      </c>
      <c r="AE103" s="51">
        <v>13.2</v>
      </c>
      <c r="AF103" s="51">
        <v>13.4</v>
      </c>
      <c r="AG103" s="51">
        <v>15</v>
      </c>
      <c r="AH103" s="51">
        <v>11</v>
      </c>
      <c r="AI103" s="51">
        <v>10.199999999999999</v>
      </c>
      <c r="AJ103" s="51"/>
      <c r="AK103" s="51"/>
      <c r="AL103" s="51"/>
      <c r="AM103" s="51"/>
      <c r="AN103" s="51"/>
      <c r="AO103" s="51"/>
      <c r="AP103" s="88">
        <f t="shared" si="6"/>
        <v>22</v>
      </c>
      <c r="AQ103" s="89">
        <f t="shared" si="7"/>
        <v>12.018181818181818</v>
      </c>
      <c r="AR103" s="89">
        <f>IFERROR(VLOOKUP(A103,Climatologia!A:U,9+$E$2,FALSE),"")</f>
        <v>11.333242057563099</v>
      </c>
      <c r="AS103" s="89">
        <f t="shared" si="8"/>
        <v>0.6849397606187182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>
        <v>4.4000000000000004</v>
      </c>
      <c r="AE104" s="51">
        <v>6.4</v>
      </c>
      <c r="AF104" s="51">
        <v>9.1999999999999993</v>
      </c>
      <c r="AG104" s="51"/>
      <c r="AH104" s="51">
        <v>4.5999999999999996</v>
      </c>
      <c r="AI104" s="51">
        <v>4.4000000000000004</v>
      </c>
      <c r="AJ104" s="51"/>
      <c r="AK104" s="51"/>
      <c r="AL104" s="51"/>
      <c r="AM104" s="51"/>
      <c r="AN104" s="51"/>
      <c r="AO104" s="51"/>
      <c r="AP104" s="88">
        <f t="shared" si="6"/>
        <v>21</v>
      </c>
      <c r="AQ104" s="89">
        <f t="shared" si="7"/>
        <v>4.4181818181818189</v>
      </c>
      <c r="AR104" s="89">
        <f>IFERROR(VLOOKUP(A104,Climatologia!A:U,9+$E$2,FALSE),"")</f>
        <v>6.0789725209080059</v>
      </c>
      <c r="AS104" s="89">
        <f t="shared" si="8"/>
        <v>-1.660790702726187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>
        <v>3.6</v>
      </c>
      <c r="AE105" s="51">
        <v>6.2</v>
      </c>
      <c r="AF105" s="51">
        <v>9</v>
      </c>
      <c r="AG105" s="51">
        <v>3.4</v>
      </c>
      <c r="AH105" s="51">
        <v>5.6</v>
      </c>
      <c r="AI105" s="51">
        <v>4.2</v>
      </c>
      <c r="AJ105" s="51"/>
      <c r="AK105" s="51"/>
      <c r="AL105" s="51"/>
      <c r="AM105" s="51"/>
      <c r="AN105" s="51"/>
      <c r="AO105" s="51"/>
      <c r="AP105" s="88">
        <f t="shared" si="6"/>
        <v>25</v>
      </c>
      <c r="AQ105" s="89">
        <f t="shared" si="7"/>
        <v>5.2719999999999994</v>
      </c>
      <c r="AR105" s="89">
        <f>IFERROR(VLOOKUP(A105,Climatologia!A:U,9+$E$2,FALSE),"")</f>
        <v>6.6867982257377889</v>
      </c>
      <c r="AS105" s="89">
        <f t="shared" si="8"/>
        <v>-1.4147982257377896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>
        <v>11.4</v>
      </c>
      <c r="AE106" s="51">
        <v>11.2</v>
      </c>
      <c r="AF106" s="51">
        <v>12</v>
      </c>
      <c r="AG106" s="51">
        <v>11.4</v>
      </c>
      <c r="AH106" s="51">
        <v>11.8</v>
      </c>
      <c r="AI106" s="51">
        <v>10.4</v>
      </c>
      <c r="AJ106" s="51"/>
      <c r="AK106" s="51"/>
      <c r="AL106" s="51"/>
      <c r="AM106" s="51"/>
      <c r="AN106" s="51"/>
      <c r="AO106" s="51"/>
      <c r="AP106" s="88">
        <f t="shared" si="6"/>
        <v>25</v>
      </c>
      <c r="AQ106" s="89">
        <f t="shared" si="7"/>
        <v>10.975999999999997</v>
      </c>
      <c r="AR106" s="89">
        <f>IFERROR(VLOOKUP(A106,Climatologia!A:U,9+$E$2,FALSE),"")</f>
        <v>9.9225433842748103</v>
      </c>
      <c r="AS106" s="89">
        <f t="shared" si="8"/>
        <v>1.053456615725187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>
        <v>14.8</v>
      </c>
      <c r="AE107" s="51">
        <v>15</v>
      </c>
      <c r="AF107" s="51">
        <v>15</v>
      </c>
      <c r="AG107" s="51">
        <v>14</v>
      </c>
      <c r="AH107" s="51">
        <v>14.4</v>
      </c>
      <c r="AI107" s="51">
        <v>14.6</v>
      </c>
      <c r="AJ107" s="51"/>
      <c r="AK107" s="51"/>
      <c r="AL107" s="51"/>
      <c r="AM107" s="51"/>
      <c r="AN107" s="51"/>
      <c r="AO107" s="51"/>
      <c r="AP107" s="88">
        <f t="shared" si="6"/>
        <v>23</v>
      </c>
      <c r="AQ107" s="89">
        <f t="shared" si="7"/>
        <v>14.6</v>
      </c>
      <c r="AR107" s="89">
        <f>IFERROR(VLOOKUP(A107,Climatologia!A:U,9+$E$2,FALSE),"")</f>
        <v>13.650700267218999</v>
      </c>
      <c r="AS107" s="89">
        <f t="shared" si="8"/>
        <v>0.94929973278100022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>
        <v>12.2</v>
      </c>
      <c r="AE108" s="51">
        <v>13.8</v>
      </c>
      <c r="AF108" s="51">
        <v>13.4</v>
      </c>
      <c r="AG108" s="51">
        <v>12.4</v>
      </c>
      <c r="AH108" s="51">
        <v>12</v>
      </c>
      <c r="AI108" s="51">
        <v>10.8</v>
      </c>
      <c r="AJ108" s="51"/>
      <c r="AK108" s="51"/>
      <c r="AL108" s="51"/>
      <c r="AM108" s="51"/>
      <c r="AN108" s="51"/>
      <c r="AO108" s="51"/>
      <c r="AP108" s="88">
        <f t="shared" si="6"/>
        <v>25</v>
      </c>
      <c r="AQ108" s="89">
        <f t="shared" si="7"/>
        <v>12.128</v>
      </c>
      <c r="AR108" s="89">
        <f>IFERROR(VLOOKUP(A108,Climatologia!A:U,9+$E$2,FALSE),"")</f>
        <v>11.71482091212458</v>
      </c>
      <c r="AS108" s="89">
        <f t="shared" si="8"/>
        <v>0.41317908787542024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>
        <v>15.4</v>
      </c>
      <c r="AE109" s="51">
        <v>15.8</v>
      </c>
      <c r="AF109" s="51">
        <v>15</v>
      </c>
      <c r="AG109" s="51">
        <v>15.2</v>
      </c>
      <c r="AH109" s="51">
        <v>14.6</v>
      </c>
      <c r="AI109" s="51"/>
      <c r="AJ109" s="51"/>
      <c r="AK109" s="51"/>
      <c r="AL109" s="51"/>
      <c r="AM109" s="51"/>
      <c r="AN109" s="51"/>
      <c r="AO109" s="51"/>
      <c r="AP109" s="88">
        <f t="shared" si="6"/>
        <v>24</v>
      </c>
      <c r="AQ109" s="89">
        <f t="shared" si="7"/>
        <v>14.708333333333334</v>
      </c>
      <c r="AR109" s="89">
        <f>IFERROR(VLOOKUP(A109,Climatologia!A:U,9+$E$2,FALSE),"")</f>
        <v>13.486598754951901</v>
      </c>
      <c r="AS109" s="89">
        <f t="shared" si="8"/>
        <v>1.2217345783814331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>
        <v>16</v>
      </c>
      <c r="AE110" s="51">
        <v>16.600000000000001</v>
      </c>
      <c r="AF110" s="51">
        <v>15.6</v>
      </c>
      <c r="AG110" s="51">
        <v>16.2</v>
      </c>
      <c r="AH110" s="51">
        <v>15.4</v>
      </c>
      <c r="AI110" s="51">
        <v>15.4</v>
      </c>
      <c r="AJ110" s="51"/>
      <c r="AK110" s="51"/>
      <c r="AL110" s="51"/>
      <c r="AM110" s="51"/>
      <c r="AN110" s="51"/>
      <c r="AO110" s="51"/>
      <c r="AP110" s="88">
        <f t="shared" si="6"/>
        <v>25</v>
      </c>
      <c r="AQ110" s="89">
        <f t="shared" si="7"/>
        <v>15.423999999999999</v>
      </c>
      <c r="AR110" s="89">
        <f>IFERROR(VLOOKUP(A110,Climatologia!A:U,9+$E$2,FALSE),"")</f>
        <v>13.526900330851941</v>
      </c>
      <c r="AS110" s="89">
        <f t="shared" si="8"/>
        <v>1.8970996691480586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>
        <v>18.600000000000001</v>
      </c>
      <c r="AE111" s="51">
        <v>19.8</v>
      </c>
      <c r="AF111" s="51">
        <v>18.399999999999999</v>
      </c>
      <c r="AG111" s="51">
        <v>18.2</v>
      </c>
      <c r="AH111" s="51">
        <v>17.8</v>
      </c>
      <c r="AI111" s="51">
        <v>19</v>
      </c>
      <c r="AJ111" s="51"/>
      <c r="AK111" s="51"/>
      <c r="AL111" s="51"/>
      <c r="AM111" s="51"/>
      <c r="AN111" s="51"/>
      <c r="AO111" s="51"/>
      <c r="AP111" s="88">
        <f t="shared" si="6"/>
        <v>25</v>
      </c>
      <c r="AQ111" s="89">
        <f t="shared" si="7"/>
        <v>18.391999999999999</v>
      </c>
      <c r="AR111" s="89">
        <f>IFERROR(VLOOKUP(A111,Climatologia!A:U,9+$E$2,FALSE),"")</f>
        <v>16.8655441109516</v>
      </c>
      <c r="AS111" s="89">
        <f t="shared" si="8"/>
        <v>1.5264558890483997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>
        <v>23.4</v>
      </c>
      <c r="AE112" s="51">
        <v>24</v>
      </c>
      <c r="AF112" s="51">
        <v>22.8</v>
      </c>
      <c r="AG112" s="51">
        <v>22.2</v>
      </c>
      <c r="AH112" s="51">
        <v>21.8</v>
      </c>
      <c r="AI112" s="51">
        <v>23.2</v>
      </c>
      <c r="AJ112" s="51"/>
      <c r="AK112" s="51"/>
      <c r="AL112" s="51"/>
      <c r="AM112" s="51"/>
      <c r="AN112" s="51"/>
      <c r="AO112" s="51"/>
      <c r="AP112" s="88">
        <f t="shared" si="6"/>
        <v>25</v>
      </c>
      <c r="AQ112" s="89">
        <f t="shared" si="7"/>
        <v>23.144000000000002</v>
      </c>
      <c r="AR112" s="89">
        <f>IFERROR(VLOOKUP(A112,Climatologia!A:U,9+$E$2,FALSE),"")</f>
        <v>22.5308162078518</v>
      </c>
      <c r="AS112" s="89">
        <f t="shared" si="8"/>
        <v>0.6131837921482024</v>
      </c>
      <c r="AT112" s="90">
        <f t="shared" si="9"/>
        <v>21.8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>
        <v>14.6</v>
      </c>
      <c r="AE113" s="51">
        <v>15.8</v>
      </c>
      <c r="AF113" s="51">
        <v>14.6</v>
      </c>
      <c r="AG113" s="51">
        <v>14.8</v>
      </c>
      <c r="AH113" s="51">
        <v>16</v>
      </c>
      <c r="AI113" s="51">
        <v>16</v>
      </c>
      <c r="AJ113" s="51"/>
      <c r="AK113" s="51"/>
      <c r="AL113" s="51"/>
      <c r="AM113" s="51"/>
      <c r="AN113" s="51"/>
      <c r="AO113" s="51"/>
      <c r="AP113" s="88">
        <f t="shared" si="6"/>
        <v>25</v>
      </c>
      <c r="AQ113" s="89">
        <f t="shared" si="7"/>
        <v>15.236000000000004</v>
      </c>
      <c r="AR113" s="89">
        <f>IFERROR(VLOOKUP(A113,Climatologia!A:U,9+$E$2,FALSE),"")</f>
        <v>15.24686243974787</v>
      </c>
      <c r="AS113" s="89">
        <f t="shared" si="8"/>
        <v>-1.0862439747866048E-2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>
        <v>19.600000000000001</v>
      </c>
      <c r="AE114" s="51">
        <v>21.2</v>
      </c>
      <c r="AF114" s="51">
        <v>19</v>
      </c>
      <c r="AG114" s="51">
        <v>18.399999999999999</v>
      </c>
      <c r="AH114" s="51">
        <v>18.2</v>
      </c>
      <c r="AI114" s="51">
        <v>21</v>
      </c>
      <c r="AJ114" s="51"/>
      <c r="AK114" s="51"/>
      <c r="AL114" s="51"/>
      <c r="AM114" s="51"/>
      <c r="AN114" s="51"/>
      <c r="AO114" s="51"/>
      <c r="AP114" s="88">
        <f t="shared" si="6"/>
        <v>24</v>
      </c>
      <c r="AQ114" s="89">
        <f t="shared" si="7"/>
        <v>19.658333333333335</v>
      </c>
      <c r="AR114" s="89">
        <f>IFERROR(VLOOKUP(A114,Climatologia!A:U,9+$E$2,FALSE),"")</f>
        <v>22.117682198327358</v>
      </c>
      <c r="AS114" s="89">
        <f t="shared" si="8"/>
        <v>-2.4593488649940234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>
        <v>22.8</v>
      </c>
      <c r="AE115" s="51">
        <v>23.6</v>
      </c>
      <c r="AF115" s="51">
        <v>22</v>
      </c>
      <c r="AG115" s="51">
        <v>22.2</v>
      </c>
      <c r="AH115" s="51">
        <v>22.4</v>
      </c>
      <c r="AI115" s="51">
        <v>23</v>
      </c>
      <c r="AJ115" s="51"/>
      <c r="AK115" s="51"/>
      <c r="AL115" s="51"/>
      <c r="AM115" s="51"/>
      <c r="AN115" s="51"/>
      <c r="AO115" s="51"/>
      <c r="AP115" s="88">
        <f t="shared" si="6"/>
        <v>24</v>
      </c>
      <c r="AQ115" s="89">
        <f t="shared" si="7"/>
        <v>22.591666666666665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>
        <v>20.2</v>
      </c>
      <c r="AE116" s="51">
        <v>22.4</v>
      </c>
      <c r="AF116" s="51">
        <v>19.399999999999999</v>
      </c>
      <c r="AG116" s="51">
        <v>23.2</v>
      </c>
      <c r="AH116" s="51">
        <v>21.2</v>
      </c>
      <c r="AI116" s="51">
        <v>20.2</v>
      </c>
      <c r="AJ116" s="51"/>
      <c r="AK116" s="51"/>
      <c r="AL116" s="51"/>
      <c r="AM116" s="51"/>
      <c r="AN116" s="51"/>
      <c r="AO116" s="51"/>
      <c r="AP116" s="88">
        <f t="shared" si="6"/>
        <v>24</v>
      </c>
      <c r="AQ116" s="89">
        <f t="shared" si="7"/>
        <v>20.799999999999994</v>
      </c>
      <c r="AR116" s="89">
        <f>IFERROR(VLOOKUP(A116,Climatologia!A:U,9+$E$2,FALSE),"")</f>
        <v>18.405984169653529</v>
      </c>
      <c r="AS116" s="89">
        <f t="shared" si="8"/>
        <v>2.3940158303464649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>
        <v>22</v>
      </c>
      <c r="AD117" s="51">
        <v>22</v>
      </c>
      <c r="AE117" s="51">
        <v>22.4</v>
      </c>
      <c r="AF117" s="51">
        <v>22.2</v>
      </c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18</v>
      </c>
      <c r="AQ117" s="89">
        <f t="shared" si="7"/>
        <v>22.455555555555552</v>
      </c>
      <c r="AR117" s="89">
        <f>IFERROR(VLOOKUP(A117,Climatologia!A:U,9+$E$2,FALSE),"")</f>
        <v>22.179111790878761</v>
      </c>
      <c r="AS117" s="89">
        <f t="shared" si="8"/>
        <v>0.27644376467679166</v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>
        <v>9.8000000000000007</v>
      </c>
      <c r="AE119" s="51">
        <v>9.1999999999999993</v>
      </c>
      <c r="AF119" s="51">
        <v>8</v>
      </c>
      <c r="AG119" s="51">
        <v>7.2</v>
      </c>
      <c r="AH119" s="51">
        <v>7.6</v>
      </c>
      <c r="AI119" s="51">
        <v>9</v>
      </c>
      <c r="AJ119" s="51"/>
      <c r="AK119" s="51"/>
      <c r="AL119" s="51"/>
      <c r="AM119" s="51"/>
      <c r="AN119" s="51"/>
      <c r="AO119" s="51"/>
      <c r="AP119" s="88">
        <f t="shared" si="6"/>
        <v>25</v>
      </c>
      <c r="AQ119" s="89">
        <f t="shared" si="7"/>
        <v>8.4320000000000004</v>
      </c>
      <c r="AR119" s="89">
        <f>IFERROR(VLOOKUP(A119,Climatologia!A:U,9+$E$2,FALSE),"")</f>
        <v>5.9386052057570407</v>
      </c>
      <c r="AS119" s="89">
        <f t="shared" si="8"/>
        <v>2.4933947942429597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>
        <v>11.1</v>
      </c>
      <c r="AE121" s="51">
        <v>13.4</v>
      </c>
      <c r="AF121" s="51">
        <v>12.7</v>
      </c>
      <c r="AG121" s="51">
        <v>11.8</v>
      </c>
      <c r="AH121" s="51">
        <v>13</v>
      </c>
      <c r="AI121" s="51">
        <v>12.3</v>
      </c>
      <c r="AJ121" s="51"/>
      <c r="AK121" s="51"/>
      <c r="AL121" s="51"/>
      <c r="AM121" s="51"/>
      <c r="AN121" s="51"/>
      <c r="AO121" s="51"/>
      <c r="AP121" s="88">
        <f t="shared" si="6"/>
        <v>24</v>
      </c>
      <c r="AQ121" s="89">
        <f t="shared" si="7"/>
        <v>11.27083333333333</v>
      </c>
      <c r="AR121" s="89">
        <f>IFERROR(VLOOKUP(A121,Climatologia!A:U,9+$E$2,FALSE),"")</f>
        <v>10.81260585836114</v>
      </c>
      <c r="AS121" s="89">
        <f t="shared" si="8"/>
        <v>0.45822747497219041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>
        <v>9.8000000000000007</v>
      </c>
      <c r="AE123" s="51"/>
      <c r="AF123" s="51">
        <v>8.8000000000000007</v>
      </c>
      <c r="AG123" s="51">
        <v>8.6</v>
      </c>
      <c r="AH123" s="51">
        <v>10.199999999999999</v>
      </c>
      <c r="AI123" s="51">
        <v>8.8000000000000007</v>
      </c>
      <c r="AJ123" s="51"/>
      <c r="AK123" s="51"/>
      <c r="AL123" s="51"/>
      <c r="AM123" s="51"/>
      <c r="AN123" s="51"/>
      <c r="AO123" s="51"/>
      <c r="AP123" s="88">
        <f t="shared" si="6"/>
        <v>24</v>
      </c>
      <c r="AQ123" s="89">
        <f t="shared" si="7"/>
        <v>8.65</v>
      </c>
      <c r="AR123" s="89">
        <f>IFERROR(VLOOKUP(A123,Climatologia!A:U,9+$E$2,FALSE),"")</f>
        <v>7.6782114198549483</v>
      </c>
      <c r="AS123" s="89">
        <f t="shared" si="8"/>
        <v>0.97178858014505209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>
        <v>13.5</v>
      </c>
      <c r="AE126" s="51">
        <v>14.3</v>
      </c>
      <c r="AF126" s="51">
        <v>14.2</v>
      </c>
      <c r="AG126" s="51">
        <v>12.7</v>
      </c>
      <c r="AH126" s="51">
        <v>13.8</v>
      </c>
      <c r="AI126" s="51">
        <v>12.9</v>
      </c>
      <c r="AJ126" s="51"/>
      <c r="AK126" s="51"/>
      <c r="AL126" s="51"/>
      <c r="AM126" s="51"/>
      <c r="AN126" s="51"/>
      <c r="AO126" s="51"/>
      <c r="AP126" s="88">
        <f t="shared" si="6"/>
        <v>23</v>
      </c>
      <c r="AQ126" s="89">
        <f t="shared" si="7"/>
        <v>13.278260869565216</v>
      </c>
      <c r="AR126" s="89">
        <f>IFERROR(VLOOKUP(A126,Climatologia!A:U,9+$E$2,FALSE),"")</f>
        <v>11.41155222734255</v>
      </c>
      <c r="AS126" s="89">
        <f t="shared" si="8"/>
        <v>1.8667086422226653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>
        <v>15.8</v>
      </c>
      <c r="AE127" s="51">
        <v>16</v>
      </c>
      <c r="AF127" s="51">
        <v>15.6</v>
      </c>
      <c r="AG127" s="51">
        <v>15.4</v>
      </c>
      <c r="AH127" s="51">
        <v>16.2</v>
      </c>
      <c r="AI127" s="51">
        <v>16.600000000000001</v>
      </c>
      <c r="AJ127" s="51"/>
      <c r="AK127" s="51"/>
      <c r="AL127" s="51"/>
      <c r="AM127" s="51"/>
      <c r="AN127" s="51"/>
      <c r="AO127" s="51"/>
      <c r="AP127" s="88">
        <f t="shared" si="6"/>
        <v>25</v>
      </c>
      <c r="AQ127" s="89">
        <f t="shared" si="7"/>
        <v>15.151999999999997</v>
      </c>
      <c r="AR127" s="89">
        <f>IFERROR(VLOOKUP(A127,Climatologia!A:U,9+$E$2,FALSE),"")</f>
        <v>13.308933276833161</v>
      </c>
      <c r="AS127" s="89">
        <f t="shared" si="8"/>
        <v>1.843066723166837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>
        <v>11</v>
      </c>
      <c r="AE129" s="51">
        <v>11</v>
      </c>
      <c r="AF129" s="51">
        <v>11.6</v>
      </c>
      <c r="AG129" s="51">
        <v>11.4</v>
      </c>
      <c r="AH129" s="51">
        <v>11</v>
      </c>
      <c r="AI129" s="51">
        <v>10.9</v>
      </c>
      <c r="AJ129" s="51"/>
      <c r="AK129" s="51"/>
      <c r="AL129" s="51"/>
      <c r="AM129" s="51"/>
      <c r="AN129" s="51"/>
      <c r="AO129" s="51"/>
      <c r="AP129" s="88">
        <f t="shared" si="6"/>
        <v>25</v>
      </c>
      <c r="AQ129" s="89">
        <f t="shared" si="7"/>
        <v>10.536</v>
      </c>
      <c r="AR129" s="89">
        <f>IFERROR(VLOOKUP(A129,Climatologia!A:U,9+$E$2,FALSE),"")</f>
        <v>9.236293266429529</v>
      </c>
      <c r="AS129" s="89">
        <f t="shared" si="8"/>
        <v>1.2997067335704706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>
        <v>10.6</v>
      </c>
      <c r="AD130" s="51">
        <v>11</v>
      </c>
      <c r="AE130" s="51">
        <v>10.6</v>
      </c>
      <c r="AF130" s="51">
        <v>11</v>
      </c>
      <c r="AG130" s="51">
        <v>11.8</v>
      </c>
      <c r="AH130" s="51">
        <v>11.2</v>
      </c>
      <c r="AI130" s="51">
        <v>13.2</v>
      </c>
      <c r="AJ130" s="51"/>
      <c r="AK130" s="51"/>
      <c r="AL130" s="51"/>
      <c r="AM130" s="51"/>
      <c r="AN130" s="51"/>
      <c r="AO130" s="51"/>
      <c r="AP130" s="88">
        <f t="shared" si="6"/>
        <v>25</v>
      </c>
      <c r="AQ130" s="89">
        <f t="shared" si="7"/>
        <v>11.2</v>
      </c>
      <c r="AR130" s="89">
        <f>IFERROR(VLOOKUP(A130,Climatologia!A:U,9+$E$2,FALSE),"")</f>
        <v>10.41098422703651</v>
      </c>
      <c r="AS130" s="89">
        <f t="shared" si="8"/>
        <v>0.78901577296348968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>
        <v>17.8</v>
      </c>
      <c r="AE131" s="51">
        <v>18.600000000000001</v>
      </c>
      <c r="AF131" s="51">
        <v>16.399999999999999</v>
      </c>
      <c r="AG131" s="51">
        <v>17</v>
      </c>
      <c r="AH131" s="51">
        <v>16.8</v>
      </c>
      <c r="AI131" s="51">
        <v>17.399999999999999</v>
      </c>
      <c r="AJ131" s="51"/>
      <c r="AK131" s="51"/>
      <c r="AL131" s="51"/>
      <c r="AM131" s="51"/>
      <c r="AN131" s="51"/>
      <c r="AO131" s="51"/>
      <c r="AP131" s="88">
        <f t="shared" si="6"/>
        <v>25</v>
      </c>
      <c r="AQ131" s="89">
        <f t="shared" si="7"/>
        <v>16.744</v>
      </c>
      <c r="AR131" s="89">
        <f>IFERROR(VLOOKUP(A131,Climatologia!A:U,9+$E$2,FALSE),"")</f>
        <v>14.78700374480772</v>
      </c>
      <c r="AS131" s="89">
        <f t="shared" si="8"/>
        <v>1.9569962551922799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>
        <v>6</v>
      </c>
      <c r="AE132" s="51">
        <v>6.2</v>
      </c>
      <c r="AF132" s="51">
        <v>5.8</v>
      </c>
      <c r="AG132" s="51">
        <v>6.4</v>
      </c>
      <c r="AH132" s="51">
        <v>6</v>
      </c>
      <c r="AI132" s="51">
        <v>6</v>
      </c>
      <c r="AJ132" s="51"/>
      <c r="AK132" s="51"/>
      <c r="AL132" s="51"/>
      <c r="AM132" s="51"/>
      <c r="AN132" s="51"/>
      <c r="AO132" s="51"/>
      <c r="AP132" s="88">
        <f t="shared" si="6"/>
        <v>25</v>
      </c>
      <c r="AQ132" s="89">
        <f t="shared" si="7"/>
        <v>5.6360000000000001</v>
      </c>
      <c r="AR132" s="89">
        <f>IFERROR(VLOOKUP(A132,Climatologia!A:U,9+$E$2,FALSE),"")</f>
        <v>5.8955999815287932</v>
      </c>
      <c r="AS132" s="89">
        <f t="shared" si="8"/>
        <v>-0.25959998152879304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>
        <v>15.8</v>
      </c>
      <c r="AE134" s="51">
        <v>17</v>
      </c>
      <c r="AF134" s="51">
        <v>15.4</v>
      </c>
      <c r="AG134" s="51">
        <v>16.8</v>
      </c>
      <c r="AH134" s="51">
        <v>16</v>
      </c>
      <c r="AI134" s="51">
        <v>16.399999999999999</v>
      </c>
      <c r="AJ134" s="51"/>
      <c r="AK134" s="51"/>
      <c r="AL134" s="51"/>
      <c r="AM134" s="51"/>
      <c r="AN134" s="51"/>
      <c r="AO134" s="51"/>
      <c r="AP134" s="88">
        <f t="shared" si="11"/>
        <v>23</v>
      </c>
      <c r="AQ134" s="89">
        <f t="shared" si="12"/>
        <v>15.747826086956524</v>
      </c>
      <c r="AR134" s="89">
        <f>IFERROR(VLOOKUP(A134,Climatologia!A:U,9+$E$2,FALSE),"")</f>
        <v>13.620393029291799</v>
      </c>
      <c r="AS134" s="89">
        <f t="shared" si="13"/>
        <v>2.1274330576647245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>
        <v>10.9</v>
      </c>
      <c r="AE135" s="51">
        <v>10</v>
      </c>
      <c r="AF135" s="51">
        <v>11.4</v>
      </c>
      <c r="AG135" s="51">
        <v>11.3</v>
      </c>
      <c r="AH135" s="51">
        <v>12</v>
      </c>
      <c r="AI135" s="51">
        <v>12</v>
      </c>
      <c r="AJ135" s="51"/>
      <c r="AK135" s="51"/>
      <c r="AL135" s="51"/>
      <c r="AM135" s="51"/>
      <c r="AN135" s="51"/>
      <c r="AO135" s="51"/>
      <c r="AP135" s="88">
        <f t="shared" si="11"/>
        <v>25</v>
      </c>
      <c r="AQ135" s="89">
        <f t="shared" si="12"/>
        <v>10.936</v>
      </c>
      <c r="AR135" s="89">
        <f>IFERROR(VLOOKUP(A135,Climatologia!A:U,9+$E$2,FALSE),"")</f>
        <v>9.1065439288804146</v>
      </c>
      <c r="AS135" s="89">
        <f t="shared" si="13"/>
        <v>1.8294560711195853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>
        <v>15</v>
      </c>
      <c r="AE136" s="51"/>
      <c r="AF136" s="51"/>
      <c r="AG136" s="51">
        <v>14.6</v>
      </c>
      <c r="AH136" s="51">
        <v>14</v>
      </c>
      <c r="AI136" s="51">
        <v>14.6</v>
      </c>
      <c r="AJ136" s="51"/>
      <c r="AK136" s="51"/>
      <c r="AL136" s="51"/>
      <c r="AM136" s="51"/>
      <c r="AN136" s="51"/>
      <c r="AO136" s="51"/>
      <c r="AP136" s="88">
        <f t="shared" si="11"/>
        <v>23</v>
      </c>
      <c r="AQ136" s="89">
        <f t="shared" si="12"/>
        <v>13.85217391304348</v>
      </c>
      <c r="AR136" s="89">
        <f>IFERROR(VLOOKUP(A136,Climatologia!A:U,9+$E$2,FALSE),"")</f>
        <v>12.59594623655914</v>
      </c>
      <c r="AS136" s="89">
        <f t="shared" si="13"/>
        <v>1.2562276764843396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>
        <v>10.8</v>
      </c>
      <c r="AE137" s="51">
        <v>10.6</v>
      </c>
      <c r="AF137" s="51">
        <v>11.4</v>
      </c>
      <c r="AG137" s="51">
        <v>10</v>
      </c>
      <c r="AH137" s="51">
        <v>11.2</v>
      </c>
      <c r="AI137" s="51">
        <v>10.4</v>
      </c>
      <c r="AJ137" s="51"/>
      <c r="AK137" s="51"/>
      <c r="AL137" s="51"/>
      <c r="AM137" s="51"/>
      <c r="AN137" s="51"/>
      <c r="AO137" s="51"/>
      <c r="AP137" s="88">
        <f t="shared" si="11"/>
        <v>25</v>
      </c>
      <c r="AQ137" s="89">
        <f t="shared" si="12"/>
        <v>9.9759999999999991</v>
      </c>
      <c r="AR137" s="89">
        <f>IFERROR(VLOOKUP(A137,Climatologia!A:U,9+$E$2,FALSE),"")</f>
        <v>8.5766227213911144</v>
      </c>
      <c r="AS137" s="89">
        <f t="shared" si="13"/>
        <v>1.3993772786088847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>
        <v>7.8</v>
      </c>
      <c r="AE138" s="51">
        <v>7.2</v>
      </c>
      <c r="AF138" s="51">
        <v>7.6</v>
      </c>
      <c r="AG138" s="51">
        <v>9</v>
      </c>
      <c r="AH138" s="51">
        <v>8.8000000000000007</v>
      </c>
      <c r="AI138" s="51">
        <v>8.1999999999999993</v>
      </c>
      <c r="AJ138" s="51"/>
      <c r="AK138" s="51"/>
      <c r="AL138" s="51"/>
      <c r="AM138" s="51"/>
      <c r="AN138" s="51"/>
      <c r="AO138" s="51"/>
      <c r="AP138" s="88">
        <f t="shared" si="11"/>
        <v>25</v>
      </c>
      <c r="AQ138" s="89">
        <f t="shared" si="12"/>
        <v>7.7839999999999998</v>
      </c>
      <c r="AR138" s="89">
        <f>IFERROR(VLOOKUP(A138,Climatologia!A:U,9+$E$2,FALSE),"")</f>
        <v>6.6337893956247704</v>
      </c>
      <c r="AS138" s="89">
        <f t="shared" si="13"/>
        <v>1.1502106043752294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>
        <v>24.8</v>
      </c>
      <c r="AE139" s="51">
        <v>25.4</v>
      </c>
      <c r="AF139" s="51">
        <v>26.2</v>
      </c>
      <c r="AG139" s="51">
        <v>25.6</v>
      </c>
      <c r="AH139" s="51">
        <v>25.2</v>
      </c>
      <c r="AI139" s="51">
        <v>25</v>
      </c>
      <c r="AJ139" s="51"/>
      <c r="AK139" s="51"/>
      <c r="AL139" s="51"/>
      <c r="AM139" s="51"/>
      <c r="AN139" s="51"/>
      <c r="AO139" s="51"/>
      <c r="AP139" s="88">
        <f t="shared" si="11"/>
        <v>25</v>
      </c>
      <c r="AQ139" s="89">
        <f t="shared" si="12"/>
        <v>24.815999999999999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>
        <v>13.2</v>
      </c>
      <c r="AE140" s="51">
        <v>13</v>
      </c>
      <c r="AF140" s="51">
        <v>12.8</v>
      </c>
      <c r="AG140" s="51">
        <v>11.4</v>
      </c>
      <c r="AH140" s="51">
        <v>10.8</v>
      </c>
      <c r="AI140" s="51">
        <v>13</v>
      </c>
      <c r="AJ140" s="51"/>
      <c r="AK140" s="51"/>
      <c r="AL140" s="51"/>
      <c r="AM140" s="51"/>
      <c r="AN140" s="51"/>
      <c r="AO140" s="51"/>
      <c r="AP140" s="88">
        <f t="shared" si="11"/>
        <v>25</v>
      </c>
      <c r="AQ140" s="89">
        <f t="shared" si="12"/>
        <v>11.711999999999998</v>
      </c>
      <c r="AR140" s="89">
        <f>IFERROR(VLOOKUP(A140,Climatologia!A:U,9+$E$2,FALSE),"")</f>
        <v>11.08632974910395</v>
      </c>
      <c r="AS140" s="89">
        <f t="shared" si="13"/>
        <v>0.62567025089604833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>
        <v>15.6</v>
      </c>
      <c r="AE141" s="51">
        <v>15</v>
      </c>
      <c r="AF141" s="51">
        <v>15.2</v>
      </c>
      <c r="AG141" s="51">
        <v>15</v>
      </c>
      <c r="AH141" s="51">
        <v>15.2</v>
      </c>
      <c r="AI141" s="51"/>
      <c r="AJ141" s="51"/>
      <c r="AK141" s="51"/>
      <c r="AL141" s="51"/>
      <c r="AM141" s="51"/>
      <c r="AN141" s="51"/>
      <c r="AO141" s="51"/>
      <c r="AP141" s="88">
        <f t="shared" si="11"/>
        <v>24</v>
      </c>
      <c r="AQ141" s="89">
        <f t="shared" si="12"/>
        <v>15.016666666666666</v>
      </c>
      <c r="AR141" s="89">
        <f>IFERROR(VLOOKUP(A141,Climatologia!A:U,9+$E$2,FALSE),"")</f>
        <v>14.39065028161802</v>
      </c>
      <c r="AS141" s="89">
        <f t="shared" si="13"/>
        <v>0.62601638504864532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>
        <v>25.2</v>
      </c>
      <c r="AE142" s="51">
        <v>25.4</v>
      </c>
      <c r="AF142" s="51">
        <v>23.4</v>
      </c>
      <c r="AG142" s="51">
        <v>24.8</v>
      </c>
      <c r="AH142" s="51">
        <v>24.4</v>
      </c>
      <c r="AI142" s="51">
        <v>25.6</v>
      </c>
      <c r="AJ142" s="51"/>
      <c r="AK142" s="51"/>
      <c r="AL142" s="51"/>
      <c r="AM142" s="51"/>
      <c r="AN142" s="51"/>
      <c r="AO142" s="51"/>
      <c r="AP142" s="88">
        <f t="shared" si="11"/>
        <v>25</v>
      </c>
      <c r="AQ142" s="89">
        <f t="shared" si="12"/>
        <v>24.231999999999999</v>
      </c>
      <c r="AR142" s="89">
        <f>IFERROR(VLOOKUP(A142,Climatologia!A:U,9+$E$2,FALSE),"")</f>
        <v>22.55356989247311</v>
      </c>
      <c r="AS142" s="89">
        <f t="shared" si="13"/>
        <v>1.6784301075268893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>
        <v>21.2</v>
      </c>
      <c r="AE143" s="51">
        <v>20.8</v>
      </c>
      <c r="AF143" s="51">
        <v>19.8</v>
      </c>
      <c r="AG143" s="51">
        <v>20.6</v>
      </c>
      <c r="AH143" s="51">
        <v>20.2</v>
      </c>
      <c r="AI143" s="51">
        <v>20</v>
      </c>
      <c r="AJ143" s="51"/>
      <c r="AK143" s="51"/>
      <c r="AL143" s="51"/>
      <c r="AM143" s="51"/>
      <c r="AN143" s="51"/>
      <c r="AO143" s="51"/>
      <c r="AP143" s="88">
        <f t="shared" si="11"/>
        <v>25</v>
      </c>
      <c r="AQ143" s="89">
        <f t="shared" si="12"/>
        <v>20.368000000000006</v>
      </c>
      <c r="AR143" s="89">
        <f>IFERROR(VLOOKUP(A143,Climatologia!A:U,9+$E$2,FALSE),"")</f>
        <v>19.318198924731181</v>
      </c>
      <c r="AS143" s="89">
        <f t="shared" si="13"/>
        <v>1.0498010752688245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>
        <v>26.2</v>
      </c>
      <c r="AE144" s="51">
        <v>25.4</v>
      </c>
      <c r="AF144" s="51">
        <v>23.8</v>
      </c>
      <c r="AG144" s="51">
        <v>24.2</v>
      </c>
      <c r="AH144" s="51">
        <v>24</v>
      </c>
      <c r="AI144" s="51">
        <v>24.8</v>
      </c>
      <c r="AJ144" s="51"/>
      <c r="AK144" s="51"/>
      <c r="AL144" s="51"/>
      <c r="AM144" s="51"/>
      <c r="AN144" s="51"/>
      <c r="AO144" s="51"/>
      <c r="AP144" s="88">
        <f t="shared" si="11"/>
        <v>25</v>
      </c>
      <c r="AQ144" s="89">
        <f t="shared" si="12"/>
        <v>24.56</v>
      </c>
      <c r="AR144" s="89">
        <f>IFERROR(VLOOKUP(A144,Climatologia!A:U,9+$E$2,FALSE),"")</f>
        <v>23.19416875486397</v>
      </c>
      <c r="AS144" s="89">
        <f t="shared" si="13"/>
        <v>1.3658312451360288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>
        <v>16.399999999999999</v>
      </c>
      <c r="AE145" s="51">
        <v>17.8</v>
      </c>
      <c r="AF145" s="51">
        <v>18</v>
      </c>
      <c r="AG145" s="51">
        <v>17.8</v>
      </c>
      <c r="AH145" s="51">
        <v>16.8</v>
      </c>
      <c r="AI145" s="51">
        <v>16.399999999999999</v>
      </c>
      <c r="AJ145" s="51"/>
      <c r="AK145" s="51"/>
      <c r="AL145" s="51"/>
      <c r="AM145" s="51"/>
      <c r="AN145" s="51"/>
      <c r="AO145" s="51"/>
      <c r="AP145" s="88">
        <f t="shared" si="11"/>
        <v>25</v>
      </c>
      <c r="AQ145" s="89">
        <f t="shared" si="12"/>
        <v>17.352000000000004</v>
      </c>
      <c r="AR145" s="89">
        <f>IFERROR(VLOOKUP(A145,Climatologia!A:U,9+$E$2,FALSE),"")</f>
        <v>15.79466943151284</v>
      </c>
      <c r="AS145" s="89">
        <f t="shared" si="13"/>
        <v>1.5573305684871634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>
        <v>14.2</v>
      </c>
      <c r="AE146" s="51">
        <v>14.4</v>
      </c>
      <c r="AF146" s="51">
        <v>15.2</v>
      </c>
      <c r="AG146" s="51">
        <v>15.6</v>
      </c>
      <c r="AH146" s="51">
        <v>14.4</v>
      </c>
      <c r="AI146" s="51">
        <v>12.4</v>
      </c>
      <c r="AJ146" s="51"/>
      <c r="AK146" s="51"/>
      <c r="AL146" s="51"/>
      <c r="AM146" s="51"/>
      <c r="AN146" s="51"/>
      <c r="AO146" s="51"/>
      <c r="AP146" s="88">
        <f t="shared" si="11"/>
        <v>23</v>
      </c>
      <c r="AQ146" s="89">
        <f t="shared" si="12"/>
        <v>13.747826086956518</v>
      </c>
      <c r="AR146" s="89">
        <f>IFERROR(VLOOKUP(A146,Climatologia!A:U,9+$E$2,FALSE),"")</f>
        <v>13.67439615180003</v>
      </c>
      <c r="AS146" s="89">
        <f t="shared" si="13"/>
        <v>7.3429935156488213E-2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18.399999999999999</v>
      </c>
      <c r="AF147" s="51">
        <v>17.399999999999999</v>
      </c>
      <c r="AG147" s="51">
        <v>16.8</v>
      </c>
      <c r="AH147" s="51">
        <v>16.600000000000001</v>
      </c>
      <c r="AI147" s="51"/>
      <c r="AJ147" s="51"/>
      <c r="AK147" s="51"/>
      <c r="AL147" s="51"/>
      <c r="AM147" s="51"/>
      <c r="AN147" s="51"/>
      <c r="AO147" s="51"/>
      <c r="AP147" s="88">
        <f t="shared" si="11"/>
        <v>24</v>
      </c>
      <c r="AQ147" s="89">
        <f t="shared" si="12"/>
        <v>16.8</v>
      </c>
      <c r="AR147" s="89">
        <f>IFERROR(VLOOKUP(A147,Climatologia!A:U,9+$E$2,FALSE),"")</f>
        <v>14.54256377143717</v>
      </c>
      <c r="AS147" s="89">
        <f t="shared" si="13"/>
        <v>2.2574362285628311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>
        <v>26</v>
      </c>
      <c r="AE150" s="51">
        <v>25.8</v>
      </c>
      <c r="AF150" s="51">
        <v>24.6</v>
      </c>
      <c r="AG150" s="51">
        <v>24.6</v>
      </c>
      <c r="AH150" s="51">
        <v>24.2</v>
      </c>
      <c r="AI150" s="51">
        <v>26.2</v>
      </c>
      <c r="AJ150" s="51"/>
      <c r="AK150" s="51"/>
      <c r="AL150" s="51"/>
      <c r="AM150" s="51"/>
      <c r="AN150" s="51"/>
      <c r="AO150" s="51"/>
      <c r="AP150" s="88">
        <f t="shared" si="11"/>
        <v>24</v>
      </c>
      <c r="AQ150" s="89">
        <f t="shared" si="12"/>
        <v>24.908333333333335</v>
      </c>
      <c r="AR150" s="89">
        <f>IFERROR(VLOOKUP(A150,Climatologia!A:U,9+$E$2,FALSE),"")</f>
        <v>22.358974539611911</v>
      </c>
      <c r="AS150" s="89">
        <f t="shared" si="13"/>
        <v>2.5493587937214244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>
        <v>25</v>
      </c>
      <c r="AE151" s="51">
        <v>25.6</v>
      </c>
      <c r="AF151" s="51"/>
      <c r="AG151" s="51"/>
      <c r="AH151" s="51">
        <v>22.8</v>
      </c>
      <c r="AI151" s="51">
        <v>25</v>
      </c>
      <c r="AJ151" s="51"/>
      <c r="AK151" s="51"/>
      <c r="AL151" s="51"/>
      <c r="AM151" s="51"/>
      <c r="AN151" s="51"/>
      <c r="AO151" s="51"/>
      <c r="AP151" s="88">
        <f t="shared" si="11"/>
        <v>22</v>
      </c>
      <c r="AQ151" s="89">
        <f t="shared" si="12"/>
        <v>24.463636363636361</v>
      </c>
      <c r="AR151" s="89">
        <f>IFERROR(VLOOKUP(A151,Climatologia!A:U,9+$E$2,FALSE),"")</f>
        <v>23.435096179938832</v>
      </c>
      <c r="AS151" s="89">
        <f t="shared" si="13"/>
        <v>1.0285401836975296</v>
      </c>
      <c r="AT151" s="90">
        <f t="shared" si="14"/>
        <v>22.8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5.8000000000000007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>
        <v>14.2</v>
      </c>
      <c r="AE152" s="51">
        <v>17</v>
      </c>
      <c r="AF152" s="51">
        <v>15.8</v>
      </c>
      <c r="AG152" s="51">
        <v>15.6</v>
      </c>
      <c r="AH152" s="51">
        <v>15.2</v>
      </c>
      <c r="AI152" s="51">
        <v>15.4</v>
      </c>
      <c r="AJ152" s="51"/>
      <c r="AK152" s="51"/>
      <c r="AL152" s="51"/>
      <c r="AM152" s="51"/>
      <c r="AN152" s="51"/>
      <c r="AO152" s="51"/>
      <c r="AP152" s="88">
        <f t="shared" si="11"/>
        <v>25</v>
      </c>
      <c r="AQ152" s="89">
        <f t="shared" si="12"/>
        <v>15.063999999999998</v>
      </c>
      <c r="AR152" s="89">
        <f>IFERROR(VLOOKUP(A152,Climatologia!A:U,9+$E$2,FALSE),"")</f>
        <v>14.28172753446659</v>
      </c>
      <c r="AS152" s="89">
        <f t="shared" si="13"/>
        <v>0.78227246553340812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>
        <v>19.399999999999999</v>
      </c>
      <c r="AD153" s="51">
        <v>20.6</v>
      </c>
      <c r="AE153" s="51">
        <v>21.6</v>
      </c>
      <c r="AF153" s="51">
        <v>21.2</v>
      </c>
      <c r="AG153" s="51">
        <v>22.4</v>
      </c>
      <c r="AH153" s="51">
        <v>20.8</v>
      </c>
      <c r="AI153" s="51">
        <v>20.8</v>
      </c>
      <c r="AJ153" s="51"/>
      <c r="AK153" s="51"/>
      <c r="AL153" s="51"/>
      <c r="AM153" s="51"/>
      <c r="AN153" s="51"/>
      <c r="AO153" s="51"/>
      <c r="AP153" s="88">
        <f t="shared" si="11"/>
        <v>25</v>
      </c>
      <c r="AQ153" s="89">
        <f t="shared" si="12"/>
        <v>20.944000000000003</v>
      </c>
      <c r="AR153" s="89">
        <f>IFERROR(VLOOKUP(A153,Climatologia!A:U,9+$E$2,FALSE),"")</f>
        <v>19.33438505823419</v>
      </c>
      <c r="AS153" s="89">
        <f t="shared" si="13"/>
        <v>1.6096149417658125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>
        <v>17</v>
      </c>
      <c r="AE154" s="51">
        <v>17.600000000000001</v>
      </c>
      <c r="AF154" s="51">
        <v>17</v>
      </c>
      <c r="AG154" s="51">
        <v>17.8</v>
      </c>
      <c r="AH154" s="51">
        <v>17.8</v>
      </c>
      <c r="AI154" s="51">
        <v>16</v>
      </c>
      <c r="AJ154" s="51"/>
      <c r="AK154" s="51"/>
      <c r="AL154" s="51"/>
      <c r="AM154" s="51"/>
      <c r="AN154" s="51"/>
      <c r="AO154" s="51"/>
      <c r="AP154" s="88">
        <f t="shared" si="11"/>
        <v>25</v>
      </c>
      <c r="AQ154" s="89">
        <f t="shared" si="12"/>
        <v>16.512</v>
      </c>
      <c r="AR154" s="89">
        <f>IFERROR(VLOOKUP(A154,Climatologia!A:U,9+$E$2,FALSE),"")</f>
        <v>15.34016874367072</v>
      </c>
      <c r="AS154" s="89">
        <f t="shared" si="13"/>
        <v>1.1718312563292805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>
        <v>19.399999999999999</v>
      </c>
      <c r="AE155" s="51">
        <v>19.2</v>
      </c>
      <c r="AF155" s="51">
        <v>18.8</v>
      </c>
      <c r="AG155" s="51">
        <v>19</v>
      </c>
      <c r="AH155" s="51">
        <v>18.600000000000001</v>
      </c>
      <c r="AI155" s="51">
        <v>19.399999999999999</v>
      </c>
      <c r="AJ155" s="51"/>
      <c r="AK155" s="51"/>
      <c r="AL155" s="51"/>
      <c r="AM155" s="51"/>
      <c r="AN155" s="51"/>
      <c r="AO155" s="51"/>
      <c r="AP155" s="88">
        <f t="shared" si="11"/>
        <v>25</v>
      </c>
      <c r="AQ155" s="89">
        <f t="shared" si="12"/>
        <v>18.911999999999999</v>
      </c>
      <c r="AR155" s="89">
        <f>IFERROR(VLOOKUP(A155,Climatologia!A:U,9+$E$2,FALSE),"")</f>
        <v>17.753898511573709</v>
      </c>
      <c r="AS155" s="89">
        <f t="shared" si="13"/>
        <v>1.1581014884262899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>
        <v>6.8</v>
      </c>
      <c r="AE157" s="51">
        <v>8</v>
      </c>
      <c r="AF157" s="51">
        <v>8.4</v>
      </c>
      <c r="AG157" s="51">
        <v>8.6</v>
      </c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23</v>
      </c>
      <c r="AQ157" s="89">
        <f t="shared" si="12"/>
        <v>9.8956521739130441</v>
      </c>
      <c r="AR157" s="89">
        <f>IFERROR(VLOOKUP(A157,Climatologia!A:U,9+$E$2,FALSE),"")</f>
        <v>9.0629738863287237</v>
      </c>
      <c r="AS157" s="89">
        <f t="shared" si="13"/>
        <v>0.83267828758432039</v>
      </c>
      <c r="AT157" s="90">
        <f t="shared" si="14"/>
        <v>6.8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0.79999999999999982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>
        <v>13.4</v>
      </c>
      <c r="AE158" s="51">
        <v>13.4</v>
      </c>
      <c r="AF158" s="51">
        <v>13.4</v>
      </c>
      <c r="AG158" s="51">
        <v>13.6</v>
      </c>
      <c r="AH158" s="51">
        <v>15.2</v>
      </c>
      <c r="AI158" s="51">
        <v>13.2</v>
      </c>
      <c r="AJ158" s="51"/>
      <c r="AK158" s="51"/>
      <c r="AL158" s="51"/>
      <c r="AM158" s="51"/>
      <c r="AN158" s="51"/>
      <c r="AO158" s="51"/>
      <c r="AP158" s="88">
        <f t="shared" si="11"/>
        <v>25</v>
      </c>
      <c r="AQ158" s="89">
        <f t="shared" si="12"/>
        <v>13.927999999999997</v>
      </c>
      <c r="AR158" s="89">
        <f>IFERROR(VLOOKUP(A158,Climatologia!A:U,9+$E$2,FALSE),"")</f>
        <v>13.99486833930705</v>
      </c>
      <c r="AS158" s="89">
        <f t="shared" si="13"/>
        <v>-6.6868339307053049E-2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>
        <v>20.8</v>
      </c>
      <c r="AE159" s="51">
        <v>22.4</v>
      </c>
      <c r="AF159" s="51">
        <v>21.2</v>
      </c>
      <c r="AG159" s="51">
        <v>22.4</v>
      </c>
      <c r="AH159" s="51">
        <v>22</v>
      </c>
      <c r="AI159" s="51">
        <v>21.4</v>
      </c>
      <c r="AJ159" s="51"/>
      <c r="AK159" s="51"/>
      <c r="AL159" s="51"/>
      <c r="AM159" s="51"/>
      <c r="AN159" s="51"/>
      <c r="AO159" s="51"/>
      <c r="AP159" s="88">
        <f t="shared" si="11"/>
        <v>25</v>
      </c>
      <c r="AQ159" s="89">
        <f t="shared" si="12"/>
        <v>20.943999999999996</v>
      </c>
      <c r="AR159" s="89">
        <f>IFERROR(VLOOKUP(A159,Climatologia!A:U,9+$E$2,FALSE),"")</f>
        <v>19.80259102706712</v>
      </c>
      <c r="AS159" s="89">
        <f t="shared" si="13"/>
        <v>1.1414089729328758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>
        <v>6.6</v>
      </c>
      <c r="AE160" s="51">
        <v>7.6</v>
      </c>
      <c r="AF160" s="51">
        <v>7.4</v>
      </c>
      <c r="AG160" s="51">
        <v>5.4</v>
      </c>
      <c r="AH160" s="51">
        <v>6.4</v>
      </c>
      <c r="AI160" s="51">
        <v>7.2</v>
      </c>
      <c r="AJ160" s="51"/>
      <c r="AK160" s="51"/>
      <c r="AL160" s="51"/>
      <c r="AM160" s="51"/>
      <c r="AN160" s="51"/>
      <c r="AO160" s="51"/>
      <c r="AP160" s="88">
        <f t="shared" si="11"/>
        <v>25</v>
      </c>
      <c r="AQ160" s="89">
        <f t="shared" si="12"/>
        <v>6.2160000000000002</v>
      </c>
      <c r="AR160" s="89">
        <f>IFERROR(VLOOKUP(A160,Climatologia!A:U,9+$E$2,FALSE),"")</f>
        <v>5.545852566091324</v>
      </c>
      <c r="AS160" s="89">
        <f t="shared" si="13"/>
        <v>0.67014743390867615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>
        <v>21.2</v>
      </c>
      <c r="AE161" s="51">
        <v>21.4</v>
      </c>
      <c r="AF161" s="51">
        <v>21.2</v>
      </c>
      <c r="AG161" s="51">
        <v>22.2</v>
      </c>
      <c r="AH161" s="51">
        <v>20.399999999999999</v>
      </c>
      <c r="AI161" s="51">
        <v>21.6</v>
      </c>
      <c r="AJ161" s="51"/>
      <c r="AK161" s="51"/>
      <c r="AL161" s="51"/>
      <c r="AM161" s="51"/>
      <c r="AN161" s="51"/>
      <c r="AO161" s="51"/>
      <c r="AP161" s="88">
        <f t="shared" si="11"/>
        <v>25</v>
      </c>
      <c r="AQ161" s="89">
        <f t="shared" si="12"/>
        <v>21.247999999999998</v>
      </c>
      <c r="AR161" s="89">
        <f>IFERROR(VLOOKUP(A161,Climatologia!A:U,9+$E$2,FALSE),"")</f>
        <v>20.699024154274429</v>
      </c>
      <c r="AS161" s="89">
        <f t="shared" si="13"/>
        <v>0.54897584572556823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>
        <v>14</v>
      </c>
      <c r="AE162" s="51">
        <v>14</v>
      </c>
      <c r="AF162" s="51">
        <v>14.2</v>
      </c>
      <c r="AG162" s="51">
        <v>14</v>
      </c>
      <c r="AH162" s="51">
        <v>15</v>
      </c>
      <c r="AI162" s="51">
        <v>16</v>
      </c>
      <c r="AJ162" s="51"/>
      <c r="AK162" s="51"/>
      <c r="AL162" s="51"/>
      <c r="AM162" s="51"/>
      <c r="AN162" s="51"/>
      <c r="AO162" s="51"/>
      <c r="AP162" s="88">
        <f t="shared" si="11"/>
        <v>25</v>
      </c>
      <c r="AQ162" s="89">
        <f t="shared" si="12"/>
        <v>15</v>
      </c>
      <c r="AR162" s="89">
        <f>IFERROR(VLOOKUP(A162,Climatologia!A:U,9+$E$2,FALSE),"")</f>
        <v>13.81981919292388</v>
      </c>
      <c r="AS162" s="89">
        <f t="shared" si="13"/>
        <v>1.1801808070761197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</v>
      </c>
      <c r="AG163" s="51">
        <v>18</v>
      </c>
      <c r="AH163" s="51">
        <v>19.600000000000001</v>
      </c>
      <c r="AI163" s="51">
        <v>18</v>
      </c>
      <c r="AJ163" s="51"/>
      <c r="AK163" s="51"/>
      <c r="AL163" s="51"/>
      <c r="AM163" s="51"/>
      <c r="AN163" s="51"/>
      <c r="AO163" s="51"/>
      <c r="AP163" s="88">
        <f t="shared" si="11"/>
        <v>25</v>
      </c>
      <c r="AQ163" s="89">
        <f t="shared" si="12"/>
        <v>18.568000000000005</v>
      </c>
      <c r="AR163" s="89">
        <f>IFERROR(VLOOKUP(A163,Climatologia!A:U,9+$E$2,FALSE),"")</f>
        <v>17.92353706847765</v>
      </c>
      <c r="AS163" s="89">
        <f t="shared" si="13"/>
        <v>0.64446293152235512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>
        <v>18.399999999999999</v>
      </c>
      <c r="AE164" s="51">
        <v>18.399999999999999</v>
      </c>
      <c r="AF164" s="51">
        <v>20</v>
      </c>
      <c r="AG164" s="51">
        <v>19</v>
      </c>
      <c r="AH164" s="51">
        <v>18.399999999999999</v>
      </c>
      <c r="AI164" s="51">
        <v>19</v>
      </c>
      <c r="AJ164" s="51"/>
      <c r="AK164" s="51"/>
      <c r="AL164" s="51"/>
      <c r="AM164" s="51"/>
      <c r="AN164" s="51"/>
      <c r="AO164" s="51"/>
      <c r="AP164" s="88">
        <f t="shared" si="11"/>
        <v>25</v>
      </c>
      <c r="AQ164" s="89">
        <f t="shared" si="12"/>
        <v>19.18</v>
      </c>
      <c r="AR164" s="89">
        <f>IFERROR(VLOOKUP(A164,Climatologia!A:U,9+$E$2,FALSE),"")</f>
        <v>19.04428975316489</v>
      </c>
      <c r="AS164" s="89">
        <f t="shared" si="13"/>
        <v>0.13571024683511013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>
        <v>8.6</v>
      </c>
      <c r="AE165" s="51">
        <v>6.6</v>
      </c>
      <c r="AF165" s="51">
        <v>7.6</v>
      </c>
      <c r="AG165" s="51">
        <v>8.1999999999999993</v>
      </c>
      <c r="AH165" s="51">
        <v>10</v>
      </c>
      <c r="AI165" s="51">
        <v>10</v>
      </c>
      <c r="AJ165" s="51"/>
      <c r="AK165" s="51"/>
      <c r="AL165" s="51"/>
      <c r="AM165" s="51"/>
      <c r="AN165" s="51"/>
      <c r="AO165" s="51"/>
      <c r="AP165" s="88">
        <f t="shared" si="11"/>
        <v>22</v>
      </c>
      <c r="AQ165" s="89">
        <f t="shared" si="12"/>
        <v>9.4090909090909083</v>
      </c>
      <c r="AR165" s="89">
        <f>IFERROR(VLOOKUP(A165,Climatologia!A:U,9+$E$2,FALSE),"")</f>
        <v>8.2009357976098798</v>
      </c>
      <c r="AS165" s="89">
        <f t="shared" si="13"/>
        <v>1.2081551114810285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20</v>
      </c>
      <c r="L166" s="51">
        <v>17.600000000000001</v>
      </c>
      <c r="M166" s="51">
        <v>19.600000000000001</v>
      </c>
      <c r="N166" s="51">
        <v>18.600000000000001</v>
      </c>
      <c r="O166" s="51">
        <v>18</v>
      </c>
      <c r="P166" s="51">
        <v>18</v>
      </c>
      <c r="Q166" s="51">
        <v>20.6</v>
      </c>
      <c r="R166" s="51">
        <v>19.600000000000001</v>
      </c>
      <c r="S166" s="51">
        <v>20.2</v>
      </c>
      <c r="T166" s="51">
        <v>18.600000000000001</v>
      </c>
      <c r="U166" s="51">
        <v>18</v>
      </c>
      <c r="V166" s="51">
        <v>19.2</v>
      </c>
      <c r="W166" s="51">
        <v>19</v>
      </c>
      <c r="X166" s="51">
        <v>17.600000000000001</v>
      </c>
      <c r="Y166" s="51">
        <v>20</v>
      </c>
      <c r="Z166" s="111">
        <v>18.2</v>
      </c>
      <c r="AA166" s="51">
        <v>18</v>
      </c>
      <c r="AB166" s="51">
        <v>19</v>
      </c>
      <c r="AC166" s="51">
        <v>20</v>
      </c>
      <c r="AD166" s="51">
        <v>18.600000000000001</v>
      </c>
      <c r="AE166" s="51">
        <v>18.399999999999999</v>
      </c>
      <c r="AF166" s="51">
        <v>20.2</v>
      </c>
      <c r="AG166" s="51"/>
      <c r="AH166" s="51">
        <v>20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23</v>
      </c>
      <c r="AQ166" s="89">
        <f t="shared" si="12"/>
        <v>18.999999999999996</v>
      </c>
      <c r="AR166" s="89">
        <f>IFERROR(VLOOKUP(A166,Climatologia!A:U,9+$E$2,FALSE),"")</f>
        <v>17.03753950514696</v>
      </c>
      <c r="AS166" s="89">
        <f t="shared" si="13"/>
        <v>1.9624604948530369</v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>
        <v>19.8</v>
      </c>
      <c r="AE169" s="51">
        <v>20.2</v>
      </c>
      <c r="AF169" s="51">
        <v>20.399999999999999</v>
      </c>
      <c r="AG169" s="51">
        <v>20.6</v>
      </c>
      <c r="AH169" s="51">
        <v>20.399999999999999</v>
      </c>
      <c r="AI169" s="51">
        <v>19.8</v>
      </c>
      <c r="AJ169" s="51"/>
      <c r="AK169" s="51"/>
      <c r="AL169" s="51"/>
      <c r="AM169" s="51"/>
      <c r="AN169" s="51"/>
      <c r="AO169" s="51"/>
      <c r="AP169" s="88">
        <f t="shared" si="11"/>
        <v>25</v>
      </c>
      <c r="AQ169" s="89">
        <f t="shared" si="12"/>
        <v>19.715999999999998</v>
      </c>
      <c r="AR169" s="89">
        <f>IFERROR(VLOOKUP(A169,Climatologia!A:U,9+$E$2,FALSE),"")</f>
        <v>18.98804930581305</v>
      </c>
      <c r="AS169" s="89">
        <f t="shared" si="13"/>
        <v>0.7279506941869478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>
        <v>13.8</v>
      </c>
      <c r="AE170" s="51">
        <v>13.8</v>
      </c>
      <c r="AF170" s="51">
        <v>15.2</v>
      </c>
      <c r="AG170" s="51">
        <v>14</v>
      </c>
      <c r="AH170" s="51">
        <v>14.4</v>
      </c>
      <c r="AI170" s="51">
        <v>15</v>
      </c>
      <c r="AJ170" s="51"/>
      <c r="AK170" s="51"/>
      <c r="AL170" s="51"/>
      <c r="AM170" s="51"/>
      <c r="AN170" s="51"/>
      <c r="AO170" s="51"/>
      <c r="AP170" s="88">
        <f t="shared" si="11"/>
        <v>25</v>
      </c>
      <c r="AQ170" s="89">
        <f t="shared" si="12"/>
        <v>14.304</v>
      </c>
      <c r="AR170" s="89">
        <f>IFERROR(VLOOKUP(A170,Climatologia!A:U,9+$E$2,FALSE),"")</f>
        <v>13.515835523098669</v>
      </c>
      <c r="AS170" s="89">
        <f t="shared" si="13"/>
        <v>0.78816447690133096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25.2</v>
      </c>
      <c r="R172" s="51">
        <v>25.8</v>
      </c>
      <c r="S172" s="51">
        <v>26.6</v>
      </c>
      <c r="T172" s="51">
        <v>25.2</v>
      </c>
      <c r="U172" s="51"/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>
        <v>23.8</v>
      </c>
      <c r="AF172" s="51">
        <v>24</v>
      </c>
      <c r="AG172" s="51">
        <v>24.6</v>
      </c>
      <c r="AH172" s="51">
        <v>25.6</v>
      </c>
      <c r="AI172" s="51">
        <v>25.4</v>
      </c>
      <c r="AJ172" s="51"/>
      <c r="AK172" s="51"/>
      <c r="AL172" s="51"/>
      <c r="AM172" s="51"/>
      <c r="AN172" s="51"/>
      <c r="AO172" s="51"/>
      <c r="AP172" s="88">
        <f t="shared" si="11"/>
        <v>23</v>
      </c>
      <c r="AQ172" s="89">
        <f t="shared" si="12"/>
        <v>24.860869565217389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>
        <v>21.4</v>
      </c>
      <c r="AB175" s="51">
        <v>22.2</v>
      </c>
      <c r="AC175" s="51">
        <v>21.6</v>
      </c>
      <c r="AD175" s="51"/>
      <c r="AE175" s="51">
        <v>21.6</v>
      </c>
      <c r="AF175" s="51">
        <v>22.6</v>
      </c>
      <c r="AG175" s="51">
        <v>22.8</v>
      </c>
      <c r="AH175" s="51">
        <v>24.8</v>
      </c>
      <c r="AI175" s="51">
        <v>20</v>
      </c>
      <c r="AJ175" s="51"/>
      <c r="AK175" s="51"/>
      <c r="AL175" s="51"/>
      <c r="AM175" s="51"/>
      <c r="AN175" s="51"/>
      <c r="AO175" s="51"/>
      <c r="AP175" s="88">
        <f t="shared" si="11"/>
        <v>20</v>
      </c>
      <c r="AQ175" s="89">
        <f t="shared" si="12"/>
        <v>21.85</v>
      </c>
      <c r="AR175" s="89">
        <f>IFERROR(VLOOKUP(A175,Climatologia!A:U,9+$E$2,FALSE),"")</f>
        <v>20.369629293079871</v>
      </c>
      <c r="AS175" s="89">
        <f t="shared" si="13"/>
        <v>1.4803707069201302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>
        <v>22.8</v>
      </c>
      <c r="AE176" s="51">
        <v>24</v>
      </c>
      <c r="AF176" s="51"/>
      <c r="AG176" s="51">
        <v>23.6</v>
      </c>
      <c r="AH176" s="51">
        <v>23.2</v>
      </c>
      <c r="AI176" s="51">
        <v>22.4</v>
      </c>
      <c r="AJ176" s="51"/>
      <c r="AK176" s="51"/>
      <c r="AL176" s="51"/>
      <c r="AM176" s="51"/>
      <c r="AN176" s="51"/>
      <c r="AO176" s="51"/>
      <c r="AP176" s="88">
        <f t="shared" si="11"/>
        <v>22</v>
      </c>
      <c r="AQ176" s="89">
        <f t="shared" si="12"/>
        <v>23.045454545454547</v>
      </c>
      <c r="AR176" s="89">
        <f>IFERROR(VLOOKUP(A176,Climatologia!A:U,9+$E$2,FALSE),"")</f>
        <v>21.653737839221709</v>
      </c>
      <c r="AS176" s="89">
        <f t="shared" si="13"/>
        <v>1.3917167062328382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>
        <v>13.4</v>
      </c>
      <c r="AE179" s="51">
        <v>14.2</v>
      </c>
      <c r="AF179" s="51">
        <v>13</v>
      </c>
      <c r="AG179" s="51"/>
      <c r="AH179" s="51">
        <v>13</v>
      </c>
      <c r="AI179" s="51">
        <v>13.6</v>
      </c>
      <c r="AJ179" s="51"/>
      <c r="AK179" s="51"/>
      <c r="AL179" s="51"/>
      <c r="AM179" s="51"/>
      <c r="AN179" s="51"/>
      <c r="AO179" s="51"/>
      <c r="AP179" s="88">
        <f t="shared" si="11"/>
        <v>24</v>
      </c>
      <c r="AQ179" s="89">
        <f t="shared" si="12"/>
        <v>13.58333333333333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>
        <v>24.6</v>
      </c>
      <c r="AE180" s="51"/>
      <c r="AF180" s="51">
        <v>26</v>
      </c>
      <c r="AG180" s="51">
        <v>25.8</v>
      </c>
      <c r="AH180" s="51">
        <v>25.4</v>
      </c>
      <c r="AI180" s="51">
        <v>24.8</v>
      </c>
      <c r="AJ180" s="51"/>
      <c r="AK180" s="51"/>
      <c r="AL180" s="51"/>
      <c r="AM180" s="51"/>
      <c r="AN180" s="51"/>
      <c r="AO180" s="51"/>
      <c r="AP180" s="88">
        <f t="shared" si="11"/>
        <v>18</v>
      </c>
      <c r="AQ180" s="89">
        <f t="shared" si="12"/>
        <v>25.111111111111114</v>
      </c>
      <c r="AR180" s="89">
        <f>IFERROR(VLOOKUP(A180,Climatologia!A:U,9+$E$2,FALSE),"")</f>
        <v>22.957390939115541</v>
      </c>
      <c r="AS180" s="89">
        <f t="shared" si="13"/>
        <v>2.1537201719955732</v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>
        <v>23</v>
      </c>
      <c r="AE181" s="51">
        <v>23.8</v>
      </c>
      <c r="AF181" s="51">
        <v>25.2</v>
      </c>
      <c r="AG181" s="51">
        <v>23</v>
      </c>
      <c r="AH181" s="51">
        <v>24.6</v>
      </c>
      <c r="AI181" s="51">
        <v>22.8</v>
      </c>
      <c r="AJ181" s="51"/>
      <c r="AK181" s="51"/>
      <c r="AL181" s="51"/>
      <c r="AM181" s="51"/>
      <c r="AN181" s="51"/>
      <c r="AO181" s="51"/>
      <c r="AP181" s="88">
        <f t="shared" si="11"/>
        <v>24</v>
      </c>
      <c r="AQ181" s="89">
        <f t="shared" si="12"/>
        <v>23.433333333333334</v>
      </c>
      <c r="AR181" s="89">
        <f>IFERROR(VLOOKUP(A181,Climatologia!A:U,9+$E$2,FALSE),"")</f>
        <v>21.70483579702303</v>
      </c>
      <c r="AS181" s="89">
        <f t="shared" si="13"/>
        <v>1.7284975363103037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>
        <v>14</v>
      </c>
      <c r="AE182" s="51">
        <v>13.6</v>
      </c>
      <c r="AF182" s="51">
        <v>13.2</v>
      </c>
      <c r="AG182" s="51">
        <v>12.4</v>
      </c>
      <c r="AH182" s="51">
        <v>13.2</v>
      </c>
      <c r="AI182" s="51">
        <v>13.4</v>
      </c>
      <c r="AJ182" s="51"/>
      <c r="AK182" s="51"/>
      <c r="AL182" s="51"/>
      <c r="AM182" s="51"/>
      <c r="AN182" s="51"/>
      <c r="AO182" s="51"/>
      <c r="AP182" s="88">
        <f t="shared" si="11"/>
        <v>25</v>
      </c>
      <c r="AQ182" s="89">
        <f t="shared" si="12"/>
        <v>13.503999999999998</v>
      </c>
      <c r="AR182" s="89">
        <f>IFERROR(VLOOKUP(A182,Climatologia!A:U,9+$E$2,FALSE),"")</f>
        <v>14.173503840245781</v>
      </c>
      <c r="AS182" s="89">
        <f t="shared" si="13"/>
        <v>-0.66950384024578291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>
        <v>18.2</v>
      </c>
      <c r="AE183" s="51">
        <v>19.8</v>
      </c>
      <c r="AF183" s="51">
        <v>19</v>
      </c>
      <c r="AG183" s="51">
        <v>17.399999999999999</v>
      </c>
      <c r="AH183" s="51">
        <v>19.2</v>
      </c>
      <c r="AI183" s="51">
        <v>19.8</v>
      </c>
      <c r="AJ183" s="51"/>
      <c r="AK183" s="51"/>
      <c r="AL183" s="51"/>
      <c r="AM183" s="51"/>
      <c r="AN183" s="51"/>
      <c r="AO183" s="51"/>
      <c r="AP183" s="88">
        <f t="shared" si="11"/>
        <v>25</v>
      </c>
      <c r="AQ183" s="89">
        <f t="shared" si="12"/>
        <v>18.743999999999996</v>
      </c>
      <c r="AR183" s="89">
        <f>IFERROR(VLOOKUP(A183,Climatologia!A:U,9+$E$2,FALSE),"")</f>
        <v>20.070986681091949</v>
      </c>
      <c r="AS183" s="89">
        <f t="shared" si="13"/>
        <v>-1.3269866810919524</v>
      </c>
      <c r="AT183" s="90">
        <f t="shared" si="14"/>
        <v>17.399999999999999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0.59999999999999787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>
        <v>23</v>
      </c>
      <c r="AE184" s="51">
        <v>22.8</v>
      </c>
      <c r="AF184" s="51"/>
      <c r="AG184" s="51">
        <v>21.4</v>
      </c>
      <c r="AH184" s="51">
        <v>21.6</v>
      </c>
      <c r="AI184" s="51">
        <v>22</v>
      </c>
      <c r="AJ184" s="51"/>
      <c r="AK184" s="51"/>
      <c r="AL184" s="51"/>
      <c r="AM184" s="51"/>
      <c r="AN184" s="51"/>
      <c r="AO184" s="51"/>
      <c r="AP184" s="88">
        <f t="shared" si="11"/>
        <v>23</v>
      </c>
      <c r="AQ184" s="89">
        <f t="shared" si="12"/>
        <v>21.565217391304344</v>
      </c>
      <c r="AR184" s="89">
        <f>IFERROR(VLOOKUP(A184,Climatologia!A:U,9+$E$2,FALSE),"")</f>
        <v>20.076368634370251</v>
      </c>
      <c r="AS184" s="89">
        <f t="shared" si="13"/>
        <v>1.4888487569340931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>
        <v>16.399999999999999</v>
      </c>
      <c r="AE185" s="51">
        <v>17.399999999999999</v>
      </c>
      <c r="AF185" s="51">
        <v>18</v>
      </c>
      <c r="AG185" s="51">
        <v>16</v>
      </c>
      <c r="AH185" s="51">
        <v>17</v>
      </c>
      <c r="AI185" s="51">
        <v>15.6</v>
      </c>
      <c r="AJ185" s="51"/>
      <c r="AK185" s="51"/>
      <c r="AL185" s="51"/>
      <c r="AM185" s="51"/>
      <c r="AN185" s="51"/>
      <c r="AO185" s="51"/>
      <c r="AP185" s="88">
        <f t="shared" si="11"/>
        <v>23</v>
      </c>
      <c r="AQ185" s="89">
        <f t="shared" si="12"/>
        <v>16.2695652173913</v>
      </c>
      <c r="AR185" s="89">
        <f>IFERROR(VLOOKUP(A185,Climatologia!A:U,9+$E$2,FALSE),"")</f>
        <v>17.074088213241051</v>
      </c>
      <c r="AS185" s="89">
        <f t="shared" si="13"/>
        <v>-0.80452299584975151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>
        <v>23.6</v>
      </c>
      <c r="AE186" s="51">
        <v>25.4</v>
      </c>
      <c r="AF186" s="51">
        <v>22</v>
      </c>
      <c r="AG186" s="51">
        <v>21.4</v>
      </c>
      <c r="AH186" s="51">
        <v>22.2</v>
      </c>
      <c r="AI186" s="51">
        <v>22</v>
      </c>
      <c r="AJ186" s="51"/>
      <c r="AK186" s="51"/>
      <c r="AL186" s="51"/>
      <c r="AM186" s="51"/>
      <c r="AN186" s="51"/>
      <c r="AO186" s="51"/>
      <c r="AP186" s="88">
        <f t="shared" si="11"/>
        <v>24</v>
      </c>
      <c r="AQ186" s="89">
        <f t="shared" si="12"/>
        <v>22.333333333333332</v>
      </c>
      <c r="AR186" s="89">
        <f>IFERROR(VLOOKUP(A186,Climatologia!A:U,9+$E$2,FALSE),"")</f>
        <v>20.422025791399172</v>
      </c>
      <c r="AS186" s="89">
        <f t="shared" si="13"/>
        <v>1.9113075419341605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>
        <v>18.2</v>
      </c>
      <c r="AE187" s="51">
        <v>19.399999999999999</v>
      </c>
      <c r="AF187" s="51">
        <v>17.399999999999999</v>
      </c>
      <c r="AG187" s="51">
        <v>17.2</v>
      </c>
      <c r="AH187" s="51">
        <v>18</v>
      </c>
      <c r="AI187" s="51">
        <v>17.600000000000001</v>
      </c>
      <c r="AJ187" s="51"/>
      <c r="AK187" s="51"/>
      <c r="AL187" s="51"/>
      <c r="AM187" s="51"/>
      <c r="AN187" s="51"/>
      <c r="AO187" s="51"/>
      <c r="AP187" s="88">
        <f t="shared" si="11"/>
        <v>22</v>
      </c>
      <c r="AQ187" s="89">
        <f t="shared" si="12"/>
        <v>17.881818181818179</v>
      </c>
      <c r="AR187" s="89">
        <f>IFERROR(VLOOKUP(A187,Climatologia!A:U,9+$E$2,FALSE),"")</f>
        <v>16.993025163915739</v>
      </c>
      <c r="AS187" s="89">
        <f t="shared" si="13"/>
        <v>0.88879301790244014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>
        <v>23.2</v>
      </c>
      <c r="AE188" s="51">
        <v>22.8</v>
      </c>
      <c r="AF188" s="51">
        <v>23.6</v>
      </c>
      <c r="AG188" s="51">
        <v>22.4</v>
      </c>
      <c r="AH188" s="51">
        <v>22.2</v>
      </c>
      <c r="AI188" s="51">
        <v>21.8</v>
      </c>
      <c r="AJ188" s="51"/>
      <c r="AK188" s="51"/>
      <c r="AL188" s="51"/>
      <c r="AM188" s="51"/>
      <c r="AN188" s="51"/>
      <c r="AO188" s="51"/>
      <c r="AP188" s="88">
        <f t="shared" si="11"/>
        <v>25</v>
      </c>
      <c r="AQ188" s="89">
        <f t="shared" si="12"/>
        <v>22.192000000000004</v>
      </c>
      <c r="AR188" s="89">
        <f>IFERROR(VLOOKUP(A188,Climatologia!A:U,9+$E$2,FALSE),"")</f>
        <v>20.28174546114397</v>
      </c>
      <c r="AS188" s="89">
        <f t="shared" si="13"/>
        <v>1.9102545388560337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>
        <v>18.8</v>
      </c>
      <c r="AD189" s="51">
        <v>19.399999999999999</v>
      </c>
      <c r="AE189" s="51">
        <v>18.600000000000001</v>
      </c>
      <c r="AF189" s="51">
        <v>19.600000000000001</v>
      </c>
      <c r="AG189" s="51">
        <v>18.600000000000001</v>
      </c>
      <c r="AH189" s="51">
        <v>18.600000000000001</v>
      </c>
      <c r="AI189" s="51">
        <v>17</v>
      </c>
      <c r="AJ189" s="51"/>
      <c r="AK189" s="51"/>
      <c r="AL189" s="51"/>
      <c r="AM189" s="51"/>
      <c r="AN189" s="51"/>
      <c r="AO189" s="51"/>
      <c r="AP189" s="88">
        <f t="shared" si="11"/>
        <v>25</v>
      </c>
      <c r="AQ189" s="89">
        <f t="shared" si="12"/>
        <v>18.576000000000004</v>
      </c>
      <c r="AR189" s="89">
        <f>IFERROR(VLOOKUP(A189,Climatologia!A:U,9+$E$2,FALSE),"")</f>
        <v>15.63081985682097</v>
      </c>
      <c r="AS189" s="89">
        <f t="shared" si="13"/>
        <v>2.9451801431790336</v>
      </c>
      <c r="AT189" s="90">
        <f t="shared" si="14"/>
        <v>17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>
        <v>13.2</v>
      </c>
      <c r="AD190" s="51">
        <v>14.8</v>
      </c>
      <c r="AE190" s="51">
        <v>14</v>
      </c>
      <c r="AF190" s="51">
        <v>13.8</v>
      </c>
      <c r="AG190" s="51">
        <v>13</v>
      </c>
      <c r="AH190" s="51">
        <v>14.4</v>
      </c>
      <c r="AI190" s="51">
        <v>12.2</v>
      </c>
      <c r="AJ190" s="51"/>
      <c r="AK190" s="51"/>
      <c r="AL190" s="51"/>
      <c r="AM190" s="51"/>
      <c r="AN190" s="51"/>
      <c r="AO190" s="51"/>
      <c r="AP190" s="88">
        <f t="shared" si="11"/>
        <v>25</v>
      </c>
      <c r="AQ190" s="89">
        <f t="shared" si="12"/>
        <v>13.648</v>
      </c>
      <c r="AR190" s="89">
        <f>IFERROR(VLOOKUP(A190,Climatologia!A:U,9+$E$2,FALSE),"")</f>
        <v>11.261282597948339</v>
      </c>
      <c r="AS190" s="89">
        <f t="shared" si="13"/>
        <v>2.3867174020516604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>
        <v>7</v>
      </c>
      <c r="AE191" s="51">
        <v>11</v>
      </c>
      <c r="AF191" s="51">
        <v>10</v>
      </c>
      <c r="AG191" s="51">
        <v>7.8</v>
      </c>
      <c r="AH191" s="51">
        <v>10.8</v>
      </c>
      <c r="AI191" s="51">
        <v>4</v>
      </c>
      <c r="AJ191" s="51"/>
      <c r="AK191" s="51"/>
      <c r="AL191" s="51"/>
      <c r="AM191" s="51"/>
      <c r="AN191" s="51"/>
      <c r="AO191" s="51"/>
      <c r="AP191" s="88">
        <f t="shared" si="11"/>
        <v>25</v>
      </c>
      <c r="AQ191" s="89">
        <f t="shared" si="12"/>
        <v>8.1840000000000011</v>
      </c>
      <c r="AR191" s="89">
        <f>IFERROR(VLOOKUP(A191,Climatologia!A:U,9+$E$2,FALSE),"")</f>
        <v>6.994628239761723</v>
      </c>
      <c r="AS191" s="89">
        <f t="shared" si="13"/>
        <v>1.1893717602382781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>
        <v>24.4</v>
      </c>
      <c r="AE192" s="51">
        <v>24.8</v>
      </c>
      <c r="AF192" s="51">
        <v>25.2</v>
      </c>
      <c r="AG192" s="51">
        <v>22.6</v>
      </c>
      <c r="AH192" s="51">
        <v>23</v>
      </c>
      <c r="AI192" s="51">
        <v>22.2</v>
      </c>
      <c r="AJ192" s="51"/>
      <c r="AK192" s="51"/>
      <c r="AL192" s="51"/>
      <c r="AM192" s="51"/>
      <c r="AN192" s="51"/>
      <c r="AO192" s="51"/>
      <c r="AP192" s="88">
        <f t="shared" si="11"/>
        <v>25</v>
      </c>
      <c r="AQ192" s="89">
        <f t="shared" si="12"/>
        <v>22.736000000000004</v>
      </c>
      <c r="AR192" s="89">
        <f>IFERROR(VLOOKUP(A192,Climatologia!A:U,9+$E$2,FALSE),"")</f>
        <v>19.908691930571798</v>
      </c>
      <c r="AS192" s="89">
        <f t="shared" si="13"/>
        <v>2.8273080694282058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>
        <v>10.199999999999999</v>
      </c>
      <c r="AE193" s="51">
        <v>11.4</v>
      </c>
      <c r="AF193" s="51">
        <v>10.6</v>
      </c>
      <c r="AG193" s="51">
        <v>8.4</v>
      </c>
      <c r="AH193" s="51">
        <v>10.4</v>
      </c>
      <c r="AI193" s="51">
        <v>5.8</v>
      </c>
      <c r="AJ193" s="51"/>
      <c r="AK193" s="51"/>
      <c r="AL193" s="51"/>
      <c r="AM193" s="51"/>
      <c r="AN193" s="51"/>
      <c r="AO193" s="51"/>
      <c r="AP193" s="88">
        <f t="shared" si="11"/>
        <v>25</v>
      </c>
      <c r="AQ193" s="89">
        <f t="shared" si="12"/>
        <v>9.5359999999999996</v>
      </c>
      <c r="AR193" s="89">
        <f>IFERROR(VLOOKUP(A193,Climatologia!A:U,9+$E$2,FALSE),"")</f>
        <v>8.0869853706863069</v>
      </c>
      <c r="AS193" s="89">
        <f t="shared" si="13"/>
        <v>1.4490146293136927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>
        <v>10.6</v>
      </c>
      <c r="AE194" s="51">
        <v>10.4</v>
      </c>
      <c r="AF194" s="51">
        <v>10.6</v>
      </c>
      <c r="AG194" s="51">
        <v>8.6</v>
      </c>
      <c r="AH194" s="51">
        <v>11</v>
      </c>
      <c r="AI194" s="51">
        <v>6.2</v>
      </c>
      <c r="AJ194" s="51"/>
      <c r="AK194" s="51"/>
      <c r="AL194" s="51"/>
      <c r="AM194" s="51"/>
      <c r="AN194" s="51"/>
      <c r="AO194" s="51"/>
      <c r="AP194" s="88">
        <f t="shared" si="11"/>
        <v>23</v>
      </c>
      <c r="AQ194" s="89">
        <f t="shared" si="12"/>
        <v>9.3043478260869552</v>
      </c>
      <c r="AR194" s="89">
        <f>IFERROR(VLOOKUP(A194,Climatologia!A:U,9+$E$2,FALSE),"")</f>
        <v>7.6640343615186746</v>
      </c>
      <c r="AS194" s="89">
        <f t="shared" si="13"/>
        <v>1.6403134645682806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>
        <v>8</v>
      </c>
      <c r="AE197" s="51">
        <v>9.4</v>
      </c>
      <c r="AF197" s="51">
        <v>10.4</v>
      </c>
      <c r="AG197" s="51">
        <v>8.4</v>
      </c>
      <c r="AH197" s="51">
        <v>10.199999999999999</v>
      </c>
      <c r="AI197" s="51">
        <v>6.8</v>
      </c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25</v>
      </c>
      <c r="AQ197" s="89">
        <f t="shared" ref="AQ197:AQ260" si="17">IF(AP197&gt;14,AVERAGE(K197:AO197),"")</f>
        <v>8.5760000000000005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2.1930647174108815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>
        <v>11.2</v>
      </c>
      <c r="AE198" s="51">
        <v>9.4</v>
      </c>
      <c r="AF198" s="51">
        <v>9.8000000000000007</v>
      </c>
      <c r="AG198" s="51">
        <v>8.1999999999999993</v>
      </c>
      <c r="AH198" s="51">
        <v>5.8</v>
      </c>
      <c r="AI198" s="51">
        <v>4.4000000000000004</v>
      </c>
      <c r="AJ198" s="51"/>
      <c r="AK198" s="51"/>
      <c r="AL198" s="51"/>
      <c r="AM198" s="51"/>
      <c r="AN198" s="51"/>
      <c r="AO198" s="51"/>
      <c r="AP198" s="88">
        <f t="shared" si="16"/>
        <v>25</v>
      </c>
      <c r="AQ198" s="89">
        <f t="shared" si="17"/>
        <v>8.740000000000002</v>
      </c>
      <c r="AR198" s="89">
        <f>IFERROR(VLOOKUP(A198,Climatologia!A:U,9+$E$2,FALSE),"")</f>
        <v>7.491938037728997</v>
      </c>
      <c r="AS198" s="89">
        <f t="shared" si="18"/>
        <v>1.248061962271005</v>
      </c>
      <c r="AT198" s="90">
        <f t="shared" si="19"/>
        <v>4.4000000000000004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4.8000000000000007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>
        <v>8.6</v>
      </c>
      <c r="AE199" s="51">
        <v>11.4</v>
      </c>
      <c r="AF199" s="51">
        <v>11</v>
      </c>
      <c r="AG199" s="51">
        <v>12</v>
      </c>
      <c r="AH199" s="51">
        <v>12.2</v>
      </c>
      <c r="AI199" s="51">
        <v>7.4</v>
      </c>
      <c r="AJ199" s="51"/>
      <c r="AK199" s="51"/>
      <c r="AL199" s="51"/>
      <c r="AM199" s="51"/>
      <c r="AN199" s="51"/>
      <c r="AO199" s="51"/>
      <c r="AP199" s="88">
        <f t="shared" si="16"/>
        <v>25</v>
      </c>
      <c r="AQ199" s="89">
        <f t="shared" si="17"/>
        <v>9.9159999999999986</v>
      </c>
      <c r="AR199" s="89">
        <f>IFERROR(VLOOKUP(A199,Climatologia!A:U,9+$E$2,FALSE),"")</f>
        <v>7.4487940592962838</v>
      </c>
      <c r="AS199" s="89">
        <f t="shared" si="18"/>
        <v>2.4672059407037148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>
        <v>8.1999999999999993</v>
      </c>
      <c r="AE200" s="51">
        <v>11</v>
      </c>
      <c r="AF200" s="51"/>
      <c r="AG200" s="51"/>
      <c r="AH200" s="51">
        <v>7.2</v>
      </c>
      <c r="AI200" s="51">
        <v>6.8</v>
      </c>
      <c r="AJ200" s="51"/>
      <c r="AK200" s="51"/>
      <c r="AL200" s="51"/>
      <c r="AM200" s="51"/>
      <c r="AN200" s="51"/>
      <c r="AO200" s="51"/>
      <c r="AP200" s="88">
        <f t="shared" si="16"/>
        <v>20</v>
      </c>
      <c r="AQ200" s="89">
        <f t="shared" si="17"/>
        <v>9.35</v>
      </c>
      <c r="AR200" s="89">
        <f>IFERROR(VLOOKUP(A200,Climatologia!A:U,9+$E$2,FALSE),"")</f>
        <v>7.107223600771988</v>
      </c>
      <c r="AS200" s="89">
        <f t="shared" si="18"/>
        <v>2.2427763992280116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>
        <v>7.6</v>
      </c>
      <c r="AE201" s="51">
        <v>11</v>
      </c>
      <c r="AF201" s="51">
        <v>10.8</v>
      </c>
      <c r="AG201" s="51">
        <v>7.2</v>
      </c>
      <c r="AH201" s="51">
        <v>11</v>
      </c>
      <c r="AI201" s="51">
        <v>5.6</v>
      </c>
      <c r="AJ201" s="51"/>
      <c r="AK201" s="51"/>
      <c r="AL201" s="51"/>
      <c r="AM201" s="51"/>
      <c r="AN201" s="51"/>
      <c r="AO201" s="51"/>
      <c r="AP201" s="88">
        <f t="shared" si="16"/>
        <v>25</v>
      </c>
      <c r="AQ201" s="89">
        <f t="shared" si="17"/>
        <v>8.5280000000000005</v>
      </c>
      <c r="AR201" s="89">
        <f>IFERROR(VLOOKUP(A201,Climatologia!A:U,9+$E$2,FALSE),"")</f>
        <v>6.8025057736192744</v>
      </c>
      <c r="AS201" s="89">
        <f t="shared" si="18"/>
        <v>1.725494226380726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>
        <v>9</v>
      </c>
      <c r="AE202" s="51">
        <v>11.2</v>
      </c>
      <c r="AF202" s="51">
        <v>11.4</v>
      </c>
      <c r="AG202" s="51"/>
      <c r="AH202" s="51">
        <v>9.4</v>
      </c>
      <c r="AI202" s="51">
        <v>8.4</v>
      </c>
      <c r="AJ202" s="51"/>
      <c r="AK202" s="51"/>
      <c r="AL202" s="51"/>
      <c r="AM202" s="51"/>
      <c r="AN202" s="51"/>
      <c r="AO202" s="51"/>
      <c r="AP202" s="88">
        <f t="shared" si="16"/>
        <v>18</v>
      </c>
      <c r="AQ202" s="89">
        <f t="shared" si="17"/>
        <v>9.2777777777777786</v>
      </c>
      <c r="AR202" s="89">
        <f>IFERROR(VLOOKUP(A202,Climatologia!A:U,9+$E$2,FALSE),"")</f>
        <v>7.511127721466246</v>
      </c>
      <c r="AS202" s="89">
        <f t="shared" si="18"/>
        <v>1.7666500563115326</v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>
        <v>8.6</v>
      </c>
      <c r="AE203" s="51">
        <v>9.8000000000000007</v>
      </c>
      <c r="AF203" s="51">
        <v>11</v>
      </c>
      <c r="AG203" s="51">
        <v>4.4000000000000004</v>
      </c>
      <c r="AH203" s="51">
        <v>9.4</v>
      </c>
      <c r="AI203" s="51">
        <v>7.4</v>
      </c>
      <c r="AJ203" s="51"/>
      <c r="AK203" s="51"/>
      <c r="AL203" s="51"/>
      <c r="AM203" s="51"/>
      <c r="AN203" s="51"/>
      <c r="AO203" s="51"/>
      <c r="AP203" s="88">
        <f t="shared" si="16"/>
        <v>25</v>
      </c>
      <c r="AQ203" s="89">
        <f t="shared" si="17"/>
        <v>8.6880000000000006</v>
      </c>
      <c r="AR203" s="89">
        <f>IFERROR(VLOOKUP(A203,Climatologia!A:U,9+$E$2,FALSE),"")</f>
        <v>7.9932587877038674</v>
      </c>
      <c r="AS203" s="89">
        <f t="shared" si="18"/>
        <v>0.69474121229613317</v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3.5000000000000004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>
        <v>5.4</v>
      </c>
      <c r="AE204" s="51">
        <v>5</v>
      </c>
      <c r="AF204" s="51">
        <v>5.6</v>
      </c>
      <c r="AG204" s="51">
        <v>6.2</v>
      </c>
      <c r="AH204" s="51">
        <v>5.4</v>
      </c>
      <c r="AI204" s="51">
        <v>5.8</v>
      </c>
      <c r="AJ204" s="51"/>
      <c r="AK204" s="51"/>
      <c r="AL204" s="51"/>
      <c r="AM204" s="51"/>
      <c r="AN204" s="51"/>
      <c r="AO204" s="51"/>
      <c r="AP204" s="88">
        <f t="shared" si="16"/>
        <v>25</v>
      </c>
      <c r="AQ204" s="89">
        <f t="shared" si="17"/>
        <v>5.0360000000000005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>
        <v>10.6</v>
      </c>
      <c r="AE206" s="51">
        <v>10.6</v>
      </c>
      <c r="AF206" s="51">
        <v>11.8</v>
      </c>
      <c r="AG206" s="51">
        <v>9.1999999999999993</v>
      </c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23</v>
      </c>
      <c r="AQ206" s="89">
        <f t="shared" si="17"/>
        <v>10.852173913043478</v>
      </c>
      <c r="AR206" s="89">
        <f>IFERROR(VLOOKUP(A206,Climatologia!A:U,9+$E$2,FALSE),"")</f>
        <v>9.3415228944019546</v>
      </c>
      <c r="AS206" s="89">
        <f t="shared" si="18"/>
        <v>1.5106510186415232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>
        <v>6.4</v>
      </c>
      <c r="AE207" s="51"/>
      <c r="AF207" s="51">
        <v>7.4</v>
      </c>
      <c r="AG207" s="51">
        <v>6.8</v>
      </c>
      <c r="AH207" s="51">
        <v>6.8</v>
      </c>
      <c r="AI207" s="51">
        <v>4</v>
      </c>
      <c r="AJ207" s="51"/>
      <c r="AK207" s="51"/>
      <c r="AL207" s="51"/>
      <c r="AM207" s="51"/>
      <c r="AN207" s="51"/>
      <c r="AO207" s="51"/>
      <c r="AP207" s="88">
        <f t="shared" si="16"/>
        <v>24</v>
      </c>
      <c r="AQ207" s="89">
        <f t="shared" si="17"/>
        <v>6.1083333333333343</v>
      </c>
      <c r="AR207" s="89">
        <f>IFERROR(VLOOKUP(A207,Climatologia!A:U,9+$E$2,FALSE),"")</f>
        <v>5.0408940752175297</v>
      </c>
      <c r="AS207" s="89">
        <f t="shared" si="18"/>
        <v>1.0674392581158045</v>
      </c>
      <c r="AT207" s="90">
        <f t="shared" si="19"/>
        <v>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3.9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>
        <v>23.4</v>
      </c>
      <c r="AE208" s="51">
        <v>20.8</v>
      </c>
      <c r="AF208" s="51">
        <v>21</v>
      </c>
      <c r="AG208" s="51">
        <v>21.6</v>
      </c>
      <c r="AH208" s="51">
        <v>20</v>
      </c>
      <c r="AI208" s="51">
        <v>20.6</v>
      </c>
      <c r="AJ208" s="51"/>
      <c r="AK208" s="51"/>
      <c r="AL208" s="51"/>
      <c r="AM208" s="51"/>
      <c r="AN208" s="51"/>
      <c r="AO208" s="51"/>
      <c r="AP208" s="88">
        <f t="shared" si="16"/>
        <v>24</v>
      </c>
      <c r="AQ208" s="89">
        <f t="shared" si="17"/>
        <v>22.541666666666671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2.8000000000000007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421</v>
      </c>
      <c r="X1" s="120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2026-08-25T15:16:37Z</dcterms:modified>
</cp:coreProperties>
</file>