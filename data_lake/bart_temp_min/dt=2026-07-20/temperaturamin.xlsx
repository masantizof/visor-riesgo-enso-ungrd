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DF9CA4C-4524-46AB-826A-62683125987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Temperatura!$AD$1:$AD$208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W121" i="1" s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W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25" i="1" l="1"/>
  <c r="AW69" i="1"/>
  <c r="AW81" i="1"/>
  <c r="AS165" i="1"/>
  <c r="AS27" i="1"/>
  <c r="AS31" i="1"/>
  <c r="AS35" i="1"/>
  <c r="AS39" i="1"/>
  <c r="AW39" i="1"/>
  <c r="AW47" i="1"/>
  <c r="AS138" i="1"/>
  <c r="AW201" i="1"/>
  <c r="AS28" i="1"/>
  <c r="AS32" i="1"/>
  <c r="AS36" i="1"/>
  <c r="AS44" i="1"/>
  <c r="AS75" i="1"/>
  <c r="AS83" i="1"/>
  <c r="AS91" i="1"/>
  <c r="AS103" i="1"/>
  <c r="AW63" i="1"/>
  <c r="AW71" i="1"/>
  <c r="AS143" i="1"/>
  <c r="AS17" i="1"/>
  <c r="AS25" i="1"/>
  <c r="AS72" i="1"/>
  <c r="AS80" i="1"/>
  <c r="AS84" i="1"/>
  <c r="AW56" i="1"/>
  <c r="AS10" i="1"/>
  <c r="AS14" i="1"/>
  <c r="AW49" i="1"/>
  <c r="AW171" i="1"/>
  <c r="AS160" i="1"/>
  <c r="AS164" i="1"/>
  <c r="AW16" i="1"/>
  <c r="AS21" i="1"/>
  <c r="AS59" i="1"/>
  <c r="AS63" i="1"/>
  <c r="AS122" i="1"/>
  <c r="AS134" i="1"/>
  <c r="AW180" i="1"/>
  <c r="AW10" i="1"/>
  <c r="AW14" i="1"/>
  <c r="AS18" i="1"/>
  <c r="AS45" i="1"/>
  <c r="AW67" i="1"/>
  <c r="AW87" i="1"/>
  <c r="AW95" i="1"/>
  <c r="AS158" i="1"/>
  <c r="AW181" i="1"/>
  <c r="AW185" i="1"/>
  <c r="AW193" i="1"/>
  <c r="AW11" i="1"/>
  <c r="AS46" i="1"/>
  <c r="AS100" i="1"/>
  <c r="AS151" i="1"/>
  <c r="AS178" i="1"/>
  <c r="AS194" i="1"/>
  <c r="AS53" i="1"/>
  <c r="AW42" i="1"/>
  <c r="AW46" i="1"/>
  <c r="AS57" i="1"/>
  <c r="AS124" i="1"/>
  <c r="AW147" i="1"/>
  <c r="AW151" i="1"/>
  <c r="AS159" i="1"/>
  <c r="AS140" i="1"/>
  <c r="AS16" i="1"/>
  <c r="AW77" i="1"/>
  <c r="AW167" i="1"/>
  <c r="AS199" i="1"/>
  <c r="AS66" i="1"/>
  <c r="AS70" i="1"/>
  <c r="AW109" i="1"/>
  <c r="AS5" i="1"/>
  <c r="AW32" i="1"/>
  <c r="AS102" i="1"/>
  <c r="AS106" i="1"/>
  <c r="AS110" i="1"/>
  <c r="AS114" i="1"/>
  <c r="AW141" i="1"/>
  <c r="AS149" i="1"/>
  <c r="AS180" i="1"/>
  <c r="AS184" i="1"/>
  <c r="AS188" i="1"/>
  <c r="AS192" i="1"/>
  <c r="AW48" i="1"/>
  <c r="AW34" i="1"/>
  <c r="AS13" i="1"/>
  <c r="AW38" i="1"/>
  <c r="AS71" i="1"/>
  <c r="AS132" i="1"/>
  <c r="AW139" i="1"/>
  <c r="AS169" i="1"/>
  <c r="AS173" i="1"/>
  <c r="AW35" i="1"/>
  <c r="AW165" i="1"/>
  <c r="AW169" i="1"/>
  <c r="AW173" i="1"/>
  <c r="AS181" i="1"/>
  <c r="AS185" i="1"/>
  <c r="AS189" i="1"/>
  <c r="AW17" i="1"/>
  <c r="AS64" i="1"/>
  <c r="AS68" i="1"/>
  <c r="AW79" i="1"/>
  <c r="AW91" i="1"/>
  <c r="AS144" i="1"/>
  <c r="AS166" i="1"/>
  <c r="AW189" i="1"/>
  <c r="AS205" i="1"/>
  <c r="AS43" i="1"/>
  <c r="AW50" i="1"/>
  <c r="AW68" i="1"/>
  <c r="AW155" i="1"/>
  <c r="AS92" i="1"/>
  <c r="AS126" i="1"/>
  <c r="AW133" i="1"/>
  <c r="AS152" i="1"/>
  <c r="AW174" i="1"/>
  <c r="AW25" i="1"/>
  <c r="AS33" i="1"/>
  <c r="AW43" i="1"/>
  <c r="AW57" i="1"/>
  <c r="AS65" i="1"/>
  <c r="AS111" i="1"/>
  <c r="AW137" i="1"/>
  <c r="AW159" i="1"/>
  <c r="AS163" i="1"/>
  <c r="AW107" i="1"/>
  <c r="AS130" i="1"/>
  <c r="AS141" i="1"/>
  <c r="AS156" i="1"/>
  <c r="AS167" i="1"/>
  <c r="AS198" i="1"/>
  <c r="AS202" i="1"/>
  <c r="AS24" i="1"/>
  <c r="AW163" i="1"/>
  <c r="AS37" i="1"/>
  <c r="AW51" i="1"/>
  <c r="AS77" i="1"/>
  <c r="AS81" i="1"/>
  <c r="AS85" i="1"/>
  <c r="AW21" i="1"/>
  <c r="AS26" i="1"/>
  <c r="AS62" i="1"/>
  <c r="AW73" i="1"/>
  <c r="AS93" i="1"/>
  <c r="AS108" i="1"/>
  <c r="AW119" i="1"/>
  <c r="AS123" i="1"/>
  <c r="AS127" i="1"/>
  <c r="AS187" i="1"/>
  <c r="AS191" i="1"/>
  <c r="AS34" i="1"/>
  <c r="AS52" i="1"/>
  <c r="AW93" i="1"/>
  <c r="AS116" i="1"/>
  <c r="AW127" i="1"/>
  <c r="AS131" i="1"/>
  <c r="AS142" i="1"/>
  <c r="AW33" i="1"/>
  <c r="AS120" i="1"/>
  <c r="AS135" i="1"/>
  <c r="AW191" i="1"/>
  <c r="AW199" i="1"/>
  <c r="AW203" i="1"/>
  <c r="AW52" i="1"/>
  <c r="AS146" i="1"/>
  <c r="AS20" i="1"/>
  <c r="AW59" i="1"/>
  <c r="AS67" i="1"/>
  <c r="AS90" i="1"/>
  <c r="AW101" i="1"/>
  <c r="AS139" i="1"/>
  <c r="AW176" i="1"/>
  <c r="AS196" i="1"/>
  <c r="AW66" i="1"/>
  <c r="AS49" i="1"/>
  <c r="AW55" i="1"/>
  <c r="AW58" i="1"/>
  <c r="AW65" i="1"/>
  <c r="AS69" i="1"/>
  <c r="AS76" i="1"/>
  <c r="AS87" i="1"/>
  <c r="AW115" i="1"/>
  <c r="AS119" i="1"/>
  <c r="AS133" i="1"/>
  <c r="AS98" i="1"/>
  <c r="AW143" i="1"/>
  <c r="AW153" i="1"/>
  <c r="AW27" i="1"/>
  <c r="AW36" i="1"/>
  <c r="AW62" i="1"/>
  <c r="AW8" i="1"/>
  <c r="AW30" i="1"/>
  <c r="AS95" i="1"/>
  <c r="AW105" i="1"/>
  <c r="AS109" i="1"/>
  <c r="AS147" i="1"/>
  <c r="AS157" i="1"/>
  <c r="AW177" i="1"/>
  <c r="AS40" i="1"/>
  <c r="AW205" i="1"/>
  <c r="AS11" i="1"/>
  <c r="AW18" i="1"/>
  <c r="AS99" i="1"/>
  <c r="AW37" i="1"/>
  <c r="AW40" i="1"/>
  <c r="AS50" i="1"/>
  <c r="AW123" i="1"/>
  <c r="AW45" i="1"/>
  <c r="AS9" i="1"/>
  <c r="AW31" i="1"/>
  <c r="AW9" i="1"/>
  <c r="AS19" i="1"/>
  <c r="AS47" i="1"/>
  <c r="AW113" i="1"/>
  <c r="AS117" i="1"/>
  <c r="AS171" i="1"/>
  <c r="AS206" i="1"/>
  <c r="AS60" i="1"/>
  <c r="AS54" i="1"/>
  <c r="AW161" i="1"/>
  <c r="AS168" i="1"/>
  <c r="AS203" i="1"/>
  <c r="AS7" i="1"/>
  <c r="AW23" i="1"/>
  <c r="AW29" i="1"/>
  <c r="AW20" i="1"/>
  <c r="AW19" i="1"/>
  <c r="AW28" i="1"/>
  <c r="AW6" i="1"/>
  <c r="AW22" i="1"/>
  <c r="AW60" i="1"/>
  <c r="AW85" i="1"/>
  <c r="AS128" i="1"/>
  <c r="AS155" i="1"/>
  <c r="AS182" i="1"/>
  <c r="AS193" i="1"/>
  <c r="AW196" i="1"/>
  <c r="AW89" i="1"/>
  <c r="AS107" i="1"/>
  <c r="AW135" i="1"/>
  <c r="AW145" i="1"/>
  <c r="AS172" i="1"/>
  <c r="AW175" i="1"/>
  <c r="AS186" i="1"/>
  <c r="AS207" i="1"/>
  <c r="AP2" i="1"/>
  <c r="AS29" i="1"/>
  <c r="AW172" i="1"/>
  <c r="AW200" i="1"/>
  <c r="AW207" i="1"/>
  <c r="AW7" i="1"/>
  <c r="AW61" i="1"/>
  <c r="AS79" i="1"/>
  <c r="AW111" i="1"/>
  <c r="AW125" i="1"/>
  <c r="AS176" i="1"/>
  <c r="AW179" i="1"/>
  <c r="AS183" i="1"/>
  <c r="AS190" i="1"/>
  <c r="AW197" i="1"/>
  <c r="AS42" i="1"/>
  <c r="AS55" i="1"/>
  <c r="AW75" i="1"/>
  <c r="AW97" i="1"/>
  <c r="AS101" i="1"/>
  <c r="AS115" i="1"/>
  <c r="AS136" i="1"/>
  <c r="AW149" i="1"/>
  <c r="AS89" i="1"/>
  <c r="AW13" i="1"/>
  <c r="AS96" i="1"/>
  <c r="AW99" i="1"/>
  <c r="AW5" i="1"/>
  <c r="AS22" i="1"/>
  <c r="AS30" i="1"/>
  <c r="AS38" i="1"/>
  <c r="AW44" i="1"/>
  <c r="AW103" i="1"/>
  <c r="AW41" i="1"/>
  <c r="AW117" i="1"/>
  <c r="AS73" i="1"/>
  <c r="AW83" i="1"/>
  <c r="AS104" i="1"/>
  <c r="AW195" i="1"/>
  <c r="AS48" i="1"/>
  <c r="AW54" i="1"/>
  <c r="AW15" i="1"/>
  <c r="AS58" i="1"/>
  <c r="AW64" i="1"/>
  <c r="AS88" i="1"/>
  <c r="AS112" i="1"/>
  <c r="AW98" i="1"/>
  <c r="AW74" i="1"/>
  <c r="AW82" i="1"/>
  <c r="AW90" i="1"/>
  <c r="AW106" i="1"/>
  <c r="AW114" i="1"/>
  <c r="AW122" i="1"/>
  <c r="AW130" i="1"/>
  <c r="AW138" i="1"/>
  <c r="AW146" i="1"/>
  <c r="AW154" i="1"/>
  <c r="AW162" i="1"/>
  <c r="AW182" i="1"/>
  <c r="AW202" i="1"/>
  <c r="AW168" i="1"/>
  <c r="AW188" i="1"/>
  <c r="AW72" i="1"/>
  <c r="AW80" i="1"/>
  <c r="AW88" i="1"/>
  <c r="AW96" i="1"/>
  <c r="AW104" i="1"/>
  <c r="AW112" i="1"/>
  <c r="AW120" i="1"/>
  <c r="AW128" i="1"/>
  <c r="AW136" i="1"/>
  <c r="AW144" i="1"/>
  <c r="AW152" i="1"/>
  <c r="AW160" i="1"/>
  <c r="AW194" i="1"/>
  <c r="AW166" i="1"/>
  <c r="AS175" i="1"/>
  <c r="AW186" i="1"/>
  <c r="AS195" i="1"/>
  <c r="AW206" i="1"/>
  <c r="AW70" i="1"/>
  <c r="AW78" i="1"/>
  <c r="AW86" i="1"/>
  <c r="AW94" i="1"/>
  <c r="AS97" i="1"/>
  <c r="AW102" i="1"/>
  <c r="AS105" i="1"/>
  <c r="AW110" i="1"/>
  <c r="AS113" i="1"/>
  <c r="AW118" i="1"/>
  <c r="AS121" i="1"/>
  <c r="AW126" i="1"/>
  <c r="AS129" i="1"/>
  <c r="AW134" i="1"/>
  <c r="AS137" i="1"/>
  <c r="AW142" i="1"/>
  <c r="AS145" i="1"/>
  <c r="AW150" i="1"/>
  <c r="AS153" i="1"/>
  <c r="AW158" i="1"/>
  <c r="AS161" i="1"/>
  <c r="AW192" i="1"/>
  <c r="AS201" i="1"/>
  <c r="AW178" i="1"/>
  <c r="AW198" i="1"/>
  <c r="AW76" i="1"/>
  <c r="AW84" i="1"/>
  <c r="AW92" i="1"/>
  <c r="AW100" i="1"/>
  <c r="AW108" i="1"/>
  <c r="AW116" i="1"/>
  <c r="AW124" i="1"/>
  <c r="AW132" i="1"/>
  <c r="AW140" i="1"/>
  <c r="AW148" i="1"/>
  <c r="AW156" i="1"/>
  <c r="AW164" i="1"/>
  <c r="AW184" i="1"/>
  <c r="AW204" i="1"/>
  <c r="AS41" i="1"/>
  <c r="AS51" i="1"/>
  <c r="AS61" i="1"/>
  <c r="AW170" i="1"/>
  <c r="AW190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<sst xmlns="http://schemas.openxmlformats.org/spreadsheetml/2006/main" count="3540" uniqueCount="1272">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</sst>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K1" zoomScale="80" zoomScaleNormal="80" workbookViewId="0">
      <selection activeCell="AC24" sqref="AC1:AD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5" width="32.42578125" style="74" customWidth="1"/>
    <col min="12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20</v>
      </c>
      <c r="AQ5" s="89">
        <f t="shared" ref="AQ5:AQ68" si="2">IF(AP5&gt;14,AVERAGE(K5:AO5),"")</f>
        <v>26.614999999999998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0.3020050856690375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20</v>
      </c>
      <c r="AQ6" s="89">
        <f t="shared" si="2"/>
        <v>26.869999999999997</v>
      </c>
      <c r="AR6" s="89">
        <f>IFERROR(VLOOKUP(A6,Climatologia!A:U,9+$E$2,FALSE),"")</f>
        <v>26.40894902444402</v>
      </c>
      <c r="AS6" s="89">
        <f t="shared" si="3"/>
        <v>0.46105097555597752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20</v>
      </c>
      <c r="AQ7" s="89">
        <f t="shared" si="2"/>
        <v>27.525000000000006</v>
      </c>
      <c r="AR7" s="89">
        <f>IFERROR(VLOOKUP(A7,Climatologia!A:U,9+$E$2,FALSE),"")</f>
        <v>24.967211716722289</v>
      </c>
      <c r="AS7" s="89">
        <f t="shared" si="3"/>
        <v>2.5577882832777163</v>
      </c>
      <c r="AT7" s="90">
        <f t="shared" si="4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20</v>
      </c>
      <c r="AQ8" s="89">
        <f t="shared" si="2"/>
        <v>26.389999999999997</v>
      </c>
      <c r="AR8" s="89">
        <f>IFERROR(VLOOKUP(A8,Climatologia!A:U,9+$E$2,FALSE),"")</f>
        <v>25.731714029697901</v>
      </c>
      <c r="AS8" s="89">
        <f t="shared" si="3"/>
        <v>0.65828597030209579</v>
      </c>
      <c r="AT8" s="90">
        <f t="shared" si="4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20</v>
      </c>
      <c r="AQ9" s="89">
        <f t="shared" si="2"/>
        <v>26.15</v>
      </c>
      <c r="AR9" s="89">
        <f>IFERROR(VLOOKUP(A9,Climatologia!A:U,9+$E$2,FALSE),"")</f>
        <v>24.84616941928422</v>
      </c>
      <c r="AS9" s="89">
        <f t="shared" si="3"/>
        <v>1.3038305807157791</v>
      </c>
      <c r="AT9" s="90">
        <f t="shared" si="4"/>
        <v>25.2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4.1999999999999993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20</v>
      </c>
      <c r="AQ10" s="89">
        <f t="shared" si="2"/>
        <v>27.779999999999994</v>
      </c>
      <c r="AR10" s="89">
        <f>IFERROR(VLOOKUP(A10,Climatologia!A:U,9+$E$2,FALSE),"")</f>
        <v>25.91025682931615</v>
      </c>
      <c r="AS10" s="89">
        <f t="shared" si="3"/>
        <v>1.8697431706838437</v>
      </c>
      <c r="AT10" s="90">
        <f t="shared" si="4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20</v>
      </c>
      <c r="AQ11" s="89">
        <f t="shared" si="2"/>
        <v>27.254999999999995</v>
      </c>
      <c r="AR11" s="89">
        <f>IFERROR(VLOOKUP(A11,Climatologia!A:U,9+$E$2,FALSE),"")</f>
        <v>24.65002483348788</v>
      </c>
      <c r="AS11" s="89">
        <f t="shared" si="3"/>
        <v>2.6049751665121157</v>
      </c>
      <c r="AT11" s="90">
        <f t="shared" si="4"/>
        <v>24.8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20</v>
      </c>
      <c r="AQ12" s="89">
        <f t="shared" si="2"/>
        <v>25.645</v>
      </c>
      <c r="AR12" s="89">
        <f>IFERROR(VLOOKUP(A12,Climatologia!A:U,9+$E$2,FALSE),"")</f>
        <v>23.380527878729861</v>
      </c>
      <c r="AS12" s="89">
        <f t="shared" si="3"/>
        <v>2.2644721212701384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20</v>
      </c>
      <c r="AQ13" s="89">
        <f t="shared" si="2"/>
        <v>24.840000000000003</v>
      </c>
      <c r="AR13" s="89">
        <f>IFERROR(VLOOKUP(A13,Climatologia!A:U,9+$E$2,FALSE),"")</f>
        <v>23.41727263096562</v>
      </c>
      <c r="AS13" s="89">
        <f t="shared" si="3"/>
        <v>1.4227273690343836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20</v>
      </c>
      <c r="AQ14" s="89">
        <f t="shared" si="2"/>
        <v>20.04</v>
      </c>
      <c r="AR14" s="89">
        <f>IFERROR(VLOOKUP(A14,Climatologia!A:U,9+$E$2,FALSE),"")</f>
        <v>18.607906136078171</v>
      </c>
      <c r="AS14" s="89">
        <f t="shared" si="3"/>
        <v>1.4320938639218284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20</v>
      </c>
      <c r="AQ15" s="89">
        <f t="shared" si="2"/>
        <v>24.884999999999998</v>
      </c>
      <c r="AR15" s="89">
        <f>IFERROR(VLOOKUP(A15,Climatologia!A:U,9+$E$2,FALSE),"")</f>
        <v>23.779123470522801</v>
      </c>
      <c r="AS15" s="89">
        <f t="shared" si="3"/>
        <v>1.1058765294771966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20</v>
      </c>
      <c r="AQ16" s="89">
        <f t="shared" si="2"/>
        <v>25.215</v>
      </c>
      <c r="AR16" s="89">
        <f>IFERROR(VLOOKUP(A16,Climatologia!A:U,9+$E$2,FALSE),"")</f>
        <v>23.317825682382139</v>
      </c>
      <c r="AS16" s="89">
        <f t="shared" si="3"/>
        <v>1.8971743176178606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20</v>
      </c>
      <c r="AQ17" s="89">
        <f t="shared" si="2"/>
        <v>18.724999999999998</v>
      </c>
      <c r="AR17" s="89">
        <f>IFERROR(VLOOKUP(A17,Climatologia!A:U,9+$E$2,FALSE),"")</f>
        <v>17.48384501297738</v>
      </c>
      <c r="AS17" s="89">
        <f t="shared" si="3"/>
        <v>1.2411549870226182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20</v>
      </c>
      <c r="AQ18" s="89">
        <f t="shared" si="2"/>
        <v>11.750000000000002</v>
      </c>
      <c r="AR18" s="89">
        <f>IFERROR(VLOOKUP(A18,Climatologia!A:U,9+$E$2,FALSE),"")</f>
        <v>12.078935483870969</v>
      </c>
      <c r="AS18" s="89">
        <f t="shared" si="3"/>
        <v>-0.32893548387096772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20</v>
      </c>
      <c r="AQ19" s="89">
        <f t="shared" si="2"/>
        <v>19.149999999999999</v>
      </c>
      <c r="AR19" s="89">
        <f>IFERROR(VLOOKUP(A19,Climatologia!A:U,9+$E$2,FALSE),"")</f>
        <v>17.615136476426802</v>
      </c>
      <c r="AS19" s="89">
        <f t="shared" si="3"/>
        <v>1.5348635235731969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20</v>
      </c>
      <c r="AQ20" s="89">
        <f t="shared" si="2"/>
        <v>17.850000000000001</v>
      </c>
      <c r="AR20" s="89">
        <f>IFERROR(VLOOKUP(A20,Climatologia!A:U,9+$E$2,FALSE),"")</f>
        <v>16.97514080901178</v>
      </c>
      <c r="AS20" s="89">
        <f t="shared" si="3"/>
        <v>0.87485919098822151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20</v>
      </c>
      <c r="AQ21" s="89">
        <f t="shared" si="2"/>
        <v>20.79</v>
      </c>
      <c r="AR21" s="89">
        <f>IFERROR(VLOOKUP(A21,Climatologia!A:U,9+$E$2,FALSE),"")</f>
        <v>19.23867916144334</v>
      </c>
      <c r="AS21" s="89">
        <f t="shared" si="3"/>
        <v>1.5513208385566593</v>
      </c>
      <c r="AT21" s="90">
        <f t="shared" si="4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20</v>
      </c>
      <c r="AQ22" s="89">
        <f t="shared" si="2"/>
        <v>9.66</v>
      </c>
      <c r="AR22" s="89">
        <f>IFERROR(VLOOKUP(A22,Climatologia!A:U,9+$E$2,FALSE),"")</f>
        <v>8.5669829725335838</v>
      </c>
      <c r="AS22" s="89">
        <f t="shared" si="3"/>
        <v>1.0930170274664164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20</v>
      </c>
      <c r="AQ23" s="89">
        <f t="shared" si="2"/>
        <v>19.47</v>
      </c>
      <c r="AR23" s="89">
        <f>IFERROR(VLOOKUP(A23,Climatologia!A:U,9+$E$2,FALSE),"")</f>
        <v>18.632546225180629</v>
      </c>
      <c r="AS23" s="89">
        <f t="shared" si="3"/>
        <v>0.83745377481936956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20</v>
      </c>
      <c r="AQ24" s="89">
        <f t="shared" si="2"/>
        <v>23.82</v>
      </c>
      <c r="AR24" s="89">
        <f>IFERROR(VLOOKUP(A24,Climatologia!A:U,9+$E$2,FALSE),"")</f>
        <v>22.755698924731181</v>
      </c>
      <c r="AS24" s="89">
        <f t="shared" si="3"/>
        <v>1.0643010752688191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4.2000000000000028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20</v>
      </c>
      <c r="AQ25" s="89">
        <f t="shared" si="2"/>
        <v>15.029999999999998</v>
      </c>
      <c r="AR25" s="89">
        <f>IFERROR(VLOOKUP(A25,Climatologia!A:U,9+$E$2,FALSE),"")</f>
        <v>14.458778519342481</v>
      </c>
      <c r="AS25" s="89">
        <f t="shared" si="3"/>
        <v>0.57122148065751688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20</v>
      </c>
      <c r="AQ26" s="89">
        <f t="shared" si="2"/>
        <v>7.37</v>
      </c>
      <c r="AR26" s="89">
        <f>IFERROR(VLOOKUP(A26,Climatologia!A:U,9+$E$2,FALSE),"")</f>
        <v>5.5482835334279477</v>
      </c>
      <c r="AS26" s="89">
        <f t="shared" si="3"/>
        <v>1.8217164665720524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20</v>
      </c>
      <c r="AQ27" s="89">
        <f t="shared" si="2"/>
        <v>24.660000000000004</v>
      </c>
      <c r="AR27" s="89">
        <f>IFERROR(VLOOKUP(A27,Climatologia!A:U,9+$E$2,FALSE),"")</f>
        <v>23.205806451612911</v>
      </c>
      <c r="AS27" s="89">
        <f t="shared" si="3"/>
        <v>1.4541935483870922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20</v>
      </c>
      <c r="AQ28" s="89">
        <f t="shared" si="2"/>
        <v>23.47</v>
      </c>
      <c r="AR28" s="89">
        <f>IFERROR(VLOOKUP(A28,Climatologia!A:U,9+$E$2,FALSE),"")</f>
        <v>22.637933865990991</v>
      </c>
      <c r="AS28" s="89">
        <f t="shared" si="3"/>
        <v>0.83206613400900764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20</v>
      </c>
      <c r="AQ29" s="89">
        <f t="shared" si="2"/>
        <v>24.274999999999995</v>
      </c>
      <c r="AR29" s="89">
        <f>IFERROR(VLOOKUP(A29,Climatologia!A:U,9+$E$2,FALSE),"")</f>
        <v>23.3590368608799</v>
      </c>
      <c r="AS29" s="89">
        <f t="shared" si="3"/>
        <v>0.91596313912009464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20</v>
      </c>
      <c r="AQ30" s="89">
        <f t="shared" si="2"/>
        <v>21.215</v>
      </c>
      <c r="AR30" s="89">
        <f>IFERROR(VLOOKUP(A30,Climatologia!A:U,9+$E$2,FALSE),"")</f>
        <v>20.397956989247309</v>
      </c>
      <c r="AS30" s="89">
        <f t="shared" si="3"/>
        <v>0.81704301075269115</v>
      </c>
      <c r="AT30" s="90">
        <f t="shared" si="4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20</v>
      </c>
      <c r="AQ31" s="89">
        <f t="shared" si="2"/>
        <v>23.044999999999998</v>
      </c>
      <c r="AR31" s="89">
        <f>IFERROR(VLOOKUP(A31,Climatologia!A:U,9+$E$2,FALSE),"")</f>
        <v>21.59281959378734</v>
      </c>
      <c r="AS31" s="89">
        <f t="shared" si="3"/>
        <v>1.4521804062126584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20</v>
      </c>
      <c r="AQ32" s="89">
        <f t="shared" si="2"/>
        <v>14.169999999999998</v>
      </c>
      <c r="AR32" s="89">
        <f>IFERROR(VLOOKUP(A32,Climatologia!A:U,9+$E$2,FALSE),"")</f>
        <v>13.441294802867381</v>
      </c>
      <c r="AS32" s="89">
        <f t="shared" si="3"/>
        <v>0.7287051971326175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20</v>
      </c>
      <c r="AQ34" s="89">
        <f t="shared" si="2"/>
        <v>15.5</v>
      </c>
      <c r="AR34" s="89">
        <f>IFERROR(VLOOKUP(A34,Climatologia!A:U,9+$E$2,FALSE),"")</f>
        <v>14.773956247682611</v>
      </c>
      <c r="AS34" s="89">
        <f t="shared" si="3"/>
        <v>0.72604375231738949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20</v>
      </c>
      <c r="AQ35" s="89">
        <f t="shared" si="2"/>
        <v>14.920000000000005</v>
      </c>
      <c r="AR35" s="89">
        <f>IFERROR(VLOOKUP(A35,Climatologia!A:U,9+$E$2,FALSE),"")</f>
        <v>13.253440860215051</v>
      </c>
      <c r="AS35" s="89">
        <f t="shared" si="3"/>
        <v>1.6665591397849546</v>
      </c>
      <c r="AT35" s="90">
        <f t="shared" si="4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20</v>
      </c>
      <c r="AQ36" s="89">
        <f t="shared" si="2"/>
        <v>19.09</v>
      </c>
      <c r="AR36" s="89">
        <f>IFERROR(VLOOKUP(A36,Climatologia!A:U,9+$E$2,FALSE),"")</f>
        <v>19.581162337847541</v>
      </c>
      <c r="AS36" s="89">
        <f t="shared" si="3"/>
        <v>-0.49116233784754115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20</v>
      </c>
      <c r="AQ37" s="89">
        <f t="shared" si="2"/>
        <v>9.3899999999999988</v>
      </c>
      <c r="AR37" s="89">
        <f>IFERROR(VLOOKUP(A37,Climatologia!A:U,9+$E$2,FALSE),"")</f>
        <v>9.3349769585253455</v>
      </c>
      <c r="AS37" s="89">
        <f t="shared" si="3"/>
        <v>5.5023041474653311E-2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20</v>
      </c>
      <c r="AQ38" s="89">
        <f t="shared" si="2"/>
        <v>17.2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20</v>
      </c>
      <c r="AQ39" s="89">
        <f t="shared" si="2"/>
        <v>19.270000000000003</v>
      </c>
      <c r="AR39" s="89">
        <f>IFERROR(VLOOKUP(A39,Climatologia!A:U,9+$E$2,FALSE),"")</f>
        <v>17.20506668314588</v>
      </c>
      <c r="AS39" s="89">
        <f t="shared" si="3"/>
        <v>2.0649333168541233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20</v>
      </c>
      <c r="AQ40" s="89">
        <f t="shared" si="2"/>
        <v>14.444999999999999</v>
      </c>
      <c r="AR40" s="89">
        <f>IFERROR(VLOOKUP(A40,Climatologia!A:U,9+$E$2,FALSE),"")</f>
        <v>12.94546489563567</v>
      </c>
      <c r="AS40" s="89">
        <f t="shared" si="3"/>
        <v>1.4995351043643286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20</v>
      </c>
      <c r="AQ41" s="89">
        <f t="shared" si="2"/>
        <v>25.030000000000005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19</v>
      </c>
      <c r="AQ42" s="89">
        <f t="shared" si="2"/>
        <v>25.88421052631579</v>
      </c>
      <c r="AR42" s="89">
        <f>IFERROR(VLOOKUP(A42,Climatologia!A:U,9+$E$2,FALSE),"")</f>
        <v>24.432895496420521</v>
      </c>
      <c r="AS42" s="89">
        <f t="shared" si="3"/>
        <v>1.4513150298952695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20</v>
      </c>
      <c r="AQ43" s="89">
        <f t="shared" si="2"/>
        <v>24.314999999999998</v>
      </c>
      <c r="AR43" s="89">
        <f>IFERROR(VLOOKUP(A43,Climatologia!A:U,9+$E$2,FALSE),"")</f>
        <v>23.70475716371773</v>
      </c>
      <c r="AS43" s="89">
        <f t="shared" si="3"/>
        <v>0.61024283628226783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20</v>
      </c>
      <c r="AQ44" s="89">
        <f t="shared" si="2"/>
        <v>24.699999999999996</v>
      </c>
      <c r="AR44" s="89">
        <f>IFERROR(VLOOKUP(A44,Climatologia!A:U,9+$E$2,FALSE),"")</f>
        <v>23.278211411491501</v>
      </c>
      <c r="AS44" s="89">
        <f t="shared" si="3"/>
        <v>1.4217885885084947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20</v>
      </c>
      <c r="AQ47" s="89">
        <f t="shared" si="2"/>
        <v>25.309999999999995</v>
      </c>
      <c r="AR47" s="89">
        <f>IFERROR(VLOOKUP(A47,Climatologia!A:U,9+$E$2,FALSE),"")</f>
        <v>23.077912101041139</v>
      </c>
      <c r="AS47" s="89">
        <f t="shared" si="3"/>
        <v>2.2320878989588557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20</v>
      </c>
      <c r="AQ51" s="89">
        <f t="shared" si="2"/>
        <v>25.22</v>
      </c>
      <c r="AR51" s="89">
        <f>IFERROR(VLOOKUP(A51,Climatologia!A:U,9+$E$2,FALSE),"")</f>
        <v>23.209114934289129</v>
      </c>
      <c r="AS51" s="89">
        <f t="shared" si="3"/>
        <v>2.0108850657108697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20</v>
      </c>
      <c r="AQ52" s="89">
        <f t="shared" si="2"/>
        <v>25.339999999999996</v>
      </c>
      <c r="AR52" s="89">
        <f>IFERROR(VLOOKUP(A52,Climatologia!A:U,9+$E$2,FALSE),"")</f>
        <v>22.730537765699061</v>
      </c>
      <c r="AS52" s="89">
        <f t="shared" si="3"/>
        <v>2.6094622343009348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15</v>
      </c>
      <c r="AQ53" s="89">
        <f t="shared" si="2"/>
        <v>25.266666666666662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20</v>
      </c>
      <c r="AQ54" s="89">
        <f t="shared" si="2"/>
        <v>23.384999999999998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20</v>
      </c>
      <c r="AQ57" s="89">
        <f t="shared" si="2"/>
        <v>24.990000000000002</v>
      </c>
      <c r="AR57" s="89">
        <f>IFERROR(VLOOKUP(A57,Climatologia!A:U,9+$E$2,FALSE),"")</f>
        <v>23.929337221065921</v>
      </c>
      <c r="AS57" s="89">
        <f t="shared" si="3"/>
        <v>1.0606627789340806</v>
      </c>
      <c r="AT57" s="90">
        <f t="shared" si="4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20</v>
      </c>
      <c r="AQ58" s="89">
        <f t="shared" si="2"/>
        <v>22.73</v>
      </c>
      <c r="AR58" s="89">
        <f>IFERROR(VLOOKUP(A58,Climatologia!A:U,9+$E$2,FALSE),"")</f>
        <v>21.121835024190759</v>
      </c>
      <c r="AS58" s="89">
        <f t="shared" si="3"/>
        <v>1.6081649758092418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20</v>
      </c>
      <c r="AQ60" s="89">
        <f t="shared" si="2"/>
        <v>22.31</v>
      </c>
      <c r="AR60" s="89">
        <f>IFERROR(VLOOKUP(A60,Climatologia!A:U,9+$E$2,FALSE),"")</f>
        <v>21.335368281215381</v>
      </c>
      <c r="AS60" s="89">
        <f t="shared" si="3"/>
        <v>0.97463171878461807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>
        <v>22.6</v>
      </c>
      <c r="AD63" s="51">
        <v>22.8</v>
      </c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11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20</v>
      </c>
      <c r="AQ64" s="89">
        <f t="shared" si="2"/>
        <v>22.669999999999998</v>
      </c>
      <c r="AR64" s="89">
        <f>IFERROR(VLOOKUP(A64,Climatologia!A:U,9+$E$2,FALSE),"")</f>
        <v>21.690749245193071</v>
      </c>
      <c r="AS64" s="89">
        <f t="shared" si="3"/>
        <v>0.97925075480692669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20</v>
      </c>
      <c r="AQ65" s="89">
        <f t="shared" si="2"/>
        <v>22.31</v>
      </c>
      <c r="AR65" s="89">
        <f>IFERROR(VLOOKUP(A65,Climatologia!A:U,9+$E$2,FALSE),"")</f>
        <v>21.403540366427119</v>
      </c>
      <c r="AS65" s="89">
        <f t="shared" si="3"/>
        <v>0.9064596335728794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20</v>
      </c>
      <c r="AQ67" s="89">
        <f t="shared" si="2"/>
        <v>20.274999999999999</v>
      </c>
      <c r="AR67" s="89">
        <f>IFERROR(VLOOKUP(A67,Climatologia!A:U,9+$E$2,FALSE),"")</f>
        <v>21.093190044711658</v>
      </c>
      <c r="AS67" s="89">
        <f t="shared" si="3"/>
        <v>-0.81819004471165968</v>
      </c>
      <c r="AT67" s="90">
        <f t="shared" si="4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20</v>
      </c>
      <c r="AQ68" s="89">
        <f t="shared" si="2"/>
        <v>20.905000000000001</v>
      </c>
      <c r="AR68" s="89">
        <f>IFERROR(VLOOKUP(A68,Climatologia!A:U,9+$E$2,FALSE),"")</f>
        <v>20.820880569459899</v>
      </c>
      <c r="AS68" s="89">
        <f t="shared" si="3"/>
        <v>8.4119430540102513E-2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16</v>
      </c>
      <c r="AQ69" s="89">
        <f t="shared" ref="AQ69:AQ132" si="7">IF(AP69&gt;14,AVERAGE(K69:AO69),"")</f>
        <v>22.675000000000001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1.8956720249531713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20</v>
      </c>
      <c r="AQ70" s="89">
        <f t="shared" si="7"/>
        <v>23.009999999999998</v>
      </c>
      <c r="AR70" s="89">
        <f>IFERROR(VLOOKUP(A70,Climatologia!A:U,9+$E$2,FALSE),"")</f>
        <v>22.364932118308101</v>
      </c>
      <c r="AS70" s="89">
        <f t="shared" si="8"/>
        <v>0.64506788169189733</v>
      </c>
      <c r="AT70" s="90">
        <f t="shared" si="9"/>
        <v>22.1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6.3000000000000007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20</v>
      </c>
      <c r="AQ71" s="89">
        <f t="shared" si="7"/>
        <v>22.855000000000008</v>
      </c>
      <c r="AR71" s="89">
        <f>IFERROR(VLOOKUP(A71,Climatologia!A:U,9+$E$2,FALSE),"")</f>
        <v>21.655481553578049</v>
      </c>
      <c r="AS71" s="89">
        <f t="shared" si="8"/>
        <v>1.1995184464219584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17</v>
      </c>
      <c r="AQ72" s="89">
        <f t="shared" si="7"/>
        <v>21.5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19</v>
      </c>
      <c r="AQ73" s="89">
        <f t="shared" si="7"/>
        <v>17.221052631578946</v>
      </c>
      <c r="AR73" s="89">
        <f>IFERROR(VLOOKUP(A73,Climatologia!A:U,9+$E$2,FALSE),"")</f>
        <v>16.31980835849356</v>
      </c>
      <c r="AS73" s="89">
        <f t="shared" si="8"/>
        <v>0.90124427308538557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20</v>
      </c>
      <c r="AQ74" s="89">
        <f t="shared" si="7"/>
        <v>12.459999999999999</v>
      </c>
      <c r="AR74" s="89">
        <f>IFERROR(VLOOKUP(A74,Climatologia!A:U,9+$E$2,FALSE),"")</f>
        <v>11.80563736724846</v>
      </c>
      <c r="AS74" s="89">
        <f t="shared" si="8"/>
        <v>0.65436263275153905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20</v>
      </c>
      <c r="AQ75" s="89">
        <f t="shared" si="7"/>
        <v>16.619999999999997</v>
      </c>
      <c r="AR75" s="89">
        <f>IFERROR(VLOOKUP(A75,Climatologia!A:U,9+$E$2,FALSE),"")</f>
        <v>15.64745715221115</v>
      </c>
      <c r="AS75" s="89">
        <f t="shared" si="8"/>
        <v>0.97254284778884781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20</v>
      </c>
      <c r="AQ76" s="89">
        <f t="shared" si="7"/>
        <v>16.79</v>
      </c>
      <c r="AR76" s="89">
        <f>IFERROR(VLOOKUP(A76,Climatologia!A:U,9+$E$2,FALSE),"")</f>
        <v>18.21514905534578</v>
      </c>
      <c r="AS76" s="89">
        <f t="shared" si="8"/>
        <v>-1.4251490553457806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20</v>
      </c>
      <c r="AQ77" s="89">
        <f t="shared" si="7"/>
        <v>25.76</v>
      </c>
      <c r="AR77" s="89">
        <f>IFERROR(VLOOKUP(A77,Climatologia!A:U,9+$E$2,FALSE),"")</f>
        <v>23.98594554377442</v>
      </c>
      <c r="AS77" s="89">
        <f t="shared" si="8"/>
        <v>1.7740544562255813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18</v>
      </c>
      <c r="AQ78" s="89">
        <f t="shared" si="7"/>
        <v>24.366666666666667</v>
      </c>
      <c r="AR78" s="89">
        <f>IFERROR(VLOOKUP(A78,Climatologia!A:U,9+$E$2,FALSE),"")</f>
        <v>23.030800614819611</v>
      </c>
      <c r="AS78" s="89">
        <f t="shared" si="8"/>
        <v>1.3358660518470558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20</v>
      </c>
      <c r="AQ79" s="89">
        <f t="shared" si="7"/>
        <v>15.01</v>
      </c>
      <c r="AR79" s="89">
        <f>IFERROR(VLOOKUP(A79,Climatologia!A:U,9+$E$2,FALSE),"")</f>
        <v>15.20904351496088</v>
      </c>
      <c r="AS79" s="89">
        <f t="shared" si="8"/>
        <v>-0.19904351496088069</v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18</v>
      </c>
      <c r="AQ81" s="89">
        <f t="shared" si="7"/>
        <v>22.733333333333334</v>
      </c>
      <c r="AR81" s="89">
        <f>IFERROR(VLOOKUP(A81,Climatologia!A:U,9+$E$2,FALSE),"")</f>
        <v>21.607376978198339</v>
      </c>
      <c r="AS81" s="89">
        <f t="shared" si="8"/>
        <v>1.1259563551349956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15</v>
      </c>
      <c r="AQ83" s="89">
        <f t="shared" si="7"/>
        <v>26.61333333333333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20</v>
      </c>
      <c r="AQ84" s="89">
        <f t="shared" si="7"/>
        <v>26.159999999999997</v>
      </c>
      <c r="AR84" s="89">
        <f>IFERROR(VLOOKUP(A84,Climatologia!A:U,9+$E$2,FALSE),"")</f>
        <v>23.66046866958937</v>
      </c>
      <c r="AS84" s="89">
        <f t="shared" si="8"/>
        <v>2.4995313304106261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20</v>
      </c>
      <c r="AQ85" s="89">
        <f t="shared" si="7"/>
        <v>25.119999999999997</v>
      </c>
      <c r="AR85" s="89">
        <f>IFERROR(VLOOKUP(A85,Climatologia!A:U,9+$E$2,FALSE),"")</f>
        <v>23.305497603590929</v>
      </c>
      <c r="AS85" s="89">
        <f t="shared" si="8"/>
        <v>1.8145023964090683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20</v>
      </c>
      <c r="AQ86" s="89">
        <f t="shared" si="7"/>
        <v>21.680000000000003</v>
      </c>
      <c r="AR86" s="89">
        <f>IFERROR(VLOOKUP(A86,Climatologia!A:U,9+$E$2,FALSE),"")</f>
        <v>22.830460829493081</v>
      </c>
      <c r="AS86" s="89">
        <f t="shared" si="8"/>
        <v>-1.1504608294930776</v>
      </c>
      <c r="AT86" s="90">
        <f t="shared" si="9"/>
        <v>20.399999999999999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4.3999999999999986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18</v>
      </c>
      <c r="AQ87" s="89">
        <f t="shared" si="7"/>
        <v>27.133333333333336</v>
      </c>
      <c r="AR87" s="89">
        <f>IFERROR(VLOOKUP(A87,Climatologia!A:U,9+$E$2,FALSE),"")</f>
        <v>23.82157476757439</v>
      </c>
      <c r="AS87" s="89">
        <f t="shared" si="8"/>
        <v>3.3117585657589466</v>
      </c>
      <c r="AT87" s="90">
        <f t="shared" si="9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19</v>
      </c>
      <c r="AQ88" s="89">
        <f t="shared" si="7"/>
        <v>27.326315789473693</v>
      </c>
      <c r="AR88" s="89">
        <f>IFERROR(VLOOKUP(A88,Climatologia!A:U,9+$E$2,FALSE),"")</f>
        <v>23.447051220933311</v>
      </c>
      <c r="AS88" s="89">
        <f t="shared" si="8"/>
        <v>3.8792645685403819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>
        <v>13</v>
      </c>
      <c r="AC89" s="51">
        <v>12.8</v>
      </c>
      <c r="AD89" s="51">
        <v>12.8</v>
      </c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19</v>
      </c>
      <c r="AQ89" s="89">
        <f t="shared" si="7"/>
        <v>12.642105263157896</v>
      </c>
      <c r="AR89" s="89">
        <f>IFERROR(VLOOKUP(A89,Climatologia!A:U,9+$E$2,FALSE),"")</f>
        <v>11.21</v>
      </c>
      <c r="AS89" s="89">
        <f t="shared" si="8"/>
        <v>1.4321052631578954</v>
      </c>
      <c r="AT89" s="90">
        <f t="shared" si="9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0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>
        <v>18.600000000000001</v>
      </c>
      <c r="AB90" s="51">
        <v>19</v>
      </c>
      <c r="AC90" s="51">
        <v>18</v>
      </c>
      <c r="AD90" s="51">
        <v>17.399999999999999</v>
      </c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20</v>
      </c>
      <c r="AQ90" s="89">
        <f t="shared" si="7"/>
        <v>17.899999999999999</v>
      </c>
      <c r="AR90" s="89">
        <f>IFERROR(VLOOKUP(A90,Climatologia!A:U,9+$E$2,FALSE),"")</f>
        <v>17.613159782779519</v>
      </c>
      <c r="AS90" s="89">
        <f t="shared" si="8"/>
        <v>0.28684021722047959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0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>
        <v>10.4</v>
      </c>
      <c r="AB91" s="51">
        <v>9.6</v>
      </c>
      <c r="AC91" s="51">
        <v>9.8000000000000007</v>
      </c>
      <c r="AD91" s="51">
        <v>10.6</v>
      </c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20</v>
      </c>
      <c r="AQ91" s="89">
        <f t="shared" si="7"/>
        <v>11</v>
      </c>
      <c r="AR91" s="89">
        <f>IFERROR(VLOOKUP(A91,Climatologia!A:U,9+$E$2,FALSE),"")</f>
        <v>11.47881802826185</v>
      </c>
      <c r="AS91" s="89">
        <f t="shared" si="8"/>
        <v>-0.47881802826185016</v>
      </c>
      <c r="AT91" s="90">
        <f t="shared" si="9"/>
        <v>9.6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0"/>
        <v>4.5999999999999996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>
        <v>10.199999999999999</v>
      </c>
      <c r="AB92" s="51">
        <v>8.1999999999999993</v>
      </c>
      <c r="AC92" s="51">
        <v>10.6</v>
      </c>
      <c r="AD92" s="51">
        <v>11</v>
      </c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20</v>
      </c>
      <c r="AQ92" s="89">
        <f t="shared" si="7"/>
        <v>10.319999999999999</v>
      </c>
      <c r="AR92" s="89">
        <f>IFERROR(VLOOKUP(A92,Climatologia!A:U,9+$E$2,FALSE),"")</f>
        <v>8.9015099398191726</v>
      </c>
      <c r="AS92" s="89">
        <f t="shared" si="8"/>
        <v>1.4184900601808259</v>
      </c>
      <c r="AT92" s="90">
        <f t="shared" si="9"/>
        <v>8.1999999999999993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0"/>
        <v>9.6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10.516628421304731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 t="str">
        <f t="shared" si="9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0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>
        <v>6.4</v>
      </c>
      <c r="AB95" s="51">
        <v>6</v>
      </c>
      <c r="AC95" s="51">
        <v>10.8</v>
      </c>
      <c r="AD95" s="51">
        <v>10.4</v>
      </c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20</v>
      </c>
      <c r="AQ95" s="89">
        <f t="shared" si="7"/>
        <v>8.06</v>
      </c>
      <c r="AR95" s="89">
        <f>IFERROR(VLOOKUP(A95,Climatologia!A:U,9+$E$2,FALSE),"")</f>
        <v>7.2926861266282854</v>
      </c>
      <c r="AS95" s="89">
        <f t="shared" si="8"/>
        <v>0.76731387337171508</v>
      </c>
      <c r="AT95" s="90">
        <f t="shared" si="9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0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>
        <v>8.4</v>
      </c>
      <c r="AB96" s="51">
        <v>9</v>
      </c>
      <c r="AC96" s="51">
        <v>8</v>
      </c>
      <c r="AD96" s="51">
        <v>9.6</v>
      </c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19</v>
      </c>
      <c r="AQ96" s="89">
        <f t="shared" si="7"/>
        <v>8.526315789473685</v>
      </c>
      <c r="AR96" s="89">
        <f>IFERROR(VLOOKUP(A96,Climatologia!A:U,9+$E$2,FALSE),"")</f>
        <v>8.3150202936469455</v>
      </c>
      <c r="AS96" s="89">
        <f t="shared" si="8"/>
        <v>0.21129549582673945</v>
      </c>
      <c r="AT96" s="90">
        <f t="shared" si="9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0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>
        <v>5.8</v>
      </c>
      <c r="AB97" s="51">
        <v>5.4</v>
      </c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15</v>
      </c>
      <c r="AQ97" s="89">
        <f t="shared" si="7"/>
        <v>8.1999999999999993</v>
      </c>
      <c r="AR97" s="89">
        <f>IFERROR(VLOOKUP(A97,Climatologia!A:U,9+$E$2,FALSE),"")</f>
        <v>6.6085478664622164</v>
      </c>
      <c r="AS97" s="89">
        <f t="shared" si="8"/>
        <v>1.5914521335377829</v>
      </c>
      <c r="AT97" s="90">
        <f t="shared" si="9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0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>
        <v>8.6</v>
      </c>
      <c r="AB98" s="51">
        <v>6.4</v>
      </c>
      <c r="AC98" s="51">
        <v>10.199999999999999</v>
      </c>
      <c r="AD98" s="51">
        <v>11</v>
      </c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16</v>
      </c>
      <c r="AQ98" s="89">
        <f t="shared" si="7"/>
        <v>9.2125000000000004</v>
      </c>
      <c r="AR98" s="89">
        <f>IFERROR(VLOOKUP(A98,Climatologia!A:U,9+$E$2,FALSE),"")</f>
        <v>8.6035988588983976</v>
      </c>
      <c r="AS98" s="89">
        <f t="shared" si="8"/>
        <v>0.60890114110160276</v>
      </c>
      <c r="AT98" s="90">
        <f t="shared" si="9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>
        <v>8.1999999999999993</v>
      </c>
      <c r="AB99" s="51">
        <v>8.1999999999999993</v>
      </c>
      <c r="AC99" s="51">
        <v>8</v>
      </c>
      <c r="AD99" s="51">
        <v>7.8</v>
      </c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19</v>
      </c>
      <c r="AQ99" s="89">
        <f t="shared" si="7"/>
        <v>8.2000000000000011</v>
      </c>
      <c r="AR99" s="89">
        <f>IFERROR(VLOOKUP(A99,Climatologia!A:U,9+$E$2,FALSE),"")</f>
        <v>7.1380787981158749</v>
      </c>
      <c r="AS99" s="89">
        <f t="shared" si="8"/>
        <v>1.0619212018841262</v>
      </c>
      <c r="AT99" s="90">
        <f t="shared" si="9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17.58747112704102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10.726671292953201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>
        <v>11.2</v>
      </c>
      <c r="AB102" s="51">
        <v>11</v>
      </c>
      <c r="AC102" s="51">
        <v>14</v>
      </c>
      <c r="AD102" s="51">
        <v>14</v>
      </c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18</v>
      </c>
      <c r="AQ102" s="89">
        <f t="shared" si="7"/>
        <v>11.966666666666665</v>
      </c>
      <c r="AR102" s="89">
        <f>IFERROR(VLOOKUP(A102,Climatologia!A:U,9+$E$2,FALSE),"")</f>
        <v>11.27595769595214</v>
      </c>
      <c r="AS102" s="89">
        <f t="shared" si="8"/>
        <v>0.69070897071452464</v>
      </c>
      <c r="AT102" s="90">
        <f t="shared" si="9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0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>
        <v>2</v>
      </c>
      <c r="AB103" s="51">
        <v>3</v>
      </c>
      <c r="AC103" s="51">
        <v>7.8</v>
      </c>
      <c r="AD103" s="51">
        <v>8.6</v>
      </c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14</v>
      </c>
      <c r="AQ103" s="89" t="str">
        <f t="shared" si="7"/>
        <v/>
      </c>
      <c r="AR103" s="89">
        <f>IFERROR(VLOOKUP(A103,Climatologia!A:U,9+$E$2,FALSE),"")</f>
        <v>5.4140939864595783</v>
      </c>
      <c r="AS103" s="89" t="str">
        <f t="shared" si="8"/>
        <v/>
      </c>
      <c r="AT103" s="90">
        <f t="shared" si="9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0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>
        <v>5.2</v>
      </c>
      <c r="AB104" s="51">
        <v>4.2</v>
      </c>
      <c r="AC104" s="51">
        <v>8.4</v>
      </c>
      <c r="AD104" s="51">
        <v>5.5</v>
      </c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20</v>
      </c>
      <c r="AQ104" s="89">
        <f t="shared" si="7"/>
        <v>6.3950000000000014</v>
      </c>
      <c r="AR104" s="89">
        <f>IFERROR(VLOOKUP(A104,Climatologia!A:U,9+$E$2,FALSE),"")</f>
        <v>6.7483058935476308</v>
      </c>
      <c r="AS104" s="89">
        <f t="shared" si="8"/>
        <v>-0.35330589354762942</v>
      </c>
      <c r="AT104" s="90">
        <f t="shared" si="9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0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>
        <v>10.6</v>
      </c>
      <c r="AB105" s="51">
        <v>10.4</v>
      </c>
      <c r="AC105" s="51">
        <v>10.6</v>
      </c>
      <c r="AD105" s="51">
        <v>10.4</v>
      </c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20</v>
      </c>
      <c r="AQ105" s="89">
        <f t="shared" si="7"/>
        <v>11.040000000000001</v>
      </c>
      <c r="AR105" s="89">
        <f>IFERROR(VLOOKUP(A105,Climatologia!A:U,9+$E$2,FALSE),"")</f>
        <v>10.11868743047831</v>
      </c>
      <c r="AS105" s="89">
        <f t="shared" si="8"/>
        <v>0.92131256952169061</v>
      </c>
      <c r="AT105" s="90">
        <f t="shared" si="9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>
        <v>15</v>
      </c>
      <c r="AB106" s="51">
        <v>15.2</v>
      </c>
      <c r="AC106" s="51">
        <v>14</v>
      </c>
      <c r="AD106" s="51">
        <v>15.8</v>
      </c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20</v>
      </c>
      <c r="AQ106" s="89">
        <f t="shared" si="7"/>
        <v>14.270000000000001</v>
      </c>
      <c r="AR106" s="89">
        <f>IFERROR(VLOOKUP(A106,Climatologia!A:U,9+$E$2,FALSE),"")</f>
        <v>13.701938132316331</v>
      </c>
      <c r="AS106" s="89">
        <f t="shared" si="8"/>
        <v>0.56806186768367084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0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>
        <v>11.4</v>
      </c>
      <c r="AB107" s="51">
        <v>9.8000000000000007</v>
      </c>
      <c r="AC107" s="51">
        <v>12</v>
      </c>
      <c r="AD107" s="51">
        <v>13.6</v>
      </c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20</v>
      </c>
      <c r="AQ107" s="89">
        <f t="shared" si="7"/>
        <v>12.465</v>
      </c>
      <c r="AR107" s="89">
        <f>IFERROR(VLOOKUP(A107,Climatologia!A:U,9+$E$2,FALSE),"")</f>
        <v>11.932798761909369</v>
      </c>
      <c r="AS107" s="89">
        <f t="shared" si="8"/>
        <v>0.53220123809063047</v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0"/>
        <v>3.6000000000000005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>
        <v>15.8</v>
      </c>
      <c r="AB108" s="51">
        <v>16</v>
      </c>
      <c r="AC108" s="51">
        <v>14.6</v>
      </c>
      <c r="AD108" s="51">
        <v>15.8</v>
      </c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20</v>
      </c>
      <c r="AQ108" s="89">
        <f t="shared" si="7"/>
        <v>14.700000000000003</v>
      </c>
      <c r="AR108" s="89">
        <f>IFERROR(VLOOKUP(A108,Climatologia!A:U,9+$E$2,FALSE),"")</f>
        <v>13.551301836348379</v>
      </c>
      <c r="AS108" s="89">
        <f t="shared" si="8"/>
        <v>1.1486981636516234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>
        <v>16.8</v>
      </c>
      <c r="AB109" s="51">
        <v>16.399999999999999</v>
      </c>
      <c r="AC109" s="51">
        <v>15.6</v>
      </c>
      <c r="AD109" s="51">
        <v>16.399999999999999</v>
      </c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20</v>
      </c>
      <c r="AQ109" s="89">
        <f t="shared" si="7"/>
        <v>15.639999999999997</v>
      </c>
      <c r="AR109" s="89">
        <f>IFERROR(VLOOKUP(A109,Climatologia!A:U,9+$E$2,FALSE),"")</f>
        <v>13.61231765453679</v>
      </c>
      <c r="AS109" s="89">
        <f t="shared" si="8"/>
        <v>2.0276823454632069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9</v>
      </c>
      <c r="AQ110" s="89" t="str">
        <f t="shared" si="7"/>
        <v/>
      </c>
      <c r="AR110" s="89">
        <f>IFERROR(VLOOKUP(A110,Climatologia!A:U,9+$E$2,FALSE),"")</f>
        <v>16.896189639584598</v>
      </c>
      <c r="AS110" s="89" t="str">
        <f t="shared" si="8"/>
        <v/>
      </c>
      <c r="AT110" s="90">
        <f t="shared" si="9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0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>
        <v>24.4</v>
      </c>
      <c r="AB111" s="51">
        <v>24.4</v>
      </c>
      <c r="AC111" s="51">
        <v>22.6</v>
      </c>
      <c r="AD111" s="51">
        <v>21.9</v>
      </c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20</v>
      </c>
      <c r="AQ111" s="89">
        <f t="shared" si="7"/>
        <v>23</v>
      </c>
      <c r="AR111" s="89">
        <f>IFERROR(VLOOKUP(A111,Climatologia!A:U,9+$E$2,FALSE),"")</f>
        <v>22.231405456385989</v>
      </c>
      <c r="AS111" s="89">
        <f t="shared" si="8"/>
        <v>0.76859454361401092</v>
      </c>
      <c r="AT111" s="90">
        <f t="shared" si="9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>
        <v>14.6</v>
      </c>
      <c r="AB112" s="51">
        <v>14.4</v>
      </c>
      <c r="AC112" s="51">
        <v>14.6</v>
      </c>
      <c r="AD112" s="51">
        <v>16.5</v>
      </c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19</v>
      </c>
      <c r="AQ112" s="89">
        <f t="shared" si="7"/>
        <v>15.042105263157895</v>
      </c>
      <c r="AR112" s="89">
        <f>IFERROR(VLOOKUP(A112,Climatologia!A:U,9+$E$2,FALSE),"")</f>
        <v>15.22725499231951</v>
      </c>
      <c r="AS112" s="89">
        <f t="shared" si="8"/>
        <v>-0.18514972916161554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0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>
        <v>21.2</v>
      </c>
      <c r="AB113" s="51">
        <v>21</v>
      </c>
      <c r="AC113" s="51">
        <v>18.600000000000001</v>
      </c>
      <c r="AD113" s="51">
        <v>19</v>
      </c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20</v>
      </c>
      <c r="AQ113" s="89">
        <f t="shared" si="7"/>
        <v>19.600000000000001</v>
      </c>
      <c r="AR113" s="89">
        <f>IFERROR(VLOOKUP(A113,Climatologia!A:U,9+$E$2,FALSE),"")</f>
        <v>21.8744421098889</v>
      </c>
      <c r="AS113" s="89">
        <f t="shared" si="8"/>
        <v>-2.2744421098888985</v>
      </c>
      <c r="AT113" s="90">
        <f t="shared" si="9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0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>
        <v>23.8</v>
      </c>
      <c r="AB114" s="51">
        <v>25</v>
      </c>
      <c r="AC114" s="51">
        <v>22.4</v>
      </c>
      <c r="AD114" s="51">
        <v>21.6</v>
      </c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20</v>
      </c>
      <c r="AQ114" s="89">
        <f t="shared" si="7"/>
        <v>23.020000000000003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>
        <v>22.4</v>
      </c>
      <c r="AB115" s="51">
        <v>20.2</v>
      </c>
      <c r="AC115" s="51">
        <v>21.2</v>
      </c>
      <c r="AD115" s="51">
        <v>20.399999999999999</v>
      </c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20</v>
      </c>
      <c r="AQ115" s="89">
        <f t="shared" si="7"/>
        <v>20.319999999999993</v>
      </c>
      <c r="AR115" s="89">
        <f>IFERROR(VLOOKUP(A115,Climatologia!A:U,9+$E$2,FALSE),"")</f>
        <v>18.265873654442618</v>
      </c>
      <c r="AS115" s="89">
        <f t="shared" si="8"/>
        <v>2.0541263455573748</v>
      </c>
      <c r="AT115" s="90">
        <f t="shared" si="9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0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>
        <v>24.2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22.029592386602399</v>
      </c>
      <c r="AS116" s="89" t="str">
        <f t="shared" si="8"/>
        <v/>
      </c>
      <c r="AT116" s="90">
        <f t="shared" si="9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0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21.674986479595521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>
        <v>10</v>
      </c>
      <c r="AA118" s="51">
        <v>10.6</v>
      </c>
      <c r="AB118" s="51">
        <v>9.1999999999999993</v>
      </c>
      <c r="AC118" s="51">
        <v>5.8</v>
      </c>
      <c r="AD118" s="51">
        <v>6.4</v>
      </c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20</v>
      </c>
      <c r="AQ118" s="89">
        <f t="shared" si="7"/>
        <v>8.49</v>
      </c>
      <c r="AR118" s="89">
        <f>IFERROR(VLOOKUP(A118,Climatologia!A:U,9+$E$2,FALSE),"")</f>
        <v>6.6382228524164031</v>
      </c>
      <c r="AS118" s="89">
        <f t="shared" si="8"/>
        <v>1.8517771475835971</v>
      </c>
      <c r="AT118" s="90">
        <f t="shared" si="9"/>
        <v>5.8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0"/>
        <v>7.6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19.276408602150539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>
        <v>13.7</v>
      </c>
      <c r="AB120" s="51">
        <v>13</v>
      </c>
      <c r="AC120" s="51">
        <v>11.7</v>
      </c>
      <c r="AD120" s="51">
        <v>12.4</v>
      </c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19</v>
      </c>
      <c r="AQ120" s="89">
        <f t="shared" si="7"/>
        <v>12.44736842105263</v>
      </c>
      <c r="AR120" s="89">
        <f>IFERROR(VLOOKUP(A120,Climatologia!A:U,9+$E$2,FALSE),"")</f>
        <v>11.282109879431809</v>
      </c>
      <c r="AS120" s="89">
        <f t="shared" si="8"/>
        <v>1.1652585416208208</v>
      </c>
      <c r="AT120" s="90">
        <f t="shared" si="9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0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13.328919783739719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>
        <v>10</v>
      </c>
      <c r="AB122" s="51">
        <v>9.6</v>
      </c>
      <c r="AC122" s="51">
        <v>9.1999999999999993</v>
      </c>
      <c r="AD122" s="51">
        <v>8.1999999999999993</v>
      </c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20</v>
      </c>
      <c r="AQ122" s="89">
        <f t="shared" si="7"/>
        <v>9.4499999999999993</v>
      </c>
      <c r="AR122" s="89">
        <f>IFERROR(VLOOKUP(A122,Climatologia!A:U,9+$E$2,FALSE),"")</f>
        <v>8.088075663695717</v>
      </c>
      <c r="AS122" s="89">
        <f t="shared" si="8"/>
        <v>1.3619243363042823</v>
      </c>
      <c r="AT122" s="90">
        <f t="shared" si="9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0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20.704813297844161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23.186679533131141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>
        <v>14.2</v>
      </c>
      <c r="AB125" s="51">
        <v>13.3</v>
      </c>
      <c r="AC125" s="51">
        <v>11.4</v>
      </c>
      <c r="AD125" s="51">
        <v>10.3</v>
      </c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20</v>
      </c>
      <c r="AQ125" s="89">
        <f t="shared" si="7"/>
        <v>12.91</v>
      </c>
      <c r="AR125" s="89">
        <f>IFERROR(VLOOKUP(A125,Climatologia!A:U,9+$E$2,FALSE),"")</f>
        <v>11.599107526881721</v>
      </c>
      <c r="AS125" s="89">
        <f t="shared" si="8"/>
        <v>1.3108924731182796</v>
      </c>
      <c r="AT125" s="90">
        <f t="shared" si="9"/>
        <v>10.3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0"/>
        <v>4.9000000000000004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>
        <v>15.2</v>
      </c>
      <c r="AA126" s="51">
        <v>15.6</v>
      </c>
      <c r="AB126" s="51">
        <v>16</v>
      </c>
      <c r="AC126" s="51">
        <v>13.4</v>
      </c>
      <c r="AD126" s="51">
        <v>12.4</v>
      </c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20</v>
      </c>
      <c r="AQ126" s="89">
        <f t="shared" si="7"/>
        <v>14.469999999999999</v>
      </c>
      <c r="AR126" s="89">
        <f>IFERROR(VLOOKUP(A126,Climatologia!A:U,9+$E$2,FALSE),"")</f>
        <v>13.19300778642936</v>
      </c>
      <c r="AS126" s="89">
        <f t="shared" si="8"/>
        <v>1.2769922135706384</v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15.06265897802605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>
        <v>11.1</v>
      </c>
      <c r="AB128" s="51">
        <v>10</v>
      </c>
      <c r="AC128" s="51">
        <v>9</v>
      </c>
      <c r="AD128" s="51">
        <v>8.6999999999999993</v>
      </c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20</v>
      </c>
      <c r="AQ128" s="89">
        <f t="shared" si="7"/>
        <v>11.059999999999999</v>
      </c>
      <c r="AR128" s="89">
        <f>IFERROR(VLOOKUP(A128,Climatologia!A:U,9+$E$2,FALSE),"")</f>
        <v>9.339817613927293</v>
      </c>
      <c r="AS128" s="89">
        <f t="shared" si="8"/>
        <v>1.7201823860727057</v>
      </c>
      <c r="AT128" s="90">
        <f t="shared" si="9"/>
        <v>8.6999999999999993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0"/>
        <v>4.0999999999999996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>
        <v>11.8</v>
      </c>
      <c r="AB129" s="51">
        <v>12.2</v>
      </c>
      <c r="AC129" s="51">
        <v>11.6</v>
      </c>
      <c r="AD129" s="51">
        <v>10.4</v>
      </c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19</v>
      </c>
      <c r="AQ129" s="89">
        <f t="shared" si="7"/>
        <v>11.421052631578947</v>
      </c>
      <c r="AR129" s="89">
        <f>IFERROR(VLOOKUP(A129,Climatologia!A:U,9+$E$2,FALSE),"")</f>
        <v>10.61877774246517</v>
      </c>
      <c r="AS129" s="89">
        <f t="shared" si="8"/>
        <v>0.80227488911377698</v>
      </c>
      <c r="AT129" s="90">
        <f t="shared" si="9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0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>
        <v>17</v>
      </c>
      <c r="AB130" s="51">
        <v>16.399999999999999</v>
      </c>
      <c r="AC130" s="51">
        <v>15.2</v>
      </c>
      <c r="AD130" s="51">
        <v>14.8</v>
      </c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20</v>
      </c>
      <c r="AQ130" s="89">
        <f t="shared" si="7"/>
        <v>16.239999999999998</v>
      </c>
      <c r="AR130" s="89">
        <f>IFERROR(VLOOKUP(A130,Climatologia!A:U,9+$E$2,FALSE),"")</f>
        <v>14.704271801089879</v>
      </c>
      <c r="AS130" s="89">
        <f t="shared" si="8"/>
        <v>1.5357281989101192</v>
      </c>
      <c r="AT130" s="90">
        <f t="shared" si="9"/>
        <v>14.8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0"/>
        <v>3.8000000000000007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0</v>
      </c>
      <c r="AQ131" s="89" t="str">
        <f t="shared" si="7"/>
        <v/>
      </c>
      <c r="AR131" s="89">
        <f>IFERROR(VLOOKUP(A131,Climatologia!A:U,9+$E$2,FALSE),"")</f>
        <v>6.2159888004715604</v>
      </c>
      <c r="AS131" s="89" t="str">
        <f t="shared" si="8"/>
        <v/>
      </c>
      <c r="AT131" s="90" t="str">
        <f t="shared" si="9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0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15.45201870390969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>
        <v>16.2</v>
      </c>
      <c r="AB133" s="51">
        <v>15.8</v>
      </c>
      <c r="AC133" s="51">
        <v>15.2</v>
      </c>
      <c r="AD133" s="51">
        <v>14.4</v>
      </c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20</v>
      </c>
      <c r="AQ133" s="89">
        <f t="shared" ref="AQ133:AQ196" si="12">IF(AP133&gt;14,AVERAGE(K133:AO133),"")</f>
        <v>15.330000000000002</v>
      </c>
      <c r="AR133" s="89">
        <f>IFERROR(VLOOKUP(A133,Climatologia!A:U,9+$E$2,FALSE),"")</f>
        <v>13.71360869121677</v>
      </c>
      <c r="AS133" s="89">
        <f t="shared" ref="AS133:AS196" si="13">IF(OR(AQ133="",AR133=""),"",IFERROR(AQ133-AR133,""))</f>
        <v>1.616391308783232</v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5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>
        <v>12.2</v>
      </c>
      <c r="AB134" s="51">
        <v>11.4</v>
      </c>
      <c r="AC134" s="51">
        <v>10.1</v>
      </c>
      <c r="AD134" s="51">
        <v>10</v>
      </c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20</v>
      </c>
      <c r="AQ134" s="89">
        <f t="shared" si="12"/>
        <v>10.705000000000002</v>
      </c>
      <c r="AR134" s="89">
        <f>IFERROR(VLOOKUP(A134,Climatologia!A:U,9+$E$2,FALSE),"")</f>
        <v>9.1551700301922789</v>
      </c>
      <c r="AS134" s="89">
        <f t="shared" si="13"/>
        <v>1.5498299698077229</v>
      </c>
      <c r="AT134" s="90">
        <f t="shared" si="14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5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12.553464872786339</v>
      </c>
      <c r="AS135" s="89" t="str">
        <f t="shared" si="13"/>
        <v/>
      </c>
      <c r="AT135" s="90">
        <f t="shared" si="14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5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>
        <v>11.4</v>
      </c>
      <c r="AB136" s="51">
        <v>10.199999999999999</v>
      </c>
      <c r="AC136" s="51">
        <v>9.1999999999999993</v>
      </c>
      <c r="AD136" s="51">
        <v>7.6</v>
      </c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20</v>
      </c>
      <c r="AQ136" s="89">
        <f t="shared" si="12"/>
        <v>10.549999999999999</v>
      </c>
      <c r="AR136" s="89">
        <f>IFERROR(VLOOKUP(A136,Climatologia!A:U,9+$E$2,FALSE),"")</f>
        <v>8.9132299851098509</v>
      </c>
      <c r="AS136" s="89">
        <f t="shared" si="13"/>
        <v>1.6367700148901481</v>
      </c>
      <c r="AT136" s="90">
        <f t="shared" si="14"/>
        <v>7.6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5"/>
        <v>4.5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>
        <v>9</v>
      </c>
      <c r="AB137" s="51">
        <v>8.4</v>
      </c>
      <c r="AC137" s="51">
        <v>7.4</v>
      </c>
      <c r="AD137" s="51">
        <v>5</v>
      </c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20</v>
      </c>
      <c r="AQ137" s="89">
        <f t="shared" si="12"/>
        <v>8.25</v>
      </c>
      <c r="AR137" s="89">
        <f>IFERROR(VLOOKUP(A137,Climatologia!A:U,9+$E$2,FALSE),"")</f>
        <v>6.7529781105990789</v>
      </c>
      <c r="AS137" s="89">
        <f t="shared" si="13"/>
        <v>1.4970218894009211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5"/>
        <v>3.4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>
        <v>25.8</v>
      </c>
      <c r="AB138" s="51">
        <v>25</v>
      </c>
      <c r="AC138" s="51">
        <v>23.6</v>
      </c>
      <c r="AD138" s="51">
        <v>23</v>
      </c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20</v>
      </c>
      <c r="AQ138" s="89">
        <f t="shared" si="12"/>
        <v>24.490000000000002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>
        <v>11.2</v>
      </c>
      <c r="AB139" s="51">
        <v>10.8</v>
      </c>
      <c r="AC139" s="51">
        <v>9.8000000000000007</v>
      </c>
      <c r="AD139" s="51">
        <v>11.4</v>
      </c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20</v>
      </c>
      <c r="AQ139" s="89">
        <f t="shared" si="12"/>
        <v>11.150000000000002</v>
      </c>
      <c r="AR139" s="89">
        <f>IFERROR(VLOOKUP(A139,Climatologia!A:U,9+$E$2,FALSE),"")</f>
        <v>11.20513978494624</v>
      </c>
      <c r="AS139" s="89">
        <f t="shared" si="13"/>
        <v>-5.5139784946238279E-2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5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>
        <v>14.2</v>
      </c>
      <c r="AB140" s="51">
        <v>14.4</v>
      </c>
      <c r="AC140" s="51">
        <v>16</v>
      </c>
      <c r="AD140" s="51">
        <v>15.4</v>
      </c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20</v>
      </c>
      <c r="AQ140" s="89">
        <f t="shared" si="12"/>
        <v>15.069999999999997</v>
      </c>
      <c r="AR140" s="89">
        <f>IFERROR(VLOOKUP(A140,Climatologia!A:U,9+$E$2,FALSE),"")</f>
        <v>14.402137736815151</v>
      </c>
      <c r="AS140" s="89">
        <f t="shared" si="13"/>
        <v>0.66786226318484587</v>
      </c>
      <c r="AT140" s="90">
        <f t="shared" si="14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5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>
        <v>25.2</v>
      </c>
      <c r="AB141" s="51">
        <v>25</v>
      </c>
      <c r="AC141" s="51"/>
      <c r="AD141" s="51">
        <v>22.2</v>
      </c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19</v>
      </c>
      <c r="AQ141" s="89">
        <f t="shared" si="12"/>
        <v>24.905263157894737</v>
      </c>
      <c r="AR141" s="89">
        <f>IFERROR(VLOOKUP(A141,Climatologia!A:U,9+$E$2,FALSE),"")</f>
        <v>22.245834878259799</v>
      </c>
      <c r="AS141" s="89">
        <f t="shared" si="13"/>
        <v>2.6594282796349376</v>
      </c>
      <c r="AT141" s="90">
        <f t="shared" si="14"/>
        <v>22.2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5"/>
        <v>5.1999999999999993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>
        <v>19.8</v>
      </c>
      <c r="AB142" s="51">
        <v>20.2</v>
      </c>
      <c r="AC142" s="51">
        <v>21.2</v>
      </c>
      <c r="AD142" s="51">
        <v>19</v>
      </c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20</v>
      </c>
      <c r="AQ142" s="89">
        <f t="shared" si="12"/>
        <v>19.920000000000002</v>
      </c>
      <c r="AR142" s="89">
        <f>IFERROR(VLOOKUP(A142,Climatologia!A:U,9+$E$2,FALSE),"")</f>
        <v>19.025806451612901</v>
      </c>
      <c r="AS142" s="89">
        <f t="shared" si="13"/>
        <v>0.89419354838710063</v>
      </c>
      <c r="AT142" s="90">
        <f t="shared" si="14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5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>
        <v>24.2</v>
      </c>
      <c r="AB143" s="51">
        <v>25.2</v>
      </c>
      <c r="AC143" s="51">
        <v>24</v>
      </c>
      <c r="AD143" s="51">
        <v>22.6</v>
      </c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20</v>
      </c>
      <c r="AQ143" s="89">
        <f t="shared" si="12"/>
        <v>24.17</v>
      </c>
      <c r="AR143" s="89">
        <f>IFERROR(VLOOKUP(A143,Climatologia!A:U,9+$E$2,FALSE),"")</f>
        <v>23.058077373350361</v>
      </c>
      <c r="AS143" s="89">
        <f t="shared" si="13"/>
        <v>1.1119226266496405</v>
      </c>
      <c r="AT143" s="90">
        <f t="shared" si="14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5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>
        <v>16.2</v>
      </c>
      <c r="AB144" s="51">
        <v>19.2</v>
      </c>
      <c r="AC144" s="51">
        <v>17.600000000000001</v>
      </c>
      <c r="AD144" s="51">
        <v>19</v>
      </c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20</v>
      </c>
      <c r="AQ144" s="89">
        <f t="shared" si="12"/>
        <v>17.059999999999999</v>
      </c>
      <c r="AR144" s="89">
        <f>IFERROR(VLOOKUP(A144,Climatologia!A:U,9+$E$2,FALSE),"")</f>
        <v>15.740161290322581</v>
      </c>
      <c r="AS144" s="89">
        <f t="shared" si="13"/>
        <v>1.319838709677418</v>
      </c>
      <c r="AT144" s="90">
        <f t="shared" si="14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5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>
        <v>12.2</v>
      </c>
      <c r="AB145" s="51">
        <v>11.4</v>
      </c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18</v>
      </c>
      <c r="AQ145" s="89">
        <f t="shared" si="12"/>
        <v>13.033333333333331</v>
      </c>
      <c r="AR145" s="89">
        <f>IFERROR(VLOOKUP(A145,Climatologia!A:U,9+$E$2,FALSE),"")</f>
        <v>13.803722366927129</v>
      </c>
      <c r="AS145" s="89">
        <f t="shared" si="13"/>
        <v>-0.77038903359379773</v>
      </c>
      <c r="AT145" s="90">
        <f t="shared" si="14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5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>
        <v>16.399999999999999</v>
      </c>
      <c r="AB146" s="51">
        <v>17.2</v>
      </c>
      <c r="AC146" s="51">
        <v>16.2</v>
      </c>
      <c r="AD146" s="51">
        <v>16.600000000000001</v>
      </c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20</v>
      </c>
      <c r="AQ146" s="89">
        <f t="shared" si="12"/>
        <v>16.350000000000001</v>
      </c>
      <c r="AR146" s="89">
        <f>IFERROR(VLOOKUP(A146,Climatologia!A:U,9+$E$2,FALSE),"")</f>
        <v>14.51408071669195</v>
      </c>
      <c r="AS146" s="89">
        <f t="shared" si="13"/>
        <v>1.8359192833080513</v>
      </c>
      <c r="AT146" s="90">
        <f t="shared" si="14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5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22.195180230256881</v>
      </c>
      <c r="AS147" s="89" t="str">
        <f t="shared" si="13"/>
        <v/>
      </c>
      <c r="AT147" s="90">
        <f t="shared" si="14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5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19.655086355667251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>
        <v>26.8</v>
      </c>
      <c r="AB149" s="51">
        <v>24.8</v>
      </c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18</v>
      </c>
      <c r="AQ149" s="89">
        <f t="shared" si="12"/>
        <v>25.005555555555553</v>
      </c>
      <c r="AR149" s="89">
        <f>IFERROR(VLOOKUP(A149,Climatologia!A:U,9+$E$2,FALSE),"")</f>
        <v>22.18387110738724</v>
      </c>
      <c r="AS149" s="89">
        <f t="shared" si="13"/>
        <v>2.8216844481683125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5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>
        <v>25.8</v>
      </c>
      <c r="AB150" s="51">
        <v>24</v>
      </c>
      <c r="AC150" s="51">
        <v>25</v>
      </c>
      <c r="AD150" s="51">
        <v>24.4</v>
      </c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18</v>
      </c>
      <c r="AQ150" s="89">
        <f t="shared" si="12"/>
        <v>24.566666666666666</v>
      </c>
      <c r="AR150" s="89">
        <f>IFERROR(VLOOKUP(A150,Climatologia!A:U,9+$E$2,FALSE),"")</f>
        <v>23.43347279820177</v>
      </c>
      <c r="AS150" s="89">
        <f t="shared" si="13"/>
        <v>1.1331938684648968</v>
      </c>
      <c r="AT150" s="90">
        <f t="shared" si="14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5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>
        <v>15.2</v>
      </c>
      <c r="AB151" s="51">
        <v>16</v>
      </c>
      <c r="AC151" s="51">
        <v>16.8</v>
      </c>
      <c r="AD151" s="51">
        <v>16</v>
      </c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19</v>
      </c>
      <c r="AQ151" s="89">
        <f t="shared" si="12"/>
        <v>15.526315789473685</v>
      </c>
      <c r="AR151" s="89">
        <f>IFERROR(VLOOKUP(A151,Climatologia!A:U,9+$E$2,FALSE),"")</f>
        <v>14.297625170572489</v>
      </c>
      <c r="AS151" s="89">
        <f t="shared" si="13"/>
        <v>1.2286906189011955</v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>
        <v>21.2</v>
      </c>
      <c r="AB152" s="51">
        <v>21.2</v>
      </c>
      <c r="AC152" s="51">
        <v>21.8</v>
      </c>
      <c r="AD152" s="51">
        <v>21.2</v>
      </c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20</v>
      </c>
      <c r="AQ152" s="89">
        <f t="shared" si="12"/>
        <v>20.43</v>
      </c>
      <c r="AR152" s="89">
        <f>IFERROR(VLOOKUP(A152,Climatologia!A:U,9+$E$2,FALSE),"")</f>
        <v>19.338408533503909</v>
      </c>
      <c r="AS152" s="89">
        <f t="shared" si="13"/>
        <v>1.0915914664960908</v>
      </c>
      <c r="AT152" s="90">
        <f t="shared" si="14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5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>
        <v>16</v>
      </c>
      <c r="AB153" s="51">
        <v>16.399999999999999</v>
      </c>
      <c r="AC153" s="51">
        <v>16.8</v>
      </c>
      <c r="AD153" s="51">
        <v>16.2</v>
      </c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20</v>
      </c>
      <c r="AQ153" s="89">
        <f t="shared" si="12"/>
        <v>16.16</v>
      </c>
      <c r="AR153" s="89">
        <f>IFERROR(VLOOKUP(A153,Climatologia!A:U,9+$E$2,FALSE),"")</f>
        <v>15.46093670134405</v>
      </c>
      <c r="AS153" s="89">
        <f t="shared" si="13"/>
        <v>0.6990632986559504</v>
      </c>
      <c r="AT153" s="90">
        <f t="shared" si="14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5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>
        <v>18.600000000000001</v>
      </c>
      <c r="AB154" s="51">
        <v>19</v>
      </c>
      <c r="AC154" s="51">
        <v>19.2</v>
      </c>
      <c r="AD154" s="51">
        <v>18.8</v>
      </c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20</v>
      </c>
      <c r="AQ154" s="89">
        <f t="shared" si="12"/>
        <v>18.700000000000003</v>
      </c>
      <c r="AR154" s="89">
        <f>IFERROR(VLOOKUP(A154,Climatologia!A:U,9+$E$2,FALSE),"")</f>
        <v>17.87864592645921</v>
      </c>
      <c r="AS154" s="89">
        <f t="shared" si="13"/>
        <v>0.82135407354079248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5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13.12444319775596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>
        <v>10</v>
      </c>
      <c r="AC156" s="51">
        <v>10</v>
      </c>
      <c r="AD156" s="51">
        <v>9.8000000000000007</v>
      </c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19</v>
      </c>
      <c r="AQ156" s="89">
        <f t="shared" si="12"/>
        <v>10.326315789473684</v>
      </c>
      <c r="AR156" s="89">
        <f>IFERROR(VLOOKUP(A156,Climatologia!A:U,9+$E$2,FALSE),"")</f>
        <v>9.5855913978494645</v>
      </c>
      <c r="AS156" s="89">
        <f t="shared" si="13"/>
        <v>0.74072439162421944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5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>
        <v>13</v>
      </c>
      <c r="AB157" s="51">
        <v>14.2</v>
      </c>
      <c r="AC157" s="51">
        <v>14.8</v>
      </c>
      <c r="AD157" s="51">
        <v>14.8</v>
      </c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19</v>
      </c>
      <c r="AQ157" s="89">
        <f t="shared" si="12"/>
        <v>13.894736842105264</v>
      </c>
      <c r="AR157" s="89">
        <f>IFERROR(VLOOKUP(A157,Climatologia!A:U,9+$E$2,FALSE),"")</f>
        <v>13.943843654075909</v>
      </c>
      <c r="AS157" s="89">
        <f t="shared" si="13"/>
        <v>-4.9106811970645481E-2</v>
      </c>
      <c r="AT157" s="90">
        <f t="shared" si="14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5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>
        <v>21.2</v>
      </c>
      <c r="AD158" s="51">
        <v>20.8</v>
      </c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18</v>
      </c>
      <c r="AQ158" s="89">
        <f t="shared" si="12"/>
        <v>20.922222222222224</v>
      </c>
      <c r="AR158" s="89">
        <f>IFERROR(VLOOKUP(A158,Climatologia!A:U,9+$E$2,FALSE),"")</f>
        <v>19.834386821064239</v>
      </c>
      <c r="AS158" s="89">
        <f t="shared" si="13"/>
        <v>1.0878354011579852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5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>
        <v>6.2</v>
      </c>
      <c r="AB159" s="51">
        <v>6.4</v>
      </c>
      <c r="AC159" s="51">
        <v>7.4</v>
      </c>
      <c r="AD159" s="51">
        <v>5.6</v>
      </c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20</v>
      </c>
      <c r="AQ159" s="89">
        <f t="shared" si="12"/>
        <v>6.580000000000001</v>
      </c>
      <c r="AR159" s="89">
        <f>IFERROR(VLOOKUP(A159,Climatologia!A:U,9+$E$2,FALSE),"")</f>
        <v>5.6003137960461657</v>
      </c>
      <c r="AS159" s="89">
        <f t="shared" si="13"/>
        <v>0.97968620395383521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5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>
        <v>20.2</v>
      </c>
      <c r="AB160" s="51"/>
      <c r="AC160" s="51"/>
      <c r="AD160" s="51">
        <v>21.8</v>
      </c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15</v>
      </c>
      <c r="AQ160" s="89">
        <f t="shared" si="12"/>
        <v>20.56</v>
      </c>
      <c r="AR160" s="89">
        <f>IFERROR(VLOOKUP(A160,Climatologia!A:U,9+$E$2,FALSE),"")</f>
        <v>20.495547320475019</v>
      </c>
      <c r="AS160" s="89">
        <f t="shared" si="13"/>
        <v>6.4452679524979573E-2</v>
      </c>
      <c r="AT160" s="90">
        <f t="shared" si="14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5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>
        <v>14.2</v>
      </c>
      <c r="AB161" s="51">
        <v>14.8</v>
      </c>
      <c r="AC161" s="51">
        <v>14.4</v>
      </c>
      <c r="AD161" s="51">
        <v>14.2</v>
      </c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20</v>
      </c>
      <c r="AQ161" s="89">
        <f t="shared" si="12"/>
        <v>14.879999999999999</v>
      </c>
      <c r="AR161" s="89">
        <f>IFERROR(VLOOKUP(A161,Climatologia!A:U,9+$E$2,FALSE),"")</f>
        <v>13.818785782119109</v>
      </c>
      <c r="AS161" s="89">
        <f t="shared" si="13"/>
        <v>1.0612142178808899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>
        <v>18.600000000000001</v>
      </c>
      <c r="AB162" s="51">
        <v>18</v>
      </c>
      <c r="AC162" s="51">
        <v>18.600000000000001</v>
      </c>
      <c r="AD162" s="51">
        <v>18</v>
      </c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19</v>
      </c>
      <c r="AQ162" s="89">
        <f t="shared" si="12"/>
        <v>18.515789473684212</v>
      </c>
      <c r="AR162" s="89">
        <f>IFERROR(VLOOKUP(A162,Climatologia!A:U,9+$E$2,FALSE),"")</f>
        <v>18.04587813620072</v>
      </c>
      <c r="AS162" s="89">
        <f t="shared" si="13"/>
        <v>0.46991133748349156</v>
      </c>
      <c r="AT162" s="90">
        <f t="shared" si="14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5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>
        <v>18.399999999999999</v>
      </c>
      <c r="AB163" s="51">
        <v>21.8</v>
      </c>
      <c r="AC163" s="51">
        <v>19.8</v>
      </c>
      <c r="AD163" s="51">
        <v>20</v>
      </c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20</v>
      </c>
      <c r="AQ163" s="89">
        <f t="shared" si="12"/>
        <v>19.82</v>
      </c>
      <c r="AR163" s="89">
        <f>IFERROR(VLOOKUP(A163,Climatologia!A:U,9+$E$2,FALSE),"")</f>
        <v>19.115674945265461</v>
      </c>
      <c r="AS163" s="89">
        <f t="shared" si="13"/>
        <v>0.70432505473453944</v>
      </c>
      <c r="AT163" s="90">
        <f t="shared" si="14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5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>
        <v>10</v>
      </c>
      <c r="AB164" s="51">
        <v>10.8</v>
      </c>
      <c r="AC164" s="51">
        <v>11.8</v>
      </c>
      <c r="AD164" s="51">
        <v>9.8000000000000007</v>
      </c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20</v>
      </c>
      <c r="AQ164" s="89">
        <f t="shared" si="12"/>
        <v>10.390000000000002</v>
      </c>
      <c r="AR164" s="89">
        <f>IFERROR(VLOOKUP(A164,Climatologia!A:U,9+$E$2,FALSE),"")</f>
        <v>8.3170988717622762</v>
      </c>
      <c r="AS164" s="89">
        <f t="shared" si="13"/>
        <v>2.0729011282377261</v>
      </c>
      <c r="AT164" s="90">
        <f t="shared" si="14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5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>
        <v>19.2</v>
      </c>
      <c r="AB165" s="51"/>
      <c r="AC165" s="51"/>
      <c r="AD165" s="51">
        <v>19</v>
      </c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15</v>
      </c>
      <c r="AQ165" s="89">
        <f t="shared" si="12"/>
        <v>19.279999999999998</v>
      </c>
      <c r="AR165" s="89">
        <f>IFERROR(VLOOKUP(A165,Climatologia!A:U,9+$E$2,FALSE),"")</f>
        <v>17.28229674415218</v>
      </c>
      <c r="AS165" s="89">
        <f t="shared" si="13"/>
        <v>1.9977032558478172</v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5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17.38684419195932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15.704746922128139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>
        <v>19.600000000000001</v>
      </c>
      <c r="AB168" s="51">
        <v>19.8</v>
      </c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16</v>
      </c>
      <c r="AQ168" s="89">
        <f t="shared" si="12"/>
        <v>19.912500000000005</v>
      </c>
      <c r="AR168" s="89">
        <f>IFERROR(VLOOKUP(A168,Climatologia!A:U,9+$E$2,FALSE),"")</f>
        <v>19.124532286510789</v>
      </c>
      <c r="AS168" s="89">
        <f t="shared" si="13"/>
        <v>0.78796771348921624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>
        <v>15.4</v>
      </c>
      <c r="AB169" s="51">
        <v>15</v>
      </c>
      <c r="AC169" s="51">
        <v>15</v>
      </c>
      <c r="AD169" s="51">
        <v>15</v>
      </c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18</v>
      </c>
      <c r="AQ169" s="89">
        <f t="shared" si="12"/>
        <v>14.866666666666667</v>
      </c>
      <c r="AR169" s="89">
        <f>IFERROR(VLOOKUP(A169,Climatologia!A:U,9+$E$2,FALSE),"")</f>
        <v>13.62930109243467</v>
      </c>
      <c r="AS169" s="89">
        <f t="shared" si="13"/>
        <v>1.2373655742319976</v>
      </c>
      <c r="AT169" s="90">
        <f t="shared" si="14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5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11.72508648901356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>
        <v>24.8</v>
      </c>
      <c r="AB171" s="51">
        <v>24.6</v>
      </c>
      <c r="AC171" s="51">
        <v>23.6</v>
      </c>
      <c r="AD171" s="51">
        <v>24.2</v>
      </c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20</v>
      </c>
      <c r="AQ171" s="89">
        <f t="shared" si="12"/>
        <v>24.130000000000003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5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21.613415216113999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22.329466444879628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>
        <v>21.6</v>
      </c>
      <c r="AB174" s="51">
        <v>21.8</v>
      </c>
      <c r="AC174" s="51">
        <v>21</v>
      </c>
      <c r="AD174" s="51">
        <v>22.8</v>
      </c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20</v>
      </c>
      <c r="AQ174" s="89">
        <f t="shared" si="12"/>
        <v>21.22</v>
      </c>
      <c r="AR174" s="89">
        <f>IFERROR(VLOOKUP(A174,Climatologia!A:U,9+$E$2,FALSE),"")</f>
        <v>20.105130783418979</v>
      </c>
      <c r="AS174" s="89">
        <f t="shared" si="13"/>
        <v>1.1148692165810203</v>
      </c>
      <c r="AT174" s="90">
        <f t="shared" si="14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5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>
        <v>22.2</v>
      </c>
      <c r="AB175" s="51">
        <v>24</v>
      </c>
      <c r="AC175" s="51">
        <v>22.2</v>
      </c>
      <c r="AD175" s="51">
        <v>24.4</v>
      </c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17</v>
      </c>
      <c r="AQ175" s="89">
        <f t="shared" si="12"/>
        <v>22.435294117647057</v>
      </c>
      <c r="AR175" s="89">
        <f>IFERROR(VLOOKUP(A175,Climatologia!A:U,9+$E$2,FALSE),"")</f>
        <v>21.16664011681932</v>
      </c>
      <c r="AS175" s="89">
        <f t="shared" si="13"/>
        <v>1.2686540008277376</v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5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>
        <v>15.2</v>
      </c>
      <c r="AB178" s="51">
        <v>16.600000000000001</v>
      </c>
      <c r="AC178" s="51">
        <v>14.2</v>
      </c>
      <c r="AD178" s="51">
        <v>13.6</v>
      </c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20</v>
      </c>
      <c r="AQ178" s="89">
        <f t="shared" si="12"/>
        <v>13.919999999999998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>
        <v>25.4</v>
      </c>
      <c r="AD179" s="51">
        <v>24.8</v>
      </c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17</v>
      </c>
      <c r="AQ179" s="89">
        <f t="shared" si="12"/>
        <v>24.517647058823528</v>
      </c>
      <c r="AR179" s="89">
        <f>IFERROR(VLOOKUP(A179,Climatologia!A:U,9+$E$2,FALSE),"")</f>
        <v>22.996377049496669</v>
      </c>
      <c r="AS179" s="89">
        <f t="shared" si="13"/>
        <v>1.5212700093268587</v>
      </c>
      <c r="AT179" s="90">
        <f t="shared" si="14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5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>
        <v>25.4</v>
      </c>
      <c r="AB180" s="51">
        <v>25.2</v>
      </c>
      <c r="AC180" s="51">
        <v>23.2</v>
      </c>
      <c r="AD180" s="51">
        <v>24.2</v>
      </c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20</v>
      </c>
      <c r="AQ180" s="89">
        <f t="shared" si="12"/>
        <v>23.560000000000002</v>
      </c>
      <c r="AR180" s="89">
        <f>IFERROR(VLOOKUP(A180,Climatologia!A:U,9+$E$2,FALSE),"")</f>
        <v>21.595820289739919</v>
      </c>
      <c r="AS180" s="89">
        <f t="shared" si="13"/>
        <v>1.9641797102600833</v>
      </c>
      <c r="AT180" s="90">
        <f t="shared" si="14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>
        <v>14.6</v>
      </c>
      <c r="AB181" s="51">
        <v>16.399999999999999</v>
      </c>
      <c r="AC181" s="51">
        <v>14.4</v>
      </c>
      <c r="AD181" s="51">
        <v>13.8</v>
      </c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19</v>
      </c>
      <c r="AQ181" s="89">
        <f t="shared" si="12"/>
        <v>13.947368421052632</v>
      </c>
      <c r="AR181" s="89">
        <f>IFERROR(VLOOKUP(A181,Climatologia!A:U,9+$E$2,FALSE),"")</f>
        <v>14.26104885770514</v>
      </c>
      <c r="AS181" s="89">
        <f t="shared" si="13"/>
        <v>-0.31368043665250767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>
        <v>19.2</v>
      </c>
      <c r="AB182" s="51">
        <v>19.600000000000001</v>
      </c>
      <c r="AC182" s="51">
        <v>18.8</v>
      </c>
      <c r="AD182" s="51">
        <v>18.8</v>
      </c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20</v>
      </c>
      <c r="AQ182" s="89">
        <f t="shared" si="12"/>
        <v>18.93</v>
      </c>
      <c r="AR182" s="89">
        <f>IFERROR(VLOOKUP(A182,Climatologia!A:U,9+$E$2,FALSE),"")</f>
        <v>19.96734366044257</v>
      </c>
      <c r="AS182" s="89">
        <f t="shared" si="13"/>
        <v>-1.0373436604425699</v>
      </c>
      <c r="AT182" s="90">
        <f t="shared" si="14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5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>
        <v>20.8</v>
      </c>
      <c r="AB183" s="51">
        <v>21</v>
      </c>
      <c r="AC183" s="51">
        <v>20.8</v>
      </c>
      <c r="AD183" s="51">
        <v>21.4</v>
      </c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19</v>
      </c>
      <c r="AQ183" s="89">
        <f t="shared" si="12"/>
        <v>21.105263157894733</v>
      </c>
      <c r="AR183" s="89">
        <f>IFERROR(VLOOKUP(A183,Climatologia!A:U,9+$E$2,FALSE),"")</f>
        <v>20.017642373556349</v>
      </c>
      <c r="AS183" s="89">
        <f t="shared" si="13"/>
        <v>1.0876207843383838</v>
      </c>
      <c r="AT183" s="90">
        <f t="shared" si="14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5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>
        <v>16.399999999999999</v>
      </c>
      <c r="AB184" s="51">
        <v>16.2</v>
      </c>
      <c r="AC184" s="51">
        <v>16.2</v>
      </c>
      <c r="AD184" s="51">
        <v>17</v>
      </c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20</v>
      </c>
      <c r="AQ184" s="89">
        <f t="shared" si="12"/>
        <v>16.509999999999998</v>
      </c>
      <c r="AR184" s="89">
        <f>IFERROR(VLOOKUP(A184,Climatologia!A:U,9+$E$2,FALSE),"")</f>
        <v>16.78927904074477</v>
      </c>
      <c r="AS184" s="89">
        <f t="shared" si="13"/>
        <v>-0.27927904074477183</v>
      </c>
      <c r="AT184" s="90">
        <f t="shared" si="14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5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>
        <v>25.6</v>
      </c>
      <c r="AB185" s="51">
        <v>25.6</v>
      </c>
      <c r="AC185" s="51">
        <v>21.6</v>
      </c>
      <c r="AD185" s="51">
        <v>21.4</v>
      </c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20</v>
      </c>
      <c r="AQ185" s="89">
        <f t="shared" si="12"/>
        <v>22.770000000000003</v>
      </c>
      <c r="AR185" s="89">
        <f>IFERROR(VLOOKUP(A185,Climatologia!A:U,9+$E$2,FALSE),"")</f>
        <v>20.659011266682761</v>
      </c>
      <c r="AS185" s="89">
        <f t="shared" si="13"/>
        <v>2.1109887333172423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5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>
        <v>19.8</v>
      </c>
      <c r="AC186" s="51">
        <v>18</v>
      </c>
      <c r="AD186" s="51">
        <v>17.2</v>
      </c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19</v>
      </c>
      <c r="AQ186" s="89">
        <f t="shared" si="12"/>
        <v>18.157894736842103</v>
      </c>
      <c r="AR186" s="89">
        <f>IFERROR(VLOOKUP(A186,Climatologia!A:U,9+$E$2,FALSE),"")</f>
        <v>16.78852483149106</v>
      </c>
      <c r="AS186" s="89">
        <f t="shared" si="13"/>
        <v>1.3693699053510429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>
        <v>22.2</v>
      </c>
      <c r="AB187" s="51">
        <v>21.8</v>
      </c>
      <c r="AC187" s="51">
        <v>22.2</v>
      </c>
      <c r="AD187" s="51">
        <v>20.8</v>
      </c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20</v>
      </c>
      <c r="AQ187" s="89">
        <f t="shared" si="12"/>
        <v>21.43</v>
      </c>
      <c r="AR187" s="89">
        <f>IFERROR(VLOOKUP(A187,Climatologia!A:U,9+$E$2,FALSE),"")</f>
        <v>20.02675378177625</v>
      </c>
      <c r="AS187" s="89">
        <f t="shared" si="13"/>
        <v>1.4032462182237495</v>
      </c>
      <c r="AT187" s="90">
        <f t="shared" si="14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5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>
        <v>19</v>
      </c>
      <c r="AB188" s="51">
        <v>18.600000000000001</v>
      </c>
      <c r="AC188" s="51">
        <v>18.399999999999999</v>
      </c>
      <c r="AD188" s="51">
        <v>17.8</v>
      </c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20</v>
      </c>
      <c r="AQ188" s="89">
        <f t="shared" si="12"/>
        <v>18.170000000000002</v>
      </c>
      <c r="AR188" s="89">
        <f>IFERROR(VLOOKUP(A188,Climatologia!A:U,9+$E$2,FALSE),"")</f>
        <v>15.545325140809011</v>
      </c>
      <c r="AS188" s="89">
        <f t="shared" si="13"/>
        <v>2.624674859190991</v>
      </c>
      <c r="AT188" s="90">
        <f t="shared" si="14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5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>
        <v>13.8</v>
      </c>
      <c r="AB189" s="51">
        <v>13.6</v>
      </c>
      <c r="AC189" s="51">
        <v>14</v>
      </c>
      <c r="AD189" s="51">
        <v>12.6</v>
      </c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20</v>
      </c>
      <c r="AQ189" s="89">
        <f t="shared" si="12"/>
        <v>13.460000000000003</v>
      </c>
      <c r="AR189" s="89">
        <f>IFERROR(VLOOKUP(A189,Climatologia!A:U,9+$E$2,FALSE),"")</f>
        <v>11.488216794380589</v>
      </c>
      <c r="AS189" s="89">
        <f t="shared" si="13"/>
        <v>1.9717832056194133</v>
      </c>
      <c r="AT189" s="90">
        <f t="shared" si="14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>
        <v>8</v>
      </c>
      <c r="AB190" s="51">
        <v>9</v>
      </c>
      <c r="AC190" s="51">
        <v>11.6</v>
      </c>
      <c r="AD190" s="51">
        <v>10.4</v>
      </c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20</v>
      </c>
      <c r="AQ190" s="89">
        <f t="shared" si="12"/>
        <v>8.24</v>
      </c>
      <c r="AR190" s="89">
        <f>IFERROR(VLOOKUP(A190,Climatologia!A:U,9+$E$2,FALSE),"")</f>
        <v>7.3708373411860384</v>
      </c>
      <c r="AS190" s="89">
        <f t="shared" si="13"/>
        <v>0.86916265881396182</v>
      </c>
      <c r="AT190" s="90">
        <f t="shared" si="14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5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>
        <v>22</v>
      </c>
      <c r="AB191" s="51">
        <v>22.6</v>
      </c>
      <c r="AC191" s="51">
        <v>21</v>
      </c>
      <c r="AD191" s="51">
        <v>21.6</v>
      </c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20</v>
      </c>
      <c r="AQ191" s="89">
        <f t="shared" si="12"/>
        <v>21.650000000000002</v>
      </c>
      <c r="AR191" s="89">
        <f>IFERROR(VLOOKUP(A191,Climatologia!A:U,9+$E$2,FALSE),"")</f>
        <v>19.76640571428571</v>
      </c>
      <c r="AS191" s="89">
        <f t="shared" si="13"/>
        <v>1.8835942857142918</v>
      </c>
      <c r="AT191" s="90">
        <f t="shared" si="14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>
        <v>10.199999999999999</v>
      </c>
      <c r="AB192" s="51">
        <v>10.199999999999999</v>
      </c>
      <c r="AC192" s="51">
        <v>10.199999999999999</v>
      </c>
      <c r="AD192" s="51">
        <v>10.4</v>
      </c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20</v>
      </c>
      <c r="AQ192" s="89">
        <f t="shared" si="12"/>
        <v>10.129999999999999</v>
      </c>
      <c r="AR192" s="89">
        <f>IFERROR(VLOOKUP(A192,Climatologia!A:U,9+$E$2,FALSE),"")</f>
        <v>8.3038288971873495</v>
      </c>
      <c r="AS192" s="89">
        <f t="shared" si="13"/>
        <v>1.8261711028126495</v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5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>
        <v>10.199999999999999</v>
      </c>
      <c r="AA193" s="51">
        <v>10.4</v>
      </c>
      <c r="AB193" s="51">
        <v>9.4</v>
      </c>
      <c r="AC193" s="51">
        <v>10</v>
      </c>
      <c r="AD193" s="51">
        <v>9</v>
      </c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9.5789473684210531</v>
      </c>
      <c r="AR193" s="89">
        <f>IFERROR(VLOOKUP(A193,Climatologia!A:U,9+$E$2,FALSE),"")</f>
        <v>7.7278206554291087</v>
      </c>
      <c r="AS193" s="89">
        <f t="shared" si="13"/>
        <v>1.8511267129919444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5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8.1093100992191847</v>
      </c>
      <c r="AS194" s="89" t="str">
        <f t="shared" si="13"/>
        <v/>
      </c>
      <c r="AT194" s="90">
        <f t="shared" si="14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5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>
        <v>4.8</v>
      </c>
      <c r="AA195" s="51">
        <v>8.1999999999999993</v>
      </c>
      <c r="AB195" s="51">
        <v>10.199999999999999</v>
      </c>
      <c r="AC195" s="51">
        <v>8.4</v>
      </c>
      <c r="AD195" s="51">
        <v>9.6</v>
      </c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20</v>
      </c>
      <c r="AQ195" s="89">
        <f t="shared" si="12"/>
        <v>5.9749999999999996</v>
      </c>
      <c r="AR195" s="89">
        <f>IFERROR(VLOOKUP(A195,Climatologia!A:U,9+$E$2,FALSE),"")</f>
        <v>7.7848444585694851</v>
      </c>
      <c r="AS195" s="89">
        <f t="shared" si="13"/>
        <v>-1.8098444585694855</v>
      </c>
      <c r="AT195" s="90">
        <f t="shared" si="14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5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/>
      <c r="AA196" s="51"/>
      <c r="AB196" s="51"/>
      <c r="AC196" s="51"/>
      <c r="AD196" s="51">
        <v>9.8000000000000007</v>
      </c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16</v>
      </c>
      <c r="AQ196" s="89">
        <f t="shared" si="12"/>
        <v>8.7375000000000007</v>
      </c>
      <c r="AR196" s="89">
        <f>IFERROR(VLOOKUP(A196,Climatologia!A:U,9+$E$2,FALSE),"")</f>
        <v>6.8173462365591373</v>
      </c>
      <c r="AS196" s="89">
        <f t="shared" si="13"/>
        <v>1.9201537634408634</v>
      </c>
      <c r="AT196" s="90">
        <f t="shared" si="14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5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>
        <v>11.2</v>
      </c>
      <c r="AB197" s="51">
        <v>8.6</v>
      </c>
      <c r="AC197" s="51">
        <v>8.8000000000000007</v>
      </c>
      <c r="AD197" s="51">
        <v>9.6</v>
      </c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20</v>
      </c>
      <c r="AQ197" s="89">
        <f t="shared" ref="AQ197:AQ260" si="17">IF(AP197&gt;14,AVERAGE(K197:AO197),"")</f>
        <v>8.6999999999999993</v>
      </c>
      <c r="AR197" s="89">
        <f>IFERROR(VLOOKUP(A197,Climatologia!A:U,9+$E$2,FALSE),"")</f>
        <v>7.8933666539450718</v>
      </c>
      <c r="AS197" s="89">
        <f t="shared" ref="AS197:AS260" si="18">IF(OR(AQ197="",AR197=""),"",IFERROR(AQ197-AR197,""))</f>
        <v>0.80663334605492754</v>
      </c>
      <c r="AT197" s="90">
        <f t="shared" ref="AT197:AT207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0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>
        <v>10.199999999999999</v>
      </c>
      <c r="AA198" s="51">
        <v>9.4</v>
      </c>
      <c r="AB198" s="51">
        <v>11</v>
      </c>
      <c r="AC198" s="51">
        <v>11.6</v>
      </c>
      <c r="AD198" s="51">
        <v>10.4</v>
      </c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20</v>
      </c>
      <c r="AQ198" s="89">
        <f t="shared" si="17"/>
        <v>9.7099999999999991</v>
      </c>
      <c r="AR198" s="89">
        <f>IFERROR(VLOOKUP(A198,Climatologia!A:U,9+$E$2,FALSE),"")</f>
        <v>7.7598125606935424</v>
      </c>
      <c r="AS198" s="89">
        <f t="shared" si="18"/>
        <v>1.9501874393064567</v>
      </c>
      <c r="AT198" s="90">
        <f t="shared" si="19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0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>
        <v>9.8000000000000007</v>
      </c>
      <c r="AB199" s="51">
        <v>11</v>
      </c>
      <c r="AC199" s="51"/>
      <c r="AD199" s="51">
        <v>10</v>
      </c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19</v>
      </c>
      <c r="AQ199" s="89">
        <f t="shared" si="17"/>
        <v>9.6421052631578963</v>
      </c>
      <c r="AR199" s="89">
        <f>IFERROR(VLOOKUP(A199,Climatologia!A:U,9+$E$2,FALSE),"")</f>
        <v>7.4125279631689516</v>
      </c>
      <c r="AS199" s="89">
        <f t="shared" si="18"/>
        <v>2.2295772999889447</v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0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>
        <v>9</v>
      </c>
      <c r="AA200" s="51">
        <v>7.2</v>
      </c>
      <c r="AB200" s="51">
        <v>10</v>
      </c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8.5666666666666664</v>
      </c>
      <c r="AR200" s="89">
        <f>IFERROR(VLOOKUP(A200,Climatologia!A:U,9+$E$2,FALSE),"")</f>
        <v>6.7196341375857118</v>
      </c>
      <c r="AS200" s="89">
        <f t="shared" si="18"/>
        <v>1.8470325290809546</v>
      </c>
      <c r="AT200" s="90">
        <f t="shared" si="19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0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>
        <v>10.4</v>
      </c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7.737258054422024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0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>
        <v>8.4</v>
      </c>
      <c r="AB202" s="51">
        <v>10.4</v>
      </c>
      <c r="AC202" s="51">
        <v>11</v>
      </c>
      <c r="AD202" s="51">
        <v>11.2</v>
      </c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20</v>
      </c>
      <c r="AQ202" s="89">
        <f t="shared" si="17"/>
        <v>8.0400000000000009</v>
      </c>
      <c r="AR202" s="89">
        <f>IFERROR(VLOOKUP(A202,Climatologia!A:U,9+$E$2,FALSE),"")</f>
        <v>8.0131665360709121</v>
      </c>
      <c r="AS202" s="89">
        <f t="shared" si="18"/>
        <v>2.6833463929088808E-2</v>
      </c>
      <c r="AT202" s="90">
        <f t="shared" si="19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0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>
        <v>5.2</v>
      </c>
      <c r="AB203" s="51">
        <v>5</v>
      </c>
      <c r="AC203" s="51">
        <v>4.5999999999999996</v>
      </c>
      <c r="AD203" s="51">
        <v>5.4</v>
      </c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20</v>
      </c>
      <c r="AQ203" s="89">
        <f t="shared" si="17"/>
        <v>5.14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0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17.563073923478811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>
        <v>11.6</v>
      </c>
      <c r="AA205" s="51">
        <v>11</v>
      </c>
      <c r="AB205" s="51">
        <v>10.199999999999999</v>
      </c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18</v>
      </c>
      <c r="AQ205" s="89">
        <f t="shared" si="17"/>
        <v>11.211111111111109</v>
      </c>
      <c r="AR205" s="89">
        <f>IFERROR(VLOOKUP(A205,Climatologia!A:U,9+$E$2,FALSE),"")</f>
        <v>9.4398271387109567</v>
      </c>
      <c r="AS205" s="89">
        <f t="shared" si="18"/>
        <v>1.7712839724001519</v>
      </c>
      <c r="AT205" s="90">
        <f t="shared" si="19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0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>
        <v>6.4</v>
      </c>
      <c r="AB206" s="51">
        <v>7.4</v>
      </c>
      <c r="AC206" s="51">
        <v>6.4</v>
      </c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19</v>
      </c>
      <c r="AQ206" s="89">
        <f t="shared" si="17"/>
        <v>6.5263157894736841</v>
      </c>
      <c r="AR206" s="89">
        <f>IFERROR(VLOOKUP(A206,Climatologia!A:U,9+$E$2,FALSE),"")</f>
        <v>5.2432824793440451</v>
      </c>
      <c r="AS206" s="89">
        <f t="shared" si="18"/>
        <v>1.2830333101296389</v>
      </c>
      <c r="AT206" s="90">
        <f t="shared" si="19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0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>
        <v>20.8</v>
      </c>
      <c r="AB207" s="51">
        <v>20.2</v>
      </c>
      <c r="AC207" s="51">
        <v>20.8</v>
      </c>
      <c r="AD207" s="51">
        <v>21.4</v>
      </c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20</v>
      </c>
      <c r="AQ207" s="89">
        <f t="shared" si="17"/>
        <v>20.39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2026-07-20T15:11:25Z</dcterms:modified>
</cp:coreProperties>
</file>