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99E73B80-5326-4CB7-88E9-7297AB46506B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<sst xmlns="http://schemas.openxmlformats.org/spreadsheetml/2006/main" count="604" uniqueCount="273">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</sst>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2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right" vertical="center"/>
    </xf>
    <xf numFmtId="164" fontId="12" fillId="0" borderId="1" xfId="0" applyNumberFormat="1" applyFont="1" applyFill="1" applyBorder="1" applyAlignment="1">
      <alignment horizontal="right" vertical="center"/>
    </xf>
    <xf numFmtId="165" fontId="12" fillId="0" borderId="1" xfId="0" applyNumberFormat="1" applyFont="1" applyFill="1" applyBorder="1" applyAlignment="1">
      <alignment horizontal="right" vertical="center"/>
    </xf>
    <xf numFmtId="164" fontId="19" fillId="0" borderId="1" xfId="0" applyNumberFormat="1" applyFont="1" applyFill="1" applyBorder="1" applyAlignment="1">
      <alignment horizontal="right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47" sqref="J47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6" t="s">
        <v>0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78">
        <v>32.299999999999997</v>
      </c>
      <c r="F5" s="78">
        <v>32.299999999999997</v>
      </c>
      <c r="G5" s="57">
        <v>31.4</v>
      </c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78"/>
      <c r="AD5" s="78"/>
      <c r="AE5" s="78"/>
      <c r="AF5" s="78"/>
      <c r="AG5" s="78"/>
      <c r="AH5" s="78"/>
      <c r="AI5" s="78"/>
      <c r="AJ5" s="37">
        <f>+IF(SUM($E5:$AI5)&gt;0,LOOKUP(1000,$E5:$AI5),NA())</f>
        <v>31.4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78">
        <v>30.4</v>
      </c>
      <c r="F6" s="78">
        <v>31.5</v>
      </c>
      <c r="G6" s="57">
        <v>32</v>
      </c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78"/>
      <c r="AD6" s="78"/>
      <c r="AE6" s="78"/>
      <c r="AF6" s="78"/>
      <c r="AG6" s="78"/>
      <c r="AH6" s="78"/>
      <c r="AI6" s="78"/>
      <c r="AJ6" s="37">
        <f t="shared" ref="AJ6:AJ48" si="0">+IF(SUM($E6:$AI6)&gt;0,LOOKUP(1000,$E6:$AI6),NA())</f>
        <v>32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78">
        <v>36.200000000000003</v>
      </c>
      <c r="F7" s="78">
        <v>36.799999999999997</v>
      </c>
      <c r="G7" s="57">
        <v>33.5</v>
      </c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78"/>
      <c r="AD7" s="78"/>
      <c r="AE7" s="78"/>
      <c r="AF7" s="78"/>
      <c r="AG7" s="78"/>
      <c r="AH7" s="78"/>
      <c r="AI7" s="78"/>
      <c r="AJ7" s="37">
        <f t="shared" si="0"/>
        <v>33.5</v>
      </c>
      <c r="AK7" s="21">
        <f t="shared" si="1"/>
        <v>36.799999999999997</v>
      </c>
      <c r="AL7" s="22">
        <v>38.4</v>
      </c>
      <c r="AM7" s="23">
        <f t="shared" si="2"/>
        <v>-1.6000000000000014</v>
      </c>
      <c r="AN7" s="23">
        <v>33.366016007569073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78">
        <v>33.200000000000003</v>
      </c>
      <c r="F8" s="78">
        <v>33.799999999999997</v>
      </c>
      <c r="G8" s="57">
        <v>32.299999999999997</v>
      </c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78"/>
      <c r="AD8" s="78"/>
      <c r="AE8" s="78"/>
      <c r="AF8" s="78"/>
      <c r="AG8" s="78"/>
      <c r="AH8" s="78"/>
      <c r="AI8" s="78"/>
      <c r="AJ8" s="37">
        <f t="shared" si="0"/>
        <v>32.299999999999997</v>
      </c>
      <c r="AK8" s="21">
        <f t="shared" si="1"/>
        <v>33.799999999999997</v>
      </c>
      <c r="AL8" s="22">
        <v>38</v>
      </c>
      <c r="AM8" s="23">
        <f t="shared" si="2"/>
        <v>-4.2000000000000028</v>
      </c>
      <c r="AN8" s="23">
        <v>32.249043010752693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78">
        <v>33.700000000000003</v>
      </c>
      <c r="F9" s="78">
        <v>34.5</v>
      </c>
      <c r="G9" s="57">
        <v>32.9</v>
      </c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78"/>
      <c r="AD9" s="78"/>
      <c r="AE9" s="78"/>
      <c r="AF9" s="78"/>
      <c r="AG9" s="78"/>
      <c r="AH9" s="78"/>
      <c r="AI9" s="78"/>
      <c r="AJ9" s="37">
        <f t="shared" si="0"/>
        <v>32.9</v>
      </c>
      <c r="AK9" s="21">
        <f t="shared" si="1"/>
        <v>34.5</v>
      </c>
      <c r="AL9" s="22">
        <v>38.4</v>
      </c>
      <c r="AM9" s="23">
        <f t="shared" si="2"/>
        <v>-3.8999999999999986</v>
      </c>
      <c r="AN9" s="23">
        <v>33.091246137683846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78">
        <v>36.6</v>
      </c>
      <c r="F10" s="78">
        <v>36</v>
      </c>
      <c r="G10" s="57">
        <v>32.4</v>
      </c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78"/>
      <c r="AD10" s="78"/>
      <c r="AE10" s="78"/>
      <c r="AF10" s="78"/>
      <c r="AG10" s="78"/>
      <c r="AH10" s="78"/>
      <c r="AI10" s="78"/>
      <c r="AJ10" s="37">
        <f t="shared" si="0"/>
        <v>32.4</v>
      </c>
      <c r="AK10" s="21">
        <f t="shared" si="1"/>
        <v>36.6</v>
      </c>
      <c r="AL10" s="22">
        <v>39.200000000000003</v>
      </c>
      <c r="AM10" s="23">
        <f t="shared" si="2"/>
        <v>-2.6000000000000014</v>
      </c>
      <c r="AN10" s="23">
        <v>35.380238227660357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78">
        <v>39.200000000000003</v>
      </c>
      <c r="F11" s="78">
        <v>38</v>
      </c>
      <c r="G11" s="57">
        <v>35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78"/>
      <c r="AD11" s="78"/>
      <c r="AE11" s="78"/>
      <c r="AF11" s="78"/>
      <c r="AG11" s="78"/>
      <c r="AH11" s="78"/>
      <c r="AI11" s="78"/>
      <c r="AJ11" s="37">
        <f t="shared" si="0"/>
        <v>35</v>
      </c>
      <c r="AK11" s="21">
        <f t="shared" si="1"/>
        <v>39.200000000000003</v>
      </c>
      <c r="AL11" s="22">
        <v>41.4</v>
      </c>
      <c r="AM11" s="23">
        <f t="shared" si="2"/>
        <v>-2.1999999999999957</v>
      </c>
      <c r="AN11" s="23">
        <v>35.537284092848601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80">
        <v>36.200000000000003</v>
      </c>
      <c r="F12" s="78">
        <v>36.6</v>
      </c>
      <c r="G12" s="57">
        <v>35.4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78"/>
      <c r="AD12" s="78"/>
      <c r="AE12" s="78"/>
      <c r="AF12" s="78"/>
      <c r="AG12" s="78"/>
      <c r="AH12" s="78"/>
      <c r="AI12" s="78"/>
      <c r="AJ12" s="37">
        <f t="shared" si="0"/>
        <v>35.4</v>
      </c>
      <c r="AK12" s="21">
        <f t="shared" si="1"/>
        <v>36.6</v>
      </c>
      <c r="AL12" s="22">
        <v>39.4</v>
      </c>
      <c r="AM12" s="23">
        <f t="shared" si="2"/>
        <v>-2.7999999999999972</v>
      </c>
      <c r="AN12" s="23">
        <v>32.188624146173737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80">
        <v>36.799999999999997</v>
      </c>
      <c r="F13" s="78">
        <v>37</v>
      </c>
      <c r="G13" s="57">
        <v>36.799999999999997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78"/>
      <c r="AD13" s="78"/>
      <c r="AE13" s="78"/>
      <c r="AF13" s="78"/>
      <c r="AG13" s="78"/>
      <c r="AH13" s="78"/>
      <c r="AI13" s="78"/>
      <c r="AJ13" s="37">
        <f t="shared" si="0"/>
        <v>36.799999999999997</v>
      </c>
      <c r="AK13" s="21">
        <f t="shared" si="1"/>
        <v>37</v>
      </c>
      <c r="AL13" s="22">
        <v>38.200000000000003</v>
      </c>
      <c r="AM13" s="23">
        <f t="shared" si="2"/>
        <v>-1.2000000000000028</v>
      </c>
      <c r="AN13" s="23">
        <v>33.381792114695337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78">
        <v>36.799999999999997</v>
      </c>
      <c r="F14" s="78">
        <v>36.200000000000003</v>
      </c>
      <c r="G14" s="57">
        <v>35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78"/>
      <c r="AD14" s="78"/>
      <c r="AE14" s="78"/>
      <c r="AF14" s="78"/>
      <c r="AG14" s="78"/>
      <c r="AH14" s="78"/>
      <c r="AI14" s="78"/>
      <c r="AJ14" s="37">
        <f t="shared" si="0"/>
        <v>35</v>
      </c>
      <c r="AK14" s="21">
        <f t="shared" si="1"/>
        <v>36.799999999999997</v>
      </c>
      <c r="AL14" s="22">
        <v>38.4</v>
      </c>
      <c r="AM14" s="23">
        <f t="shared" si="2"/>
        <v>-1.6000000000000014</v>
      </c>
      <c r="AN14" s="23">
        <v>33.224936599214232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78">
        <v>32.700000000000003</v>
      </c>
      <c r="F15" s="78">
        <v>32.9</v>
      </c>
      <c r="G15" s="57">
        <v>32.200000000000003</v>
      </c>
      <c r="H15" s="57"/>
      <c r="I15" s="57"/>
      <c r="J15" s="57"/>
      <c r="K15" s="57"/>
      <c r="L15" s="57"/>
      <c r="M15" s="57"/>
      <c r="N15" s="57"/>
      <c r="O15" s="57"/>
      <c r="P15" s="57"/>
      <c r="Q15" s="78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78"/>
      <c r="AD15" s="78"/>
      <c r="AE15" s="78"/>
      <c r="AF15" s="78"/>
      <c r="AG15" s="78"/>
      <c r="AH15" s="78"/>
      <c r="AI15" s="78"/>
      <c r="AJ15" s="37">
        <f t="shared" si="0"/>
        <v>32.200000000000003</v>
      </c>
      <c r="AK15" s="21">
        <f t="shared" si="1"/>
        <v>32.9</v>
      </c>
      <c r="AL15" s="22">
        <v>36</v>
      </c>
      <c r="AM15" s="23">
        <f t="shared" si="2"/>
        <v>-3.1000000000000014</v>
      </c>
      <c r="AN15" s="23">
        <v>31.73533745607995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78">
        <v>34.799999999999997</v>
      </c>
      <c r="F17" s="78">
        <v>32.700000000000003</v>
      </c>
      <c r="G17" s="57">
        <v>35.6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78"/>
      <c r="AD17" s="78"/>
      <c r="AE17" s="78"/>
      <c r="AF17" s="78"/>
      <c r="AG17" s="78"/>
      <c r="AH17" s="78"/>
      <c r="AI17" s="78"/>
      <c r="AJ17" s="37">
        <f t="shared" si="0"/>
        <v>35.6</v>
      </c>
      <c r="AK17" s="21">
        <f t="shared" si="1"/>
        <v>35.6</v>
      </c>
      <c r="AL17" s="22">
        <v>37.6</v>
      </c>
      <c r="AM17" s="23">
        <f t="shared" si="2"/>
        <v>-2</v>
      </c>
      <c r="AN17" s="23">
        <v>32.673982202447156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78">
        <v>28.8</v>
      </c>
      <c r="F18" s="78">
        <v>27.5</v>
      </c>
      <c r="G18" s="57">
        <v>26.8</v>
      </c>
      <c r="H18" s="57"/>
      <c r="I18" s="57"/>
      <c r="J18" s="57"/>
      <c r="K18" s="57"/>
      <c r="L18" s="78"/>
      <c r="M18" s="78"/>
      <c r="N18" s="78"/>
      <c r="O18" s="78"/>
      <c r="P18" s="78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78"/>
      <c r="AD18" s="78"/>
      <c r="AE18" s="78"/>
      <c r="AF18" s="78"/>
      <c r="AG18" s="78"/>
      <c r="AH18" s="78"/>
      <c r="AI18" s="78"/>
      <c r="AJ18" s="37">
        <f t="shared" si="0"/>
        <v>26.8</v>
      </c>
      <c r="AK18" s="21">
        <f t="shared" si="1"/>
        <v>28.8</v>
      </c>
      <c r="AL18" s="22">
        <v>30</v>
      </c>
      <c r="AM18" s="23">
        <f t="shared" si="2"/>
        <v>-1.1999999999999993</v>
      </c>
      <c r="AN18" s="23">
        <v>26.05987085395687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78">
        <v>35.1</v>
      </c>
      <c r="F19" s="78">
        <v>32</v>
      </c>
      <c r="G19" s="57">
        <v>32.5</v>
      </c>
      <c r="H19" s="57"/>
      <c r="I19" s="57"/>
      <c r="J19" s="57"/>
      <c r="K19" s="57"/>
      <c r="L19" s="78"/>
      <c r="M19" s="78"/>
      <c r="N19" s="78"/>
      <c r="O19" s="78"/>
      <c r="P19" s="78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78"/>
      <c r="AD19" s="78"/>
      <c r="AE19" s="78"/>
      <c r="AF19" s="78"/>
      <c r="AG19" s="78"/>
      <c r="AH19" s="78"/>
      <c r="AI19" s="78"/>
      <c r="AJ19" s="37">
        <f t="shared" si="0"/>
        <v>32.5</v>
      </c>
      <c r="AK19" s="21">
        <f t="shared" si="1"/>
        <v>35.1</v>
      </c>
      <c r="AL19" s="22">
        <v>37.5</v>
      </c>
      <c r="AM19" s="23">
        <f t="shared" si="2"/>
        <v>-2.3999999999999986</v>
      </c>
      <c r="AN19" s="23">
        <v>33.250962402669643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78">
        <v>31.8</v>
      </c>
      <c r="F20" s="78">
        <v>30.3</v>
      </c>
      <c r="G20" s="57">
        <v>30.6</v>
      </c>
      <c r="H20" s="57"/>
      <c r="I20" s="57"/>
      <c r="J20" s="57"/>
      <c r="K20" s="57"/>
      <c r="L20" s="78"/>
      <c r="M20" s="78"/>
      <c r="N20" s="78"/>
      <c r="O20" s="78"/>
      <c r="P20" s="78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78"/>
      <c r="AD20" s="78"/>
      <c r="AE20" s="78"/>
      <c r="AF20" s="78"/>
      <c r="AG20" s="78"/>
      <c r="AH20" s="78"/>
      <c r="AI20" s="78"/>
      <c r="AJ20" s="37">
        <f t="shared" si="0"/>
        <v>30.6</v>
      </c>
      <c r="AK20" s="21">
        <f t="shared" si="1"/>
        <v>31.8</v>
      </c>
      <c r="AL20" s="22">
        <v>33.200000000000003</v>
      </c>
      <c r="AM20" s="23">
        <f t="shared" si="2"/>
        <v>-1.4000000000000021</v>
      </c>
      <c r="AN20" s="23">
        <v>28.640804597701148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78">
        <v>25.4</v>
      </c>
      <c r="F21" s="78">
        <v>24.7</v>
      </c>
      <c r="G21" s="57">
        <v>24.5</v>
      </c>
      <c r="H21" s="57"/>
      <c r="I21" s="57"/>
      <c r="J21" s="57"/>
      <c r="K21" s="57"/>
      <c r="L21" s="78"/>
      <c r="M21" s="78"/>
      <c r="N21" s="78"/>
      <c r="O21" s="78"/>
      <c r="P21" s="78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78"/>
      <c r="AD21" s="78"/>
      <c r="AE21" s="78"/>
      <c r="AF21" s="78"/>
      <c r="AG21" s="78"/>
      <c r="AH21" s="78"/>
      <c r="AI21" s="78"/>
      <c r="AJ21" s="37">
        <f t="shared" si="0"/>
        <v>24.5</v>
      </c>
      <c r="AK21" s="21">
        <f t="shared" si="1"/>
        <v>25.4</v>
      </c>
      <c r="AL21" s="22">
        <v>25.8</v>
      </c>
      <c r="AM21" s="23">
        <f t="shared" si="2"/>
        <v>-0.40000000000000213</v>
      </c>
      <c r="AN21" s="23">
        <v>22.609503151649971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79"/>
      <c r="F22" s="79"/>
      <c r="G22" s="29"/>
      <c r="H22" s="29"/>
      <c r="I22" s="29"/>
      <c r="J22" s="29"/>
      <c r="K22" s="29"/>
      <c r="L22" s="79"/>
      <c r="M22" s="79"/>
      <c r="N22" s="79"/>
      <c r="O22" s="79"/>
      <c r="P22" s="7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79"/>
      <c r="AD22" s="79"/>
      <c r="AE22" s="79"/>
      <c r="AF22" s="79"/>
      <c r="AG22" s="79"/>
      <c r="AH22" s="79"/>
      <c r="AI22" s="7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78">
        <v>27.5</v>
      </c>
      <c r="F23" s="78">
        <v>30</v>
      </c>
      <c r="G23" s="57">
        <v>28.2</v>
      </c>
      <c r="H23" s="57"/>
      <c r="I23" s="57"/>
      <c r="J23" s="57"/>
      <c r="K23" s="57"/>
      <c r="L23" s="78"/>
      <c r="M23" s="78"/>
      <c r="N23" s="78"/>
      <c r="O23" s="78"/>
      <c r="P23" s="78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78"/>
      <c r="AD23" s="78"/>
      <c r="AE23" s="78"/>
      <c r="AF23" s="78"/>
      <c r="AG23" s="78"/>
      <c r="AH23" s="78"/>
      <c r="AI23" s="78"/>
      <c r="AJ23" s="37">
        <f t="shared" si="0"/>
        <v>28.2</v>
      </c>
      <c r="AK23" s="21">
        <f t="shared" si="1"/>
        <v>30</v>
      </c>
      <c r="AL23" s="22">
        <v>32.5</v>
      </c>
      <c r="AM23" s="23">
        <f t="shared" si="2"/>
        <v>-2.5</v>
      </c>
      <c r="AN23" s="23">
        <v>26.8683870967742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78">
        <v>28.8</v>
      </c>
      <c r="F24" s="78">
        <v>30.6</v>
      </c>
      <c r="G24" s="57">
        <v>28.7</v>
      </c>
      <c r="H24" s="57"/>
      <c r="I24" s="57"/>
      <c r="J24" s="57"/>
      <c r="K24" s="57"/>
      <c r="L24" s="78"/>
      <c r="M24" s="78"/>
      <c r="N24" s="78"/>
      <c r="O24" s="78"/>
      <c r="P24" s="78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78"/>
      <c r="AD24" s="78"/>
      <c r="AE24" s="78"/>
      <c r="AF24" s="78"/>
      <c r="AG24" s="78"/>
      <c r="AH24" s="78"/>
      <c r="AI24" s="78"/>
      <c r="AJ24" s="37">
        <f t="shared" si="0"/>
        <v>28.7</v>
      </c>
      <c r="AK24" s="21">
        <f t="shared" si="1"/>
        <v>30.6</v>
      </c>
      <c r="AL24" s="22">
        <v>34.200000000000003</v>
      </c>
      <c r="AM24" s="23">
        <f t="shared" si="2"/>
        <v>-3.6000000000000014</v>
      </c>
      <c r="AN24" s="23">
        <v>28.251824116743482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81">
        <v>32.799999999999997</v>
      </c>
      <c r="F25" s="78">
        <v>32</v>
      </c>
      <c r="G25" s="57">
        <v>29.9</v>
      </c>
      <c r="H25" s="57"/>
      <c r="I25" s="57"/>
      <c r="J25" s="57"/>
      <c r="K25" s="57"/>
      <c r="L25" s="78"/>
      <c r="M25" s="78"/>
      <c r="N25" s="78"/>
      <c r="O25" s="78"/>
      <c r="P25" s="78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78"/>
      <c r="AD25" s="78"/>
      <c r="AE25" s="78"/>
      <c r="AF25" s="78"/>
      <c r="AG25" s="78"/>
      <c r="AH25" s="78"/>
      <c r="AI25" s="78"/>
      <c r="AJ25" s="37">
        <f t="shared" si="0"/>
        <v>29.9</v>
      </c>
      <c r="AK25" s="21">
        <f t="shared" si="1"/>
        <v>32.799999999999997</v>
      </c>
      <c r="AL25" s="22">
        <v>35.4</v>
      </c>
      <c r="AM25" s="23">
        <f t="shared" si="2"/>
        <v>-2.6000000000000014</v>
      </c>
      <c r="AN25" s="23">
        <v>30.375865393221069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78">
        <v>20.6</v>
      </c>
      <c r="F26" s="78">
        <v>17.899999999999999</v>
      </c>
      <c r="G26" s="57">
        <v>19</v>
      </c>
      <c r="H26" s="57"/>
      <c r="I26" s="57"/>
      <c r="J26" s="57"/>
      <c r="K26" s="57"/>
      <c r="L26" s="78"/>
      <c r="M26" s="78"/>
      <c r="N26" s="78"/>
      <c r="O26" s="78"/>
      <c r="P26" s="78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78"/>
      <c r="AD26" s="78"/>
      <c r="AE26" s="78"/>
      <c r="AF26" s="78"/>
      <c r="AG26" s="78"/>
      <c r="AH26" s="78"/>
      <c r="AI26" s="78"/>
      <c r="AJ26" s="37">
        <f t="shared" si="0"/>
        <v>19</v>
      </c>
      <c r="AK26" s="21">
        <f t="shared" si="1"/>
        <v>20.6</v>
      </c>
      <c r="AL26" s="22">
        <v>22.4</v>
      </c>
      <c r="AM26" s="23">
        <f t="shared" si="2"/>
        <v>-1.7999999999999972</v>
      </c>
      <c r="AN26" s="23">
        <v>18.542871607443359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80">
        <v>19.2</v>
      </c>
      <c r="F27" s="78">
        <v>19.600000000000001</v>
      </c>
      <c r="G27" s="57">
        <v>18.100000000000001</v>
      </c>
      <c r="H27" s="57"/>
      <c r="I27" s="57"/>
      <c r="J27" s="57"/>
      <c r="K27" s="57"/>
      <c r="L27" s="78"/>
      <c r="M27" s="78"/>
      <c r="N27" s="78"/>
      <c r="O27" s="78"/>
      <c r="P27" s="78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78"/>
      <c r="AD27" s="78"/>
      <c r="AE27" s="78"/>
      <c r="AF27" s="78"/>
      <c r="AG27" s="78"/>
      <c r="AH27" s="78"/>
      <c r="AI27" s="78"/>
      <c r="AJ27" s="37">
        <f t="shared" si="0"/>
        <v>18.100000000000001</v>
      </c>
      <c r="AK27" s="21">
        <f t="shared" si="1"/>
        <v>19.600000000000001</v>
      </c>
      <c r="AL27" s="22">
        <v>21.4</v>
      </c>
      <c r="AM27" s="23">
        <f t="shared" si="2"/>
        <v>-1.7999999999999972</v>
      </c>
      <c r="AN27" s="23">
        <v>16.682050544108389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78">
        <v>30.5</v>
      </c>
      <c r="F28" s="78">
        <v>33</v>
      </c>
      <c r="G28" s="57">
        <v>30.9</v>
      </c>
      <c r="H28" s="57"/>
      <c r="I28" s="57"/>
      <c r="J28" s="57"/>
      <c r="K28" s="57"/>
      <c r="L28" s="78"/>
      <c r="M28" s="78"/>
      <c r="N28" s="78"/>
      <c r="O28" s="78"/>
      <c r="P28" s="78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78"/>
      <c r="AD28" s="78"/>
      <c r="AE28" s="78"/>
      <c r="AF28" s="78"/>
      <c r="AG28" s="78"/>
      <c r="AH28" s="78"/>
      <c r="AI28" s="78"/>
      <c r="AJ28" s="37">
        <f t="shared" si="0"/>
        <v>30.9</v>
      </c>
      <c r="AK28" s="21">
        <f t="shared" si="1"/>
        <v>33</v>
      </c>
      <c r="AL28" s="22">
        <v>34.5</v>
      </c>
      <c r="AM28" s="23">
        <f t="shared" si="2"/>
        <v>-1.5</v>
      </c>
      <c r="AN28" s="23">
        <v>30.528452601656159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79"/>
      <c r="F29" s="79"/>
      <c r="G29" s="29"/>
      <c r="H29" s="29"/>
      <c r="I29" s="29"/>
      <c r="J29" s="29"/>
      <c r="K29" s="29"/>
      <c r="L29" s="79"/>
      <c r="M29" s="79"/>
      <c r="N29" s="79"/>
      <c r="O29" s="79"/>
      <c r="P29" s="7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79"/>
      <c r="AD29" s="79"/>
      <c r="AE29" s="79"/>
      <c r="AF29" s="79"/>
      <c r="AG29" s="79"/>
      <c r="AH29" s="79"/>
      <c r="AI29" s="7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78">
        <v>34</v>
      </c>
      <c r="F30" s="78">
        <v>31.7</v>
      </c>
      <c r="G30" s="57">
        <v>32.6</v>
      </c>
      <c r="H30" s="57"/>
      <c r="I30" s="57"/>
      <c r="J30" s="57"/>
      <c r="K30" s="57"/>
      <c r="L30" s="78"/>
      <c r="M30" s="78"/>
      <c r="N30" s="78"/>
      <c r="O30" s="78"/>
      <c r="P30" s="78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32.6</v>
      </c>
      <c r="AK30" s="21">
        <f t="shared" si="1"/>
        <v>34</v>
      </c>
      <c r="AL30" s="22">
        <v>38.6</v>
      </c>
      <c r="AM30" s="23">
        <f t="shared" si="2"/>
        <v>-4.6000000000000014</v>
      </c>
      <c r="AN30" s="23">
        <v>33.74225089605735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78">
        <v>28.6</v>
      </c>
      <c r="F31" s="78">
        <v>27.3</v>
      </c>
      <c r="G31" s="57">
        <v>25.4</v>
      </c>
      <c r="H31" s="57"/>
      <c r="I31" s="57"/>
      <c r="J31" s="57"/>
      <c r="K31" s="57"/>
      <c r="L31" s="78"/>
      <c r="M31" s="78"/>
      <c r="N31" s="78"/>
      <c r="O31" s="78"/>
      <c r="P31" s="78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25.4</v>
      </c>
      <c r="AK31" s="21">
        <f t="shared" si="1"/>
        <v>28.6</v>
      </c>
      <c r="AL31" s="22">
        <v>30.2</v>
      </c>
      <c r="AM31" s="23">
        <f t="shared" si="2"/>
        <v>-1.5999999999999979</v>
      </c>
      <c r="AN31" s="23">
        <v>25.387424837120619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80">
        <v>18.600000000000001</v>
      </c>
      <c r="F32" s="78">
        <v>18</v>
      </c>
      <c r="G32" s="57">
        <v>15.8</v>
      </c>
      <c r="H32" s="57"/>
      <c r="I32" s="57"/>
      <c r="J32" s="57"/>
      <c r="K32" s="57"/>
      <c r="L32" s="78"/>
      <c r="M32" s="78"/>
      <c r="N32" s="78"/>
      <c r="O32" s="78"/>
      <c r="P32" s="78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15.8</v>
      </c>
      <c r="AK32" s="21">
        <f t="shared" si="1"/>
        <v>18.600000000000001</v>
      </c>
      <c r="AL32" s="22">
        <v>21.8</v>
      </c>
      <c r="AM32" s="23">
        <f t="shared" si="2"/>
        <v>-3.1999999999999993</v>
      </c>
      <c r="AN32" s="27">
        <v>16.329537773261251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78">
        <v>15.2</v>
      </c>
      <c r="F33" s="78">
        <v>15.2</v>
      </c>
      <c r="G33" s="57">
        <v>14.4</v>
      </c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14.4</v>
      </c>
      <c r="AK33" s="21">
        <f t="shared" si="1"/>
        <v>15.2</v>
      </c>
      <c r="AL33" s="22">
        <v>20</v>
      </c>
      <c r="AM33" s="23">
        <f t="shared" si="2"/>
        <v>-4.8000000000000007</v>
      </c>
      <c r="AN33" s="23">
        <v>14.744612532443449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31.8</v>
      </c>
      <c r="AK35" s="21">
        <f t="shared" si="1"/>
        <v>33</v>
      </c>
      <c r="AL35" s="22">
        <v>36.200000000000003</v>
      </c>
      <c r="AM35" s="23">
        <f t="shared" si="2"/>
        <v>-3.2000000000000028</v>
      </c>
      <c r="AN35" s="23">
        <v>31.072695852534562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27.8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31</v>
      </c>
      <c r="AK39" s="21">
        <f t="shared" si="1"/>
        <v>31.4</v>
      </c>
      <c r="AL39" s="22">
        <v>37.4</v>
      </c>
      <c r="AM39" s="23">
        <f t="shared" si="2"/>
        <v>-6</v>
      </c>
      <c r="AN39" s="23">
        <v>30.843133110863921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27.5</v>
      </c>
      <c r="AK40" s="21">
        <f t="shared" si="1"/>
        <v>30.7</v>
      </c>
      <c r="AL40" s="22">
        <v>33.5</v>
      </c>
      <c r="AM40" s="23">
        <f t="shared" si="2"/>
        <v>-2.8000000000000007</v>
      </c>
      <c r="AN40" s="23">
        <v>28.947548387096781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28</v>
      </c>
      <c r="AK41" s="21">
        <f t="shared" si="1"/>
        <v>30.8</v>
      </c>
      <c r="AL41" s="22">
        <v>34.4</v>
      </c>
      <c r="AM41" s="23">
        <f t="shared" si="2"/>
        <v>-3.5999999999999979</v>
      </c>
      <c r="AN41" s="23">
        <v>29.366308243727591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31.6</v>
      </c>
      <c r="AK43" s="21">
        <f t="shared" si="1"/>
        <v>31.6</v>
      </c>
      <c r="AL43" s="22">
        <v>34.200000000000003</v>
      </c>
      <c r="AM43" s="23">
        <f t="shared" si="2"/>
        <v>-2.6000000000000014</v>
      </c>
      <c r="AN43" s="23">
        <v>30.061061827956991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33.4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29.6</v>
      </c>
      <c r="AK45" s="21">
        <f t="shared" si="1"/>
        <v>32</v>
      </c>
      <c r="AL45" s="22">
        <v>34.200000000000003</v>
      </c>
      <c r="AM45" s="23">
        <f t="shared" si="2"/>
        <v>-2.2000000000000028</v>
      </c>
      <c r="AN45" s="23">
        <v>29.54581639287883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31.7</v>
      </c>
      <c r="AK48" s="21">
        <f t="shared" si="1"/>
        <v>31.7</v>
      </c>
      <c r="AL48" s="22">
        <v>35.200000000000003</v>
      </c>
      <c r="AM48" s="23">
        <f t="shared" si="2"/>
        <v>-3.5000000000000036</v>
      </c>
      <c r="AN48" s="23">
        <v>30.34253285543608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0" t="s">
        <v>123</v>
      </c>
      <c r="I1" s="71"/>
      <c r="J1" s="72"/>
      <c r="K1" s="67" t="s">
        <v>124</v>
      </c>
      <c r="L1" s="68"/>
      <c r="M1" s="69"/>
      <c r="N1" s="70" t="s">
        <v>125</v>
      </c>
      <c r="O1" s="71"/>
      <c r="P1" s="72"/>
      <c r="Q1" s="67" t="s">
        <v>126</v>
      </c>
      <c r="R1" s="68"/>
      <c r="S1" s="69"/>
      <c r="T1" s="70" t="s">
        <v>127</v>
      </c>
      <c r="U1" s="71"/>
      <c r="V1" s="72"/>
      <c r="W1" s="67" t="s">
        <v>128</v>
      </c>
      <c r="X1" s="68"/>
      <c r="Y1" s="69"/>
      <c r="Z1" s="70" t="s">
        <v>129</v>
      </c>
      <c r="AA1" s="71"/>
      <c r="AB1" s="72"/>
      <c r="AC1" s="67" t="s">
        <v>130</v>
      </c>
      <c r="AD1" s="68"/>
      <c r="AE1" s="69"/>
      <c r="AF1" s="70" t="s">
        <v>131</v>
      </c>
      <c r="AG1" s="71"/>
      <c r="AH1" s="72"/>
      <c r="AI1" s="67" t="s">
        <v>132</v>
      </c>
      <c r="AJ1" s="68"/>
      <c r="AK1" s="69"/>
      <c r="AL1" s="70" t="s">
        <v>133</v>
      </c>
      <c r="AM1" s="71"/>
      <c r="AN1" s="72"/>
      <c r="AO1" s="67" t="s">
        <v>134</v>
      </c>
      <c r="AP1" s="68"/>
      <c r="AQ1" s="69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5" t="s">
        <v>1</v>
      </c>
      <c r="B1" s="77" t="s">
        <v>93</v>
      </c>
      <c r="C1" s="66" t="s">
        <v>94</v>
      </c>
      <c r="D1" s="73" t="s">
        <v>95</v>
      </c>
      <c r="E1" s="73" t="s">
        <v>96</v>
      </c>
      <c r="F1" s="73" t="s">
        <v>97</v>
      </c>
      <c r="G1" s="73" t="s">
        <v>98</v>
      </c>
      <c r="H1" s="73" t="s">
        <v>99</v>
      </c>
      <c r="I1" s="73" t="s">
        <v>100</v>
      </c>
      <c r="J1" s="73" t="s">
        <v>101</v>
      </c>
      <c r="K1" s="73" t="s">
        <v>102</v>
      </c>
      <c r="L1" s="73" t="s">
        <v>103</v>
      </c>
      <c r="M1" s="73" t="s">
        <v>104</v>
      </c>
      <c r="N1" s="73" t="s">
        <v>105</v>
      </c>
      <c r="O1" s="73" t="s">
        <v>106</v>
      </c>
    </row>
    <row r="2" spans="1:15" ht="12.75" customHeight="1" x14ac:dyDescent="0.2">
      <c r="A2" s="76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2022-10-25T13:14:52Z</cp:lastPrinted>
  <dcterms:created xsi:type="dcterms:W3CDTF">2007-01-09T17:41:42Z</dcterms:created>
  <dcterms:modified xsi:type="dcterms:W3CDTF">2026-07-04T14:24:22Z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