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6BDC14F-0F4F-47DF-9335-73BF4C1FFB75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<sst xmlns="http://schemas.openxmlformats.org/spreadsheetml/2006/main" count="603" uniqueCount="272">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</sst>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P4" activePane="bottomRight" state="frozen"/>
      <selection pane="topRight" activeCell="E1" sqref="E1"/>
      <selection pane="bottomLeft" activeCell="A4" sqref="A4"/>
      <selection pane="bottomRight" activeCell="A40" sqref="A40:XFD40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>
        <v>31.9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31.9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31.80555555555555</v>
      </c>
      <c r="AP5" s="23">
        <f>IF(AN5&gt;0,IFERROR(AO5-AN5,""),"")</f>
        <v>0.96841143530798846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>
        <v>32.799999999999997</v>
      </c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32.799999999999997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>
        <f t="shared" ref="AO6:AO15" si="4">IF(COUNTIF(E6:AI6,"&gt;0")&gt;=15,AVERAGE(E6:AI6),"")</f>
        <v>31.994444444444444</v>
      </c>
      <c r="AP6" s="23">
        <f t="shared" ref="AP6:AP48" si="5">IF(AN6&gt;0,IFERROR(AO6-AN6,""),"")</f>
        <v>0.78071959917476264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>
        <v>35.6</v>
      </c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35.6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34.872222222222227</v>
      </c>
      <c r="AP7" s="23">
        <f t="shared" si="5"/>
        <v>1.9833420908593382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>
        <v>33.700000000000003</v>
      </c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33.700000000000003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34.272222222222226</v>
      </c>
      <c r="AP8" s="23">
        <f t="shared" si="5"/>
        <v>2.2056911084687627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>
        <v>38.799999999999997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38.799999999999997</v>
      </c>
      <c r="AK9" s="21">
        <f t="shared" si="2"/>
        <v>38.799999999999997</v>
      </c>
      <c r="AL9" s="22">
        <v>38.4</v>
      </c>
      <c r="AM9" s="23">
        <f t="shared" si="3"/>
        <v>0.39999999999999858</v>
      </c>
      <c r="AN9" s="23">
        <v>33.308997701149423</v>
      </c>
      <c r="AO9" s="23">
        <f t="shared" si="4"/>
        <v>35.516666666666666</v>
      </c>
      <c r="AP9" s="23">
        <f t="shared" si="5"/>
        <v>2.207668965517243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>
        <v>39.799999999999997</v>
      </c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39.799999999999997</v>
      </c>
      <c r="AK10" s="21">
        <f t="shared" si="2"/>
        <v>39.799999999999997</v>
      </c>
      <c r="AL10" s="22">
        <v>39.6</v>
      </c>
      <c r="AM10" s="23">
        <f t="shared" si="3"/>
        <v>0.19999999999999574</v>
      </c>
      <c r="AN10" s="23">
        <v>33.75991221422256</v>
      </c>
      <c r="AO10" s="23">
        <f t="shared" si="4"/>
        <v>36.972222222222214</v>
      </c>
      <c r="AP10" s="23">
        <f t="shared" si="5"/>
        <v>3.2123100079996547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>
        <v>40.6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40.6</v>
      </c>
      <c r="AK11" s="21">
        <f t="shared" si="2"/>
        <v>40.6</v>
      </c>
      <c r="AL11" s="22">
        <v>40.200000000000003</v>
      </c>
      <c r="AM11" s="23">
        <f t="shared" si="3"/>
        <v>0.39999999999999858</v>
      </c>
      <c r="AN11" s="23">
        <v>34.012164961475307</v>
      </c>
      <c r="AO11" s="23">
        <f t="shared" si="4"/>
        <v>38.155555555555551</v>
      </c>
      <c r="AP11" s="23">
        <f t="shared" si="5"/>
        <v>4.1433905940802447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>
        <v>35.4</v>
      </c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35.4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34.044444444444444</v>
      </c>
      <c r="AP12" s="23">
        <f t="shared" si="5"/>
        <v>2.5918512904719755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>
        <v>36.6</v>
      </c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36.6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34.711111111111116</v>
      </c>
      <c r="AP13" s="23">
        <f t="shared" si="5"/>
        <v>2.5113295019157178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>
        <v>35.200000000000003</v>
      </c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35.200000000000003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34.288888888888884</v>
      </c>
      <c r="AP14" s="23">
        <f t="shared" si="5"/>
        <v>1.7276510078809224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>
        <v>31.1</v>
      </c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31.1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31.894444444444446</v>
      </c>
      <c r="AP15" s="23">
        <f t="shared" si="5"/>
        <v>-2.3999726327314619E-2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>
        <v>37.200000000000003</v>
      </c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37.200000000000003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35.188888888888897</v>
      </c>
      <c r="AP17" s="23">
        <f>IF(AN17&gt;0,IFERROR(AO17-AN17,""),"")</f>
        <v>3.1608865107676039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>
        <v>28.4</v>
      </c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28.4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29.01111111111112</v>
      </c>
      <c r="AP18" s="23">
        <f t="shared" si="5"/>
        <v>2.7654975579975591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>
        <v>37.6</v>
      </c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37.6</v>
      </c>
      <c r="AK19" s="21">
        <f t="shared" si="2"/>
        <v>37.6</v>
      </c>
      <c r="AL19" s="22">
        <v>38.4</v>
      </c>
      <c r="AM19" s="23">
        <f t="shared" si="3"/>
        <v>-0.79999999999999716</v>
      </c>
      <c r="AN19" s="23">
        <v>34.362535919540242</v>
      </c>
      <c r="AO19" s="23">
        <f t="shared" si="6"/>
        <v>36.088888888888881</v>
      </c>
      <c r="AP19" s="23">
        <f t="shared" si="5"/>
        <v>1.726352969348639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>
        <v>32.700000000000003</v>
      </c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32.700000000000003</v>
      </c>
      <c r="AK20" s="21">
        <f t="shared" si="2"/>
        <v>32.700000000000003</v>
      </c>
      <c r="AL20" s="22">
        <v>33.1</v>
      </c>
      <c r="AM20" s="23">
        <f t="shared" si="3"/>
        <v>-0.39999999999999858</v>
      </c>
      <c r="AN20" s="23">
        <v>28.140217569786529</v>
      </c>
      <c r="AO20" s="23">
        <f t="shared" si="6"/>
        <v>30.761111111111113</v>
      </c>
      <c r="AP20" s="23">
        <f t="shared" si="5"/>
        <v>2.620893541324584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>
        <v>25.6</v>
      </c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25.6</v>
      </c>
      <c r="AK21" s="21">
        <f t="shared" si="2"/>
        <v>25.6</v>
      </c>
      <c r="AL21" s="22">
        <v>26.9</v>
      </c>
      <c r="AM21" s="23">
        <f t="shared" si="3"/>
        <v>-1.2999999999999972</v>
      </c>
      <c r="AN21" s="23">
        <v>22.564435196194999</v>
      </c>
      <c r="AO21" s="23">
        <f t="shared" si="6"/>
        <v>24.57222222222223</v>
      </c>
      <c r="AP21" s="23">
        <f t="shared" si="5"/>
        <v>2.0077870260272306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>
        <v>31.4</v>
      </c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31.4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29.722222222222221</v>
      </c>
      <c r="AP23" s="23">
        <f t="shared" si="5"/>
        <v>2.6822531682876516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>
        <v>33.799999999999997</v>
      </c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33.799999999999997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31.299999999999997</v>
      </c>
      <c r="AP24" s="23">
        <f t="shared" si="5"/>
        <v>3.0803922641853667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>
        <v>36.1</v>
      </c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36.1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34.277777777777786</v>
      </c>
      <c r="AP25" s="23">
        <f t="shared" si="5"/>
        <v>3.4412889983579653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>
        <v>19.3</v>
      </c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19.3</v>
      </c>
      <c r="AK26" s="21">
        <f t="shared" si="2"/>
        <v>21.7</v>
      </c>
      <c r="AL26" s="22">
        <v>23.3</v>
      </c>
      <c r="AM26" s="23">
        <f t="shared" si="3"/>
        <v>-1.6000000000000014</v>
      </c>
      <c r="AN26" s="23">
        <v>19.205027672249159</v>
      </c>
      <c r="AO26" s="23">
        <f t="shared" si="6"/>
        <v>20.161111111111111</v>
      </c>
      <c r="AP26" s="23">
        <f t="shared" si="5"/>
        <v>0.95608343886195257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>
        <v>21.2</v>
      </c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21.2</v>
      </c>
      <c r="AK27" s="21">
        <f t="shared" si="2"/>
        <v>23</v>
      </c>
      <c r="AL27" s="22">
        <v>23.4</v>
      </c>
      <c r="AM27" s="23">
        <f t="shared" si="3"/>
        <v>-0.39999999999999858</v>
      </c>
      <c r="AN27" s="23">
        <v>18.093990147783249</v>
      </c>
      <c r="AO27" s="23">
        <f t="shared" si="6"/>
        <v>20.622222222222224</v>
      </c>
      <c r="AP27" s="23">
        <f t="shared" si="5"/>
        <v>2.528232074438975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>
        <v>35.299999999999997</v>
      </c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35.299999999999997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33.655555555555551</v>
      </c>
      <c r="AP28" s="23">
        <f t="shared" si="5"/>
        <v>3.01510711510711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>
        <v>38</v>
      </c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38</v>
      </c>
      <c r="AK30" s="21">
        <f t="shared" si="2"/>
        <v>39</v>
      </c>
      <c r="AL30" s="22">
        <v>40.5</v>
      </c>
      <c r="AM30" s="23">
        <f t="shared" si="3"/>
        <v>-1.5</v>
      </c>
      <c r="AN30" s="23">
        <v>34.911888888888889</v>
      </c>
      <c r="AO30" s="23">
        <f t="shared" si="6"/>
        <v>36.783333333333339</v>
      </c>
      <c r="AP30" s="23">
        <f t="shared" si="5"/>
        <v>1.8714444444444496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>
        <v>28.3</v>
      </c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28.3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>
        <f t="shared" si="6"/>
        <v>28.083333333333332</v>
      </c>
      <c r="AP31" s="23">
        <f t="shared" si="5"/>
        <v>2.1009459637997132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>
        <v>17.2</v>
      </c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17.2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>
        <f t="shared" si="6"/>
        <v>18.555555555555557</v>
      </c>
      <c r="AP32" s="23">
        <f t="shared" si="5"/>
        <v>1.2193322533640867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>
        <v>15.8</v>
      </c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15.8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16.600000000000005</v>
      </c>
      <c r="AP33" s="23">
        <f t="shared" si="5"/>
        <v>0.66969029374202549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>
        <v>31.2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31.2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31.899999999999995</v>
      </c>
      <c r="AP35" s="23">
        <f t="shared" si="5"/>
        <v>0.95288615216201578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>
        <v>33.700000000000003</v>
      </c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33.700000000000003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>
        <f>IF(COUNTIF(E38:AI38,"&gt;0")&gt;=15,AVERAGE(E38:AI38),"")</f>
        <v>32.894444444444446</v>
      </c>
      <c r="AP38" s="23">
        <f t="shared" si="5"/>
        <v>1.2229729976281654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>
        <v>30</v>
      </c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30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>
        <f t="shared" ref="AO39:AO48" si="8">IF(COUNTIF(E39:AI39,"&gt;0")&gt;=15,AVERAGE(E39:AI39),"")</f>
        <v>33.538888888888884</v>
      </c>
      <c r="AP39" s="23">
        <f t="shared" si="5"/>
        <v>0.8540256308627221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>
        <v>28</v>
      </c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28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>
        <f t="shared" si="8"/>
        <v>31.711111111111116</v>
      </c>
      <c r="AP40" s="23">
        <f t="shared" si="5"/>
        <v>0.91212917350848599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>
        <v>32.200000000000003</v>
      </c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32.200000000000003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>
        <f t="shared" si="8"/>
        <v>31.533333333333342</v>
      </c>
      <c r="AP41" s="23">
        <f t="shared" si="5"/>
        <v>0.91781773399015165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>
        <v>32.200000000000003</v>
      </c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32.200000000000003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>
        <f t="shared" si="8"/>
        <v>32.433333333333337</v>
      </c>
      <c r="AP43" s="23">
        <f t="shared" si="5"/>
        <v>0.44202926956377553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>
        <v>33</v>
      </c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33</v>
      </c>
      <c r="AK44" s="21">
        <f t="shared" si="2"/>
        <v>33.200000000000003</v>
      </c>
      <c r="AL44" s="22">
        <v>34.799999999999997</v>
      </c>
      <c r="AM44" s="23">
        <f t="shared" si="3"/>
        <v>-1.5999999999999943</v>
      </c>
      <c r="AN44" s="23">
        <v>31.099937562083159</v>
      </c>
      <c r="AO44" s="23">
        <f t="shared" si="8"/>
        <v>31.611111111111111</v>
      </c>
      <c r="AP44" s="23">
        <f t="shared" si="5"/>
        <v>0.51117354902795142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>
        <v>31.8</v>
      </c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31.8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>
        <f t="shared" si="8"/>
        <v>32.24444444444444</v>
      </c>
      <c r="AP45" s="23">
        <f t="shared" si="5"/>
        <v>0.76621398197368862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>
        <v>32.6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32.6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31.950000000000003</v>
      </c>
      <c r="AP48" s="23">
        <f t="shared" si="5"/>
        <v>-3.8443854995566795E-2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2026-09-19T13:40:57Z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