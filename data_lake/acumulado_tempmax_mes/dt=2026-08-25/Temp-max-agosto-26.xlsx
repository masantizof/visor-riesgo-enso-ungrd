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DAEF9F5-AABD-48D2-AF5B-8AE9A08C4E4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<sst xmlns="http://schemas.openxmlformats.org/spreadsheetml/2006/main" count="603" uniqueCount="272">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</sst>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T22" activePane="bottomRight" state="frozen"/>
      <selection pane="topRight" activeCell="E1" sqref="E1"/>
      <selection pane="bottomLeft" activeCell="A4" sqref="A4"/>
      <selection pane="bottomRight" activeCell="AB11" sqref="AB1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>
        <v>32.5</v>
      </c>
      <c r="Z5" s="63">
        <v>32.200000000000003</v>
      </c>
      <c r="AA5" s="63">
        <v>31.4</v>
      </c>
      <c r="AB5" s="63">
        <v>30.6</v>
      </c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30.6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31.625000000000004</v>
      </c>
      <c r="AP5" s="23">
        <f>IF(AN5&gt;0,IFERROR(AO5-AN5,""),"")</f>
        <v>1.1090565305758133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>
        <v>31.9</v>
      </c>
      <c r="Z6" s="63">
        <v>32.200000000000003</v>
      </c>
      <c r="AA6" s="63">
        <v>32.200000000000003</v>
      </c>
      <c r="AB6" s="63">
        <v>30.6</v>
      </c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30.6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31.725000000000005</v>
      </c>
      <c r="AP6" s="23">
        <f t="shared" ref="AP6:AP48" si="4">IF(AN6&gt;0,IFERROR(AO6-AN6,""),"")</f>
        <v>0.67857569551119568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67">
        <v>39.6</v>
      </c>
      <c r="Z7" s="63">
        <v>34</v>
      </c>
      <c r="AA7" s="63">
        <v>33.799999999999997</v>
      </c>
      <c r="AB7" s="63">
        <v>33</v>
      </c>
      <c r="AC7" s="63"/>
      <c r="AD7" s="63"/>
      <c r="AE7" s="63"/>
      <c r="AF7" s="63"/>
      <c r="AG7" s="63"/>
      <c r="AH7" s="63"/>
      <c r="AI7" s="63"/>
      <c r="AJ7" s="36">
        <f t="shared" si="0"/>
        <v>33</v>
      </c>
      <c r="AK7" s="21">
        <f t="shared" si="1"/>
        <v>39.6</v>
      </c>
      <c r="AL7" s="22">
        <v>38.4</v>
      </c>
      <c r="AM7" s="23">
        <f t="shared" si="2"/>
        <v>1.2000000000000028</v>
      </c>
      <c r="AN7" s="23">
        <v>33.115285708400279</v>
      </c>
      <c r="AO7" s="23">
        <f t="shared" si="3"/>
        <v>35.166666666666664</v>
      </c>
      <c r="AP7" s="23">
        <f t="shared" si="4"/>
        <v>2.0513809582663853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>
        <v>34.6</v>
      </c>
      <c r="Z8" s="63">
        <v>32.1</v>
      </c>
      <c r="AA8" s="63">
        <v>34.1</v>
      </c>
      <c r="AB8" s="63">
        <v>32.799999999999997</v>
      </c>
      <c r="AC8" s="63"/>
      <c r="AD8" s="63"/>
      <c r="AE8" s="63"/>
      <c r="AF8" s="63"/>
      <c r="AG8" s="63"/>
      <c r="AH8" s="63"/>
      <c r="AI8" s="63"/>
      <c r="AJ8" s="36">
        <f t="shared" si="0"/>
        <v>32.799999999999997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33.487499999999997</v>
      </c>
      <c r="AP8" s="23">
        <f t="shared" si="4"/>
        <v>1.2436941109534203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>
        <v>38</v>
      </c>
      <c r="Z9" s="63">
        <v>32.4</v>
      </c>
      <c r="AA9" s="63">
        <v>36.299999999999997</v>
      </c>
      <c r="AB9" s="63">
        <v>35.9</v>
      </c>
      <c r="AC9" s="63"/>
      <c r="AD9" s="63"/>
      <c r="AE9" s="63"/>
      <c r="AF9" s="63"/>
      <c r="AG9" s="63"/>
      <c r="AH9" s="63"/>
      <c r="AI9" s="63"/>
      <c r="AJ9" s="36">
        <f t="shared" si="0"/>
        <v>35.9</v>
      </c>
      <c r="AK9" s="21">
        <f t="shared" si="1"/>
        <v>38</v>
      </c>
      <c r="AL9" s="22">
        <v>38.700000000000003</v>
      </c>
      <c r="AM9" s="23">
        <f t="shared" si="2"/>
        <v>-0.70000000000000284</v>
      </c>
      <c r="AN9" s="23">
        <v>33.507160697070823</v>
      </c>
      <c r="AO9" s="23">
        <f t="shared" si="3"/>
        <v>34.974999999999994</v>
      </c>
      <c r="AP9" s="23">
        <f t="shared" si="4"/>
        <v>1.4678393029291712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>
        <v>37</v>
      </c>
      <c r="Z10" s="63">
        <v>34.5</v>
      </c>
      <c r="AA10" s="63">
        <v>36.200000000000003</v>
      </c>
      <c r="AB10" s="63">
        <v>37.700000000000003</v>
      </c>
      <c r="AC10" s="63"/>
      <c r="AD10" s="63"/>
      <c r="AE10" s="63"/>
      <c r="AF10" s="63"/>
      <c r="AG10" s="63"/>
      <c r="AH10" s="63"/>
      <c r="AI10" s="63"/>
      <c r="AJ10" s="36">
        <f t="shared" si="0"/>
        <v>37.700000000000003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36.81666666666667</v>
      </c>
      <c r="AP10" s="23">
        <f t="shared" si="4"/>
        <v>1.7787196336121127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>
        <v>39.5</v>
      </c>
      <c r="Z11" s="63">
        <v>38.299999999999997</v>
      </c>
      <c r="AA11" s="63">
        <v>37.799999999999997</v>
      </c>
      <c r="AB11" s="63">
        <v>38.6</v>
      </c>
      <c r="AC11" s="63"/>
      <c r="AD11" s="63"/>
      <c r="AE11" s="63"/>
      <c r="AF11" s="63"/>
      <c r="AG11" s="63"/>
      <c r="AH11" s="63"/>
      <c r="AI11" s="63"/>
      <c r="AJ11" s="36">
        <f t="shared" si="0"/>
        <v>38.6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39.179166666666667</v>
      </c>
      <c r="AP11" s="23">
        <f t="shared" si="4"/>
        <v>3.9997043010752691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>
        <v>36</v>
      </c>
      <c r="Z12" s="63">
        <v>32.4</v>
      </c>
      <c r="AA12" s="63">
        <v>35</v>
      </c>
      <c r="AB12" s="63">
        <v>34.4</v>
      </c>
      <c r="AC12" s="63"/>
      <c r="AD12" s="63"/>
      <c r="AE12" s="63"/>
      <c r="AF12" s="63"/>
      <c r="AG12" s="63"/>
      <c r="AH12" s="63"/>
      <c r="AI12" s="63"/>
      <c r="AJ12" s="36">
        <f t="shared" si="0"/>
        <v>34.4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34.608333333333341</v>
      </c>
      <c r="AP12" s="23">
        <f t="shared" si="4"/>
        <v>2.4764189613554137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>
        <v>36.6</v>
      </c>
      <c r="Z13" s="63">
        <v>33.6</v>
      </c>
      <c r="AA13" s="63">
        <v>35.6</v>
      </c>
      <c r="AB13" s="63">
        <v>35</v>
      </c>
      <c r="AC13" s="63"/>
      <c r="AD13" s="63"/>
      <c r="AE13" s="63"/>
      <c r="AF13" s="63"/>
      <c r="AG13" s="63"/>
      <c r="AH13" s="63"/>
      <c r="AI13" s="63"/>
      <c r="AJ13" s="36">
        <f t="shared" si="0"/>
        <v>35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35.32500000000001</v>
      </c>
      <c r="AP13" s="23">
        <f t="shared" si="4"/>
        <v>2.4012416794675033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>
        <v>36.6</v>
      </c>
      <c r="Z14" s="63">
        <v>31</v>
      </c>
      <c r="AA14" s="63">
        <v>35.700000000000003</v>
      </c>
      <c r="AB14" s="63">
        <v>34.700000000000003</v>
      </c>
      <c r="AC14" s="63"/>
      <c r="AD14" s="63"/>
      <c r="AE14" s="63"/>
      <c r="AF14" s="63"/>
      <c r="AG14" s="63"/>
      <c r="AH14" s="63"/>
      <c r="AI14" s="63"/>
      <c r="AJ14" s="36">
        <f t="shared" si="0"/>
        <v>34.700000000000003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34.533333333333339</v>
      </c>
      <c r="AP14" s="23">
        <f t="shared" si="4"/>
        <v>1.4682490524586171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>
        <v>34.4</v>
      </c>
      <c r="Z15" s="63">
        <v>28.7</v>
      </c>
      <c r="AA15" s="63">
        <v>33.9</v>
      </c>
      <c r="AB15" s="63">
        <v>33.299999999999997</v>
      </c>
      <c r="AC15" s="63"/>
      <c r="AD15" s="63"/>
      <c r="AE15" s="63"/>
      <c r="AF15" s="63"/>
      <c r="AG15" s="63"/>
      <c r="AH15" s="63"/>
      <c r="AI15" s="63"/>
      <c r="AJ15" s="36">
        <f t="shared" si="0"/>
        <v>33.299999999999997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32.141666666666659</v>
      </c>
      <c r="AP15" s="23">
        <f t="shared" si="4"/>
        <v>0.22249871991805747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>
        <v>34.6</v>
      </c>
      <c r="Z17" s="63">
        <v>32.9</v>
      </c>
      <c r="AA17" s="63">
        <v>32.6</v>
      </c>
      <c r="AB17" s="63">
        <v>35.200000000000003</v>
      </c>
      <c r="AC17" s="63"/>
      <c r="AD17" s="63"/>
      <c r="AE17" s="63"/>
      <c r="AF17" s="63"/>
      <c r="AG17" s="63"/>
      <c r="AH17" s="63"/>
      <c r="AI17" s="63"/>
      <c r="AJ17" s="36">
        <f t="shared" si="0"/>
        <v>35.200000000000003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35.275000000000006</v>
      </c>
      <c r="AP17" s="23">
        <f>IF(AN17&gt;0,IFERROR(AO17-AN17,""),"")</f>
        <v>2.5716147571375885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>
        <v>27.6</v>
      </c>
      <c r="Z18" s="63">
        <v>27.4</v>
      </c>
      <c r="AA18" s="63">
        <v>28.7</v>
      </c>
      <c r="AB18" s="63">
        <v>30.2</v>
      </c>
      <c r="AC18" s="63"/>
      <c r="AD18" s="63"/>
      <c r="AE18" s="63"/>
      <c r="AF18" s="63"/>
      <c r="AG18" s="63"/>
      <c r="AH18" s="63"/>
      <c r="AI18" s="63"/>
      <c r="AJ18" s="36">
        <f t="shared" si="0"/>
        <v>30.2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29.033333333333335</v>
      </c>
      <c r="AP18" s="23">
        <f t="shared" si="4"/>
        <v>2.6896877737953062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>
        <v>37.6</v>
      </c>
      <c r="Z19" s="63">
        <v>36.5</v>
      </c>
      <c r="AA19" s="63">
        <v>30.9</v>
      </c>
      <c r="AB19" s="63">
        <v>36.299999999999997</v>
      </c>
      <c r="AC19" s="63"/>
      <c r="AD19" s="63"/>
      <c r="AE19" s="63"/>
      <c r="AF19" s="63"/>
      <c r="AG19" s="63"/>
      <c r="AH19" s="63"/>
      <c r="AI19" s="63"/>
      <c r="AJ19" s="36">
        <f t="shared" si="0"/>
        <v>36.299999999999997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35.604166666666671</v>
      </c>
      <c r="AP19" s="23">
        <f t="shared" si="4"/>
        <v>1.3967602150537743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>
        <v>31.5</v>
      </c>
      <c r="Z20" s="63">
        <v>30</v>
      </c>
      <c r="AA20" s="63">
        <v>31.6</v>
      </c>
      <c r="AB20" s="63">
        <v>32.299999999999997</v>
      </c>
      <c r="AC20" s="63"/>
      <c r="AD20" s="63"/>
      <c r="AE20" s="63"/>
      <c r="AF20" s="63"/>
      <c r="AG20" s="63"/>
      <c r="AH20" s="63"/>
      <c r="AI20" s="63"/>
      <c r="AJ20" s="36">
        <f t="shared" si="0"/>
        <v>32.299999999999997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31.004166666666663</v>
      </c>
      <c r="AP20" s="23">
        <f t="shared" si="4"/>
        <v>2.3044674859190941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>
        <v>24.7</v>
      </c>
      <c r="Z21" s="63">
        <v>23.7</v>
      </c>
      <c r="AA21" s="63">
        <v>24.2</v>
      </c>
      <c r="AB21" s="63">
        <v>25.1</v>
      </c>
      <c r="AC21" s="63"/>
      <c r="AD21" s="63"/>
      <c r="AE21" s="63"/>
      <c r="AF21" s="63"/>
      <c r="AG21" s="63"/>
      <c r="AH21" s="63"/>
      <c r="AI21" s="63"/>
      <c r="AJ21" s="36">
        <f t="shared" si="0"/>
        <v>25.1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24.512500000000003</v>
      </c>
      <c r="AP21" s="23">
        <f t="shared" si="4"/>
        <v>1.8101525641517426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>
        <v>30.4</v>
      </c>
      <c r="Z23" s="63">
        <v>28.4</v>
      </c>
      <c r="AA23" s="63">
        <v>30.2</v>
      </c>
      <c r="AB23" s="63">
        <v>29</v>
      </c>
      <c r="AC23" s="63"/>
      <c r="AD23" s="63"/>
      <c r="AE23" s="63"/>
      <c r="AF23" s="63"/>
      <c r="AG23" s="63"/>
      <c r="AH23" s="63"/>
      <c r="AI23" s="63"/>
      <c r="AJ23" s="36">
        <f t="shared" si="0"/>
        <v>29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29.525000000000002</v>
      </c>
      <c r="AP23" s="23">
        <f t="shared" si="4"/>
        <v>2.2168967741935504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>
        <v>32.1</v>
      </c>
      <c r="Z24" s="63">
        <v>30.1</v>
      </c>
      <c r="AA24" s="63">
        <v>32</v>
      </c>
      <c r="AB24" s="63">
        <v>29.5</v>
      </c>
      <c r="AC24" s="63"/>
      <c r="AD24" s="63"/>
      <c r="AE24" s="63"/>
      <c r="AF24" s="63"/>
      <c r="AG24" s="63"/>
      <c r="AH24" s="63"/>
      <c r="AI24" s="63"/>
      <c r="AJ24" s="36">
        <f t="shared" si="0"/>
        <v>29.5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30.812500000000004</v>
      </c>
      <c r="AP24" s="23">
        <f t="shared" si="4"/>
        <v>1.9905167264038326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>
        <v>34.4</v>
      </c>
      <c r="Z25" s="63">
        <v>32.299999999999997</v>
      </c>
      <c r="AA25" s="63">
        <v>33.4</v>
      </c>
      <c r="AB25" s="63">
        <v>34.799999999999997</v>
      </c>
      <c r="AC25" s="63"/>
      <c r="AD25" s="63"/>
      <c r="AE25" s="63"/>
      <c r="AF25" s="63"/>
      <c r="AG25" s="63"/>
      <c r="AH25" s="63"/>
      <c r="AI25" s="63"/>
      <c r="AJ25" s="36">
        <f t="shared" si="0"/>
        <v>34.799999999999997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34.099999999999994</v>
      </c>
      <c r="AP25" s="23">
        <f t="shared" si="4"/>
        <v>2.5414647489820226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>
        <v>20.399999999999999</v>
      </c>
      <c r="Z26" s="63">
        <v>19.3</v>
      </c>
      <c r="AA26" s="63">
        <v>20.100000000000001</v>
      </c>
      <c r="AB26" s="63">
        <v>19.5</v>
      </c>
      <c r="AC26" s="63"/>
      <c r="AD26" s="63"/>
      <c r="AE26" s="63"/>
      <c r="AF26" s="63"/>
      <c r="AG26" s="63"/>
      <c r="AH26" s="63"/>
      <c r="AI26" s="63"/>
      <c r="AJ26" s="36">
        <f t="shared" si="0"/>
        <v>19.5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19.979166666666664</v>
      </c>
      <c r="AP26" s="23">
        <f t="shared" si="4"/>
        <v>1.2062265052337331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>
        <v>21.4</v>
      </c>
      <c r="Z27" s="63">
        <v>21</v>
      </c>
      <c r="AA27" s="63">
        <v>18.8</v>
      </c>
      <c r="AB27" s="63">
        <v>20.63</v>
      </c>
      <c r="AC27" s="63"/>
      <c r="AD27" s="63"/>
      <c r="AE27" s="63"/>
      <c r="AF27" s="63"/>
      <c r="AG27" s="63"/>
      <c r="AH27" s="63"/>
      <c r="AI27" s="63"/>
      <c r="AJ27" s="36">
        <f t="shared" si="0"/>
        <v>20.63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20.688750000000002</v>
      </c>
      <c r="AP27" s="23">
        <f t="shared" si="4"/>
        <v>3.6014313298485519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>
        <v>33.9</v>
      </c>
      <c r="Z28" s="63">
        <v>32.799999999999997</v>
      </c>
      <c r="AA28" s="63">
        <v>32.9</v>
      </c>
      <c r="AB28" s="63">
        <v>33.9</v>
      </c>
      <c r="AC28" s="63"/>
      <c r="AD28" s="63"/>
      <c r="AE28" s="63"/>
      <c r="AF28" s="63"/>
      <c r="AG28" s="63"/>
      <c r="AH28" s="63"/>
      <c r="AI28" s="63"/>
      <c r="AJ28" s="36">
        <f t="shared" si="0"/>
        <v>33.9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32.545833333333327</v>
      </c>
      <c r="AP28" s="23">
        <f t="shared" si="4"/>
        <v>1.427913213606157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>
        <v>36.799999999999997</v>
      </c>
      <c r="Z30" s="63">
        <v>33</v>
      </c>
      <c r="AA30" s="63">
        <v>35.200000000000003</v>
      </c>
      <c r="AB30" s="63">
        <v>36.200000000000003</v>
      </c>
      <c r="AC30" s="63"/>
      <c r="AD30" s="63"/>
      <c r="AE30" s="63"/>
      <c r="AF30" s="63"/>
      <c r="AG30" s="63"/>
      <c r="AH30" s="63"/>
      <c r="AI30" s="63"/>
      <c r="AJ30" s="36">
        <f t="shared" si="0"/>
        <v>36.200000000000003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35.9</v>
      </c>
      <c r="AP30" s="23">
        <f t="shared" si="4"/>
        <v>1.2809677419354912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>
        <v>28.3</v>
      </c>
      <c r="Z31" s="63">
        <v>27</v>
      </c>
      <c r="AA31" s="63">
        <v>28.5</v>
      </c>
      <c r="AB31" s="63">
        <v>28.5</v>
      </c>
      <c r="AC31" s="63"/>
      <c r="AD31" s="63"/>
      <c r="AE31" s="63"/>
      <c r="AF31" s="63"/>
      <c r="AG31" s="63"/>
      <c r="AH31" s="63"/>
      <c r="AI31" s="63"/>
      <c r="AJ31" s="36">
        <f t="shared" si="0"/>
        <v>28.5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27.287499999999998</v>
      </c>
      <c r="AP31" s="23">
        <f t="shared" si="4"/>
        <v>1.1401703423304781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>
        <v>18.2</v>
      </c>
      <c r="Z32" s="63">
        <v>18</v>
      </c>
      <c r="AA32" s="63">
        <v>17.600000000000001</v>
      </c>
      <c r="AB32" s="63">
        <v>20</v>
      </c>
      <c r="AC32" s="63"/>
      <c r="AD32" s="63"/>
      <c r="AE32" s="63"/>
      <c r="AF32" s="63"/>
      <c r="AG32" s="63"/>
      <c r="AH32" s="63"/>
      <c r="AI32" s="63"/>
      <c r="AJ32" s="36">
        <f t="shared" si="0"/>
        <v>20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17.158333333333331</v>
      </c>
      <c r="AP32" s="23">
        <f t="shared" si="4"/>
        <v>0.72019792518828041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>
        <v>15.4</v>
      </c>
      <c r="Z33" s="63">
        <v>16.600000000000001</v>
      </c>
      <c r="AA33" s="63">
        <v>17.399999999999999</v>
      </c>
      <c r="AB33" s="63">
        <v>17</v>
      </c>
      <c r="AC33" s="63"/>
      <c r="AD33" s="63"/>
      <c r="AE33" s="63"/>
      <c r="AF33" s="63"/>
      <c r="AG33" s="63"/>
      <c r="AH33" s="63"/>
      <c r="AI33" s="63"/>
      <c r="AJ33" s="36">
        <f t="shared" si="0"/>
        <v>17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15.616666666666665</v>
      </c>
      <c r="AP33" s="23">
        <f t="shared" si="4"/>
        <v>0.63144975899147582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>
        <v>33.4</v>
      </c>
      <c r="Z35" s="63">
        <v>29.4</v>
      </c>
      <c r="AA35" s="63">
        <v>34</v>
      </c>
      <c r="AB35" s="63">
        <v>32.4</v>
      </c>
      <c r="AC35" s="63"/>
      <c r="AD35" s="63"/>
      <c r="AE35" s="63"/>
      <c r="AF35" s="63"/>
      <c r="AG35" s="63"/>
      <c r="AH35" s="63"/>
      <c r="AI35" s="63"/>
      <c r="AJ35" s="36">
        <f t="shared" si="0"/>
        <v>32.4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32.225000000000001</v>
      </c>
      <c r="AP35" s="23">
        <f t="shared" si="4"/>
        <v>0.99530033370412241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>
        <v>32.299999999999997</v>
      </c>
      <c r="Z38" s="63">
        <v>33.299999999999997</v>
      </c>
      <c r="AA38" s="63">
        <v>28</v>
      </c>
      <c r="AB38" s="63">
        <v>33.200000000000003</v>
      </c>
      <c r="AC38" s="63"/>
      <c r="AD38" s="63"/>
      <c r="AE38" s="63"/>
      <c r="AF38" s="63"/>
      <c r="AG38" s="63"/>
      <c r="AH38" s="63"/>
      <c r="AI38" s="63"/>
      <c r="AJ38" s="36">
        <f t="shared" si="0"/>
        <v>33.200000000000003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32.199999999999989</v>
      </c>
      <c r="AP38" s="23">
        <f t="shared" si="4"/>
        <v>1.399641577060919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>
        <v>29.4</v>
      </c>
      <c r="Z39" s="63">
        <v>32.6</v>
      </c>
      <c r="AA39" s="63">
        <v>30</v>
      </c>
      <c r="AB39" s="63">
        <v>31.8</v>
      </c>
      <c r="AC39" s="63"/>
      <c r="AD39" s="63"/>
      <c r="AE39" s="63"/>
      <c r="AF39" s="63"/>
      <c r="AG39" s="63"/>
      <c r="AH39" s="63"/>
      <c r="AI39" s="63"/>
      <c r="AJ39" s="36">
        <f t="shared" si="0"/>
        <v>31.8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31.962500000000002</v>
      </c>
      <c r="AP39" s="23">
        <f t="shared" si="4"/>
        <v>0.44886262513904285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>
        <v>30.4</v>
      </c>
      <c r="Z40" s="63">
        <v>30</v>
      </c>
      <c r="AA40" s="63">
        <v>28</v>
      </c>
      <c r="AB40" s="63">
        <v>31.4</v>
      </c>
      <c r="AC40" s="63"/>
      <c r="AD40" s="63"/>
      <c r="AE40" s="63"/>
      <c r="AF40" s="63"/>
      <c r="AG40" s="63"/>
      <c r="AH40" s="63"/>
      <c r="AI40" s="63"/>
      <c r="AJ40" s="36">
        <f t="shared" si="0"/>
        <v>31.4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30.733333333333331</v>
      </c>
      <c r="AP40" s="23">
        <f t="shared" si="4"/>
        <v>0.92576937337783249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>
        <v>31.4</v>
      </c>
      <c r="Z41" s="63">
        <v>30.6</v>
      </c>
      <c r="AA41" s="63">
        <v>28.2</v>
      </c>
      <c r="AB41" s="63">
        <v>31.6</v>
      </c>
      <c r="AC41" s="63"/>
      <c r="AD41" s="63"/>
      <c r="AE41" s="63"/>
      <c r="AF41" s="63"/>
      <c r="AG41" s="63"/>
      <c r="AH41" s="63"/>
      <c r="AI41" s="63"/>
      <c r="AJ41" s="36">
        <f t="shared" si="0"/>
        <v>31.6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31.817391304347833</v>
      </c>
      <c r="AP41" s="23">
        <f t="shared" si="4"/>
        <v>1.9660173497480642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>
        <v>30.4</v>
      </c>
      <c r="Z43" s="63">
        <v>31.8</v>
      </c>
      <c r="AA43" s="63">
        <v>31.4</v>
      </c>
      <c r="AB43" s="63">
        <v>33</v>
      </c>
      <c r="AC43" s="63"/>
      <c r="AD43" s="63"/>
      <c r="AE43" s="63"/>
      <c r="AF43" s="63"/>
      <c r="AG43" s="63"/>
      <c r="AH43" s="63"/>
      <c r="AI43" s="63"/>
      <c r="AJ43" s="36">
        <f t="shared" si="0"/>
        <v>33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31.824999999999992</v>
      </c>
      <c r="AP43" s="23">
        <f t="shared" si="4"/>
        <v>0.80292562969240322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>
        <v>31</v>
      </c>
      <c r="Z44" s="29">
        <v>30.3</v>
      </c>
      <c r="AA44" s="29">
        <v>29.3</v>
      </c>
      <c r="AB44" s="29">
        <v>32.200000000000003</v>
      </c>
      <c r="AC44" s="29"/>
      <c r="AD44" s="29"/>
      <c r="AE44" s="63"/>
      <c r="AF44" s="63"/>
      <c r="AG44" s="63"/>
      <c r="AH44" s="63"/>
      <c r="AI44" s="63"/>
      <c r="AJ44" s="36">
        <f t="shared" si="0"/>
        <v>32.200000000000003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31.295833333333324</v>
      </c>
      <c r="AP44" s="23">
        <f t="shared" si="4"/>
        <v>1.1518532700151134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>
        <v>28.2</v>
      </c>
      <c r="Z45" s="63">
        <v>31.6</v>
      </c>
      <c r="AA45" s="63">
        <v>28.6</v>
      </c>
      <c r="AB45" s="63">
        <v>33</v>
      </c>
      <c r="AC45" s="63"/>
      <c r="AD45" s="63"/>
      <c r="AE45" s="63"/>
      <c r="AF45" s="63"/>
      <c r="AG45" s="63"/>
      <c r="AH45" s="63"/>
      <c r="AI45" s="63"/>
      <c r="AJ45" s="36">
        <f t="shared" si="0"/>
        <v>33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31.591666666666665</v>
      </c>
      <c r="AP45" s="23">
        <f t="shared" si="4"/>
        <v>1.171089527150766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>
        <v>29.6</v>
      </c>
      <c r="Z48" s="63">
        <v>31.9</v>
      </c>
      <c r="AA48" s="63">
        <v>28.5</v>
      </c>
      <c r="AB48" s="63">
        <v>32.200000000000003</v>
      </c>
      <c r="AC48" s="63"/>
      <c r="AD48" s="63"/>
      <c r="AE48" s="63"/>
      <c r="AF48" s="63"/>
      <c r="AG48" s="63"/>
      <c r="AH48" s="63"/>
      <c r="AI48" s="63"/>
      <c r="AJ48" s="36">
        <f t="shared" si="0"/>
        <v>32.200000000000003</v>
      </c>
      <c r="AK48" s="21">
        <f t="shared" si="1"/>
        <v>33.6</v>
      </c>
      <c r="AL48" s="22">
        <v>35.700000000000003</v>
      </c>
      <c r="AM48" s="23">
        <f t="shared" si="2"/>
        <v>-2.1000000000000014</v>
      </c>
      <c r="AN48" s="23">
        <v>31.390004135649299</v>
      </c>
      <c r="AO48" s="23">
        <f t="shared" si="7"/>
        <v>31.700000000000003</v>
      </c>
      <c r="AP48" s="23">
        <f t="shared" si="4"/>
        <v>0.3099958643507037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2" t="s">
        <v>122</v>
      </c>
      <c r="I1" s="73"/>
      <c r="J1" s="74"/>
      <c r="K1" s="69" t="s">
        <v>123</v>
      </c>
      <c r="L1" s="70"/>
      <c r="M1" s="71"/>
      <c r="N1" s="72" t="s">
        <v>124</v>
      </c>
      <c r="O1" s="73"/>
      <c r="P1" s="74"/>
      <c r="Q1" s="69" t="s">
        <v>125</v>
      </c>
      <c r="R1" s="70"/>
      <c r="S1" s="71"/>
      <c r="T1" s="72" t="s">
        <v>126</v>
      </c>
      <c r="U1" s="73"/>
      <c r="V1" s="74"/>
      <c r="W1" s="69" t="s">
        <v>127</v>
      </c>
      <c r="X1" s="70"/>
      <c r="Y1" s="71"/>
      <c r="Z1" s="72" t="s">
        <v>128</v>
      </c>
      <c r="AA1" s="73"/>
      <c r="AB1" s="74"/>
      <c r="AC1" s="69" t="s">
        <v>129</v>
      </c>
      <c r="AD1" s="70"/>
      <c r="AE1" s="71"/>
      <c r="AF1" s="72" t="s">
        <v>130</v>
      </c>
      <c r="AG1" s="73"/>
      <c r="AH1" s="74"/>
      <c r="AI1" s="69" t="s">
        <v>131</v>
      </c>
      <c r="AJ1" s="70"/>
      <c r="AK1" s="71"/>
      <c r="AL1" s="72" t="s">
        <v>132</v>
      </c>
      <c r="AM1" s="73"/>
      <c r="AN1" s="74"/>
      <c r="AO1" s="69" t="s">
        <v>133</v>
      </c>
      <c r="AP1" s="70"/>
      <c r="AQ1" s="71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92</v>
      </c>
      <c r="C1" s="68" t="s">
        <v>93</v>
      </c>
      <c r="D1" s="75" t="s">
        <v>94</v>
      </c>
      <c r="E1" s="75" t="s">
        <v>95</v>
      </c>
      <c r="F1" s="75" t="s">
        <v>96</v>
      </c>
      <c r="G1" s="75" t="s">
        <v>97</v>
      </c>
      <c r="H1" s="75" t="s">
        <v>98</v>
      </c>
      <c r="I1" s="75" t="s">
        <v>99</v>
      </c>
      <c r="J1" s="75" t="s">
        <v>100</v>
      </c>
      <c r="K1" s="75" t="s">
        <v>101</v>
      </c>
      <c r="L1" s="75" t="s">
        <v>102</v>
      </c>
      <c r="M1" s="75" t="s">
        <v>103</v>
      </c>
      <c r="N1" s="75" t="s">
        <v>104</v>
      </c>
      <c r="O1" s="75" t="s">
        <v>105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2026-08-25T13:52:56Z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