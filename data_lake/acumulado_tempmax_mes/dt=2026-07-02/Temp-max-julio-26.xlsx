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D356B00-A8E4-41B3-A4A8-7232DE174AD9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<sst xmlns="http://schemas.openxmlformats.org/spreadsheetml/2006/main" count="604" uniqueCount="273">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</sst>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EE8FF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center"/>
    </xf>
    <xf numFmtId="165" fontId="5" fillId="10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  <xf numFmtId="165" fontId="31" fillId="11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J46" sqref="J4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69">
        <v>32.299999999999997</v>
      </c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32.299999999999997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30.4</v>
      </c>
      <c r="AK6" s="21">
        <f t="shared" ref="AK6:AK48" si="1">+MAX($E6:$AI6)</f>
        <v>30.4</v>
      </c>
      <c r="AL6" s="22">
        <v>32.5</v>
      </c>
      <c r="AM6" s="23">
        <f t="shared" ref="AM6:AM48" si="2">IF(AK6&gt;0,$AK6-$AL6,"")</f>
        <v>-2.1000000000000014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36.200000000000003</v>
      </c>
      <c r="AK7" s="21">
        <f t="shared" si="1"/>
        <v>36.200000000000003</v>
      </c>
      <c r="AL7" s="22">
        <v>38.4</v>
      </c>
      <c r="AM7" s="23">
        <f t="shared" si="2"/>
        <v>-2.1999999999999957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33.200000000000003</v>
      </c>
      <c r="AK8" s="21">
        <f t="shared" si="1"/>
        <v>33.200000000000003</v>
      </c>
      <c r="AL8" s="22">
        <v>38</v>
      </c>
      <c r="AM8" s="23">
        <f t="shared" si="2"/>
        <v>-4.7999999999999972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33.700000000000003</v>
      </c>
      <c r="AK9" s="21">
        <f t="shared" si="1"/>
        <v>33.700000000000003</v>
      </c>
      <c r="AL9" s="22">
        <v>38.4</v>
      </c>
      <c r="AM9" s="23">
        <f t="shared" si="2"/>
        <v>-4.6999999999999957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36.6</v>
      </c>
      <c r="AK10" s="21">
        <f t="shared" si="1"/>
        <v>36.6</v>
      </c>
      <c r="AL10" s="22">
        <v>39.200000000000003</v>
      </c>
      <c r="AM10" s="23">
        <f t="shared" si="2"/>
        <v>-2.6000000000000014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69"/>
      <c r="AI11" s="57"/>
      <c r="AJ11" s="37">
        <f t="shared" si="0"/>
        <v>39.200000000000003</v>
      </c>
      <c r="AK11" s="21">
        <f t="shared" si="1"/>
        <v>39.200000000000003</v>
      </c>
      <c r="AL11" s="22">
        <v>41.4</v>
      </c>
      <c r="AM11" s="23">
        <f t="shared" si="2"/>
        <v>-2.1999999999999957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36.200000000000003</v>
      </c>
      <c r="AK12" s="21">
        <f t="shared" si="1"/>
        <v>36.200000000000003</v>
      </c>
      <c r="AL12" s="22">
        <v>39.4</v>
      </c>
      <c r="AM12" s="23">
        <f t="shared" si="2"/>
        <v>-3.1999999999999957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69"/>
      <c r="AG13" s="57"/>
      <c r="AH13" s="57"/>
      <c r="AI13" s="57"/>
      <c r="AJ13" s="37">
        <f t="shared" si="0"/>
        <v>36.799999999999997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36.799999999999997</v>
      </c>
      <c r="AK14" s="21">
        <f t="shared" si="1"/>
        <v>36.799999999999997</v>
      </c>
      <c r="AL14" s="22">
        <v>38.4</v>
      </c>
      <c r="AM14" s="23">
        <f t="shared" si="2"/>
        <v>-1.6000000000000014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68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32.700000000000003</v>
      </c>
      <c r="AK15" s="21">
        <f t="shared" si="1"/>
        <v>32.700000000000003</v>
      </c>
      <c r="AL15" s="22">
        <v>36</v>
      </c>
      <c r="AM15" s="23">
        <f t="shared" si="2"/>
        <v>-3.2999999999999972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69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34.799999999999997</v>
      </c>
      <c r="AK17" s="21">
        <f t="shared" si="1"/>
        <v>34.799999999999997</v>
      </c>
      <c r="AL17" s="22">
        <v>37.6</v>
      </c>
      <c r="AM17" s="23">
        <f t="shared" si="2"/>
        <v>-2.8000000000000043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69"/>
      <c r="AI18" s="57"/>
      <c r="AJ18" s="37">
        <f t="shared" si="0"/>
        <v>28.8</v>
      </c>
      <c r="AK18" s="21">
        <f t="shared" si="1"/>
        <v>28.8</v>
      </c>
      <c r="AL18" s="22">
        <v>30</v>
      </c>
      <c r="AM18" s="23">
        <f t="shared" si="2"/>
        <v>-1.1999999999999993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35.1</v>
      </c>
      <c r="AK19" s="21">
        <f t="shared" si="1"/>
        <v>35.1</v>
      </c>
      <c r="AL19" s="22">
        <v>37.5</v>
      </c>
      <c r="AM19" s="23">
        <f t="shared" si="2"/>
        <v>-2.3999999999999986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31.8</v>
      </c>
      <c r="AK20" s="21">
        <f t="shared" si="1"/>
        <v>31.8</v>
      </c>
      <c r="AL20" s="22">
        <v>33.200000000000003</v>
      </c>
      <c r="AM20" s="23">
        <f t="shared" si="2"/>
        <v>-1.4000000000000021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25.4</v>
      </c>
      <c r="AK21" s="21">
        <f t="shared" si="1"/>
        <v>25.4</v>
      </c>
      <c r="AL21" s="22">
        <v>25.8</v>
      </c>
      <c r="AM21" s="23">
        <f t="shared" si="2"/>
        <v>-0.40000000000000213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27.5</v>
      </c>
      <c r="AK23" s="21">
        <f t="shared" si="1"/>
        <v>27.5</v>
      </c>
      <c r="AL23" s="22">
        <v>32.5</v>
      </c>
      <c r="AM23" s="23">
        <f t="shared" si="2"/>
        <v>-5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28.8</v>
      </c>
      <c r="AK24" s="21">
        <f t="shared" si="1"/>
        <v>28.8</v>
      </c>
      <c r="AL24" s="22">
        <v>34.200000000000003</v>
      </c>
      <c r="AM24" s="23">
        <f t="shared" si="2"/>
        <v>-5.4000000000000021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5">
        <v>32.799999999999997</v>
      </c>
      <c r="F25" s="70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32.799999999999997</v>
      </c>
      <c r="AK25" s="21">
        <f t="shared" si="1"/>
        <v>32.799999999999997</v>
      </c>
      <c r="AL25" s="22">
        <v>35.4</v>
      </c>
      <c r="AM25" s="23">
        <f t="shared" si="2"/>
        <v>-2.6000000000000014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/>
      <c r="G26" s="57"/>
      <c r="H26" s="57"/>
      <c r="I26" s="57"/>
      <c r="J26" s="57"/>
      <c r="K26" s="57"/>
      <c r="L26" s="57"/>
      <c r="M26" s="57"/>
      <c r="N26" s="57"/>
      <c r="O26" s="69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20.6</v>
      </c>
      <c r="AK26" s="21">
        <f t="shared" si="1"/>
        <v>20.6</v>
      </c>
      <c r="AL26" s="22">
        <v>22.4</v>
      </c>
      <c r="AM26" s="23">
        <f t="shared" si="2"/>
        <v>-1.7999999999999972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/>
      <c r="G27" s="57"/>
      <c r="H27" s="57"/>
      <c r="I27" s="57"/>
      <c r="J27" s="57"/>
      <c r="K27" s="57"/>
      <c r="L27" s="57"/>
      <c r="M27" s="57"/>
      <c r="N27" s="69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19.2</v>
      </c>
      <c r="AK27" s="21">
        <f t="shared" si="1"/>
        <v>19.2</v>
      </c>
      <c r="AL27" s="22">
        <v>21.4</v>
      </c>
      <c r="AM27" s="23">
        <f t="shared" si="2"/>
        <v>-2.1999999999999993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69"/>
      <c r="AF28" s="57"/>
      <c r="AG28" s="57"/>
      <c r="AH28" s="57"/>
      <c r="AI28" s="57"/>
      <c r="AJ28" s="37">
        <f t="shared" si="0"/>
        <v>30.5</v>
      </c>
      <c r="AK28" s="21">
        <f t="shared" si="1"/>
        <v>30.5</v>
      </c>
      <c r="AL28" s="22">
        <v>34.5</v>
      </c>
      <c r="AM28" s="23">
        <f t="shared" si="2"/>
        <v>-4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34</v>
      </c>
      <c r="AK30" s="21">
        <f t="shared" si="1"/>
        <v>34</v>
      </c>
      <c r="AL30" s="22">
        <v>38.6</v>
      </c>
      <c r="AM30" s="23">
        <f t="shared" si="2"/>
        <v>-4.6000000000000014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28.6</v>
      </c>
      <c r="AK31" s="21">
        <f t="shared" si="1"/>
        <v>28.6</v>
      </c>
      <c r="AL31" s="22">
        <v>30.2</v>
      </c>
      <c r="AM31" s="23">
        <f t="shared" si="2"/>
        <v>-1.5999999999999979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/>
      <c r="G32" s="57"/>
      <c r="H32" s="57"/>
      <c r="I32" s="57"/>
      <c r="J32" s="57"/>
      <c r="K32" s="57"/>
      <c r="L32" s="57"/>
      <c r="M32" s="57"/>
      <c r="N32" s="57"/>
      <c r="O32" s="69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18.600000000000001</v>
      </c>
      <c r="AK32" s="21">
        <f t="shared" si="1"/>
        <v>18.600000000000001</v>
      </c>
      <c r="AL32" s="22">
        <v>21.8</v>
      </c>
      <c r="AM32" s="23">
        <f t="shared" si="2"/>
        <v>-3.1999999999999993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15.2</v>
      </c>
      <c r="AK33" s="21">
        <f t="shared" si="1"/>
        <v>15.2</v>
      </c>
      <c r="AL33" s="22">
        <v>20</v>
      </c>
      <c r="AM33" s="23">
        <f t="shared" si="2"/>
        <v>-4.8000000000000007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32.200000000000003</v>
      </c>
      <c r="AK35" s="21">
        <f t="shared" si="1"/>
        <v>32.200000000000003</v>
      </c>
      <c r="AL35" s="22">
        <v>36.200000000000003</v>
      </c>
      <c r="AM35" s="23">
        <f t="shared" si="2"/>
        <v>-4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33.1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31.4</v>
      </c>
      <c r="AK39" s="21">
        <f t="shared" si="1"/>
        <v>31.4</v>
      </c>
      <c r="AL39" s="22">
        <v>37.4</v>
      </c>
      <c r="AM39" s="23">
        <f t="shared" si="2"/>
        <v>-6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30.7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30.8</v>
      </c>
      <c r="AK41" s="21">
        <f t="shared" si="1"/>
        <v>30.8</v>
      </c>
      <c r="AL41" s="22">
        <v>34.4</v>
      </c>
      <c r="AM41" s="23">
        <f t="shared" si="2"/>
        <v>-3.5999999999999979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66">
        <v>31.6</v>
      </c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31.6</v>
      </c>
      <c r="AK43" s="21">
        <f t="shared" si="1"/>
        <v>31.6</v>
      </c>
      <c r="AL43" s="22">
        <v>34.200000000000003</v>
      </c>
      <c r="AM43" s="23">
        <f t="shared" si="2"/>
        <v>-2.6000000000000014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32.4</v>
      </c>
      <c r="AK44" s="21">
        <f t="shared" si="1"/>
        <v>32.4</v>
      </c>
      <c r="AL44" s="22">
        <v>33.6</v>
      </c>
      <c r="AM44" s="23">
        <f t="shared" si="2"/>
        <v>-1.2000000000000028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32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29.1</v>
      </c>
      <c r="AK48" s="21">
        <f t="shared" si="1"/>
        <v>29.1</v>
      </c>
      <c r="AL48" s="22">
        <v>35.200000000000003</v>
      </c>
      <c r="AM48" s="23">
        <f t="shared" si="2"/>
        <v>-6.1000000000000014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7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7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7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7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7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7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7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7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7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7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7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7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7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7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7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7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7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7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7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7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7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7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7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7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7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7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7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7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7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7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7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7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7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7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7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7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7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7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7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7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7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7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7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7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5" t="s">
        <v>123</v>
      </c>
      <c r="I1" s="76"/>
      <c r="J1" s="77"/>
      <c r="K1" s="72" t="s">
        <v>124</v>
      </c>
      <c r="L1" s="73"/>
      <c r="M1" s="74"/>
      <c r="N1" s="75" t="s">
        <v>125</v>
      </c>
      <c r="O1" s="76"/>
      <c r="P1" s="77"/>
      <c r="Q1" s="72" t="s">
        <v>126</v>
      </c>
      <c r="R1" s="73"/>
      <c r="S1" s="74"/>
      <c r="T1" s="75" t="s">
        <v>127</v>
      </c>
      <c r="U1" s="76"/>
      <c r="V1" s="77"/>
      <c r="W1" s="72" t="s">
        <v>128</v>
      </c>
      <c r="X1" s="73"/>
      <c r="Y1" s="74"/>
      <c r="Z1" s="75" t="s">
        <v>129</v>
      </c>
      <c r="AA1" s="76"/>
      <c r="AB1" s="77"/>
      <c r="AC1" s="72" t="s">
        <v>130</v>
      </c>
      <c r="AD1" s="73"/>
      <c r="AE1" s="74"/>
      <c r="AF1" s="75" t="s">
        <v>131</v>
      </c>
      <c r="AG1" s="76"/>
      <c r="AH1" s="77"/>
      <c r="AI1" s="72" t="s">
        <v>132</v>
      </c>
      <c r="AJ1" s="73"/>
      <c r="AK1" s="74"/>
      <c r="AL1" s="75" t="s">
        <v>133</v>
      </c>
      <c r="AM1" s="76"/>
      <c r="AN1" s="77"/>
      <c r="AO1" s="72" t="s">
        <v>134</v>
      </c>
      <c r="AP1" s="73"/>
      <c r="AQ1" s="74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93</v>
      </c>
      <c r="C1" s="71" t="s">
        <v>94</v>
      </c>
      <c r="D1" s="78" t="s">
        <v>95</v>
      </c>
      <c r="E1" s="78" t="s">
        <v>96</v>
      </c>
      <c r="F1" s="78" t="s">
        <v>97</v>
      </c>
      <c r="G1" s="78" t="s">
        <v>98</v>
      </c>
      <c r="H1" s="78" t="s">
        <v>99</v>
      </c>
      <c r="I1" s="78" t="s">
        <v>100</v>
      </c>
      <c r="J1" s="78" t="s">
        <v>101</v>
      </c>
      <c r="K1" s="78" t="s">
        <v>102</v>
      </c>
      <c r="L1" s="78" t="s">
        <v>103</v>
      </c>
      <c r="M1" s="78" t="s">
        <v>104</v>
      </c>
      <c r="N1" s="78" t="s">
        <v>105</v>
      </c>
      <c r="O1" s="78" t="s">
        <v>106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2026-07-02T14:11:05Z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