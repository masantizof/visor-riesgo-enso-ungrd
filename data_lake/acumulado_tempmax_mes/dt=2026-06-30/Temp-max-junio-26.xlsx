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6141212-B580-424D-AF81-3A3952E7D8F3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<sst xmlns="http://schemas.openxmlformats.org/spreadsheetml/2006/main" count="604" uniqueCount="273">
  <si>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</si>
  <si>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</si>
  <si>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</si>
  <si>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</si>
  <si>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</si>
  <si>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</si>
  <si>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</si>
  <si>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</si>
  <si>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</si>
  <si>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</si>
  <si>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</si>
  <si>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</si>
  <si>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</si>
  <si>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</si>
  <si>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</si>
  <si>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</si>
  <si>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</si>
  <si>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</si>
  <si>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</si>
  <si>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</si>
  <si>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</si>
  <si>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</si>
  <si>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</si>
  <si>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</si>
  <si>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</si>
  <si>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</si>
  <si>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</si>
  <si>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</si>
  <si>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</si>
  <si>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</si>
  <si>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</si>
  <si>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</si>
  <si>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</si>
  <si>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</si>
  <si>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</si>
  <si>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</si>
  <si>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</si>
  <si>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</si>
  <si>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</si>
  <si>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</si>
  <si>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</si>
  <si>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</si>
  <si>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</si>
  <si>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</si>
  <si>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</si>
  <si>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</si>
  <si>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</si>
  <si>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</si>
  <si>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</si>
  <si>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</si>
  <si>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</si>
  <si>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</si>
  <si>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</si>
  <si>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</si>
  <si>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</si>
  <si>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</si>
  <si>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</si>
  <si>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</si>
  <si>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</si>
  <si>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</si>
  <si>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</si>
  <si>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</si>
  <si>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</si>
  <si>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</si>
  <si>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</si>
  <si>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</si>
  <si>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</si>
  <si>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</si>
  <si>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</si>
  <si>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</si>
  <si>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</si>
  <si>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</si>
  <si>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</si>
  <si>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</si>
  <si>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</si>
  <si>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</si>
  <si>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</si>
  <si>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</si>
  <si>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</si>
  <si>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</si>
  <si>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</si>
  <si>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</si>
  <si>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</si>
  <si>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</si>
  <si>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</si>
  <si>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</si>
  <si>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</si>
  <si>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</si>
  <si>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</si>
  <si>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</si>
  <si>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</si>
  <si>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</si>
  <si>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</si>
  <si>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</si>
  <si>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</si>
  <si>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</si>
  <si>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</si>
  <si>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</si>
  <si>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</si>
  <si>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</si>
  <si>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</si>
  <si>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</si>
  <si>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</si>
  <si>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</si>
  <si>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</si>
  <si>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</si>
  <si>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</si>
  <si>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</si>
  <si>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</si>
  <si>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</si>
  <si>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</si>
  <si>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</si>
  <si>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</si>
  <si>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</si>
  <si>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</si>
  <si>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</si>
  <si>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</si>
  <si>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</si>
  <si>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</si>
  <si>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</si>
  <si>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</si>
  <si>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</si>
  <si>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</si>
  <si>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</si>
  <si>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</si>
  <si>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</si>
  <si>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</si>
  <si>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</si>
  <si>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</si>
  <si>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</si>
  <si>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</si>
  <si>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</si>
  <si>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</si>
  <si>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</si>
  <si>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</si>
  <si>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</si>
  <si>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</si>
  <si>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</si>
  <si>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</si>
  <si>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</si>
  <si>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</si>
  <si>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</si>
  <si>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</si>
  <si>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</si>
  <si>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</si>
  <si>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</si>
  <si>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</si>
  <si>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</si>
  <si>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</si>
  <si>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</si>
  <si>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</si>
  <si>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</si>
  <si>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</si>
  <si>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</si>
  <si>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</si>
  <si>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</si>
  <si>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</si>
  <si>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</si>
  <si>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</si>
  <si>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</si>
  <si>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</si>
  <si>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</si>
  <si>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</si>
  <si>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</si>
  <si>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</si>
  <si>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</si>
  <si>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</si>
  <si>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</si>
  <si>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</si>
  <si>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</si>
  <si>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</si>
  <si>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</si>
  <si>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</si>
  <si>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</si>
  <si>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</si>
  <si>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</si>
  <si>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</si>
  <si>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</si>
  <si>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</si>
  <si>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</si>
  <si>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</si>
  <si>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</si>
  <si>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</si>
  <si>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</si>
  <si>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</si>
  <si>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</si>
  <si>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</si>
  <si>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</si>
  <si>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</si>
  <si>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</si>
  <si>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</si>
  <si>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</si>
  <si>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</si>
  <si>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</si>
  <si>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</si>
  <si>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</si>
  <si>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</si>
  <si>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</si>
  <si>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</si>
  <si>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</si>
  <si>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</si>
  <si>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</si>
  <si>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</si>
  <si>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</si>
  <si>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</si>
  <si>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</si>
  <si>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</si>
  <si>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</si>
  <si>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</si>
  <si>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</si>
  <si>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</si>
  <si>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</si>
  <si>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</si>
  <si>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</si>
  <si>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</si>
  <si>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</si>
  <si>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</si>
  <si>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</si>
  <si>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</si>
  <si>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</si>
  <si>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</si>
  <si>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</si>
  <si>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</si>
  <si>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</si>
  <si>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</si>
  <si>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</si>
  <si>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</si>
  <si>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</si>
  <si>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</si>
  <si>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</si>
  <si>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</si>
  <si>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</si>
  <si>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</si>
  <si>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</si>
  <si>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</si>
  <si>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</si>
  <si>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</si>
  <si>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</si>
  <si>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</si>
  <si>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</si>
  <si>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</si>
  <si>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</si>
  <si>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</si>
  <si>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</si>
  <si>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</si>
  <si>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</si>
  <si>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</si>
  <si>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</si>
  <si>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</si>
  <si>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</si>
  <si>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</si>
  <si>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</si>
  <si>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</si>
  <si>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</si>
  <si>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</si>
  <si>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</si>
  <si>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</si>
  <si>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</si>
  <si>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</si>
  <si>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</si>
  <si>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</si>
  <si>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</si>
  <si>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</si>
  <si>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</si>
  <si>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</si>
  <si>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</si>
  <si>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</si>
  <si>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</si>
  <si>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</si>
  <si>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</si>
  <si>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</si>
  <si>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</si>
  <si>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JUNIO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</si>
</sst>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EE8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2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9" fillId="0" borderId="1" xfId="0" applyNumberFormat="1" applyFont="1" applyBorder="1" applyAlignment="1">
      <alignment horizontal="right" vertical="center"/>
    </xf>
    <xf numFmtId="165" fontId="31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5" fontId="0" fillId="0" borderId="1" xfId="0" applyNumberFormat="1" applyBorder="1" applyAlignment="1">
      <alignment horizont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="85" zoomScaleNormal="85" workbookViewId="0">
      <pane xSplit="4" ySplit="3" topLeftCell="S4" activePane="bottomRight" state="frozen"/>
      <selection pane="topRight" activeCell="E1" sqref="E1"/>
      <selection pane="bottomLeft" activeCell="A4" sqref="A4"/>
      <selection pane="bottomRight" activeCell="AG47" sqref="AG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70" t="s">
        <v>0</v>
      </c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32.9</v>
      </c>
      <c r="F5" s="57">
        <v>32.4</v>
      </c>
      <c r="G5" s="57">
        <v>32</v>
      </c>
      <c r="H5" s="57">
        <v>32.6</v>
      </c>
      <c r="I5" s="57">
        <v>32.4</v>
      </c>
      <c r="J5" s="57">
        <v>32.299999999999997</v>
      </c>
      <c r="K5" s="57">
        <v>31.8</v>
      </c>
      <c r="L5" s="57">
        <v>31.4</v>
      </c>
      <c r="M5" s="57">
        <v>31.2</v>
      </c>
      <c r="N5" s="57">
        <v>32</v>
      </c>
      <c r="O5" s="57">
        <v>32</v>
      </c>
      <c r="P5" s="57">
        <v>32.4</v>
      </c>
      <c r="Q5" s="57">
        <v>32.4</v>
      </c>
      <c r="R5" s="57">
        <v>31.5</v>
      </c>
      <c r="S5" s="57">
        <v>32.700000000000003</v>
      </c>
      <c r="T5" s="57">
        <v>31.8</v>
      </c>
      <c r="U5" s="57">
        <v>31.7</v>
      </c>
      <c r="V5" s="57">
        <v>32.4</v>
      </c>
      <c r="W5" s="57">
        <v>31.6</v>
      </c>
      <c r="X5" s="57">
        <v>31.7</v>
      </c>
      <c r="Y5" s="57">
        <v>29.6</v>
      </c>
      <c r="Z5" s="57">
        <v>31.9</v>
      </c>
      <c r="AA5" s="57">
        <v>31.2</v>
      </c>
      <c r="AB5" s="57">
        <v>31.8</v>
      </c>
      <c r="AC5" s="57">
        <v>31.9</v>
      </c>
      <c r="AD5" s="57">
        <v>32</v>
      </c>
      <c r="AE5" s="57">
        <v>32</v>
      </c>
      <c r="AF5" s="57">
        <v>32.200000000000003</v>
      </c>
      <c r="AG5" s="57">
        <v>32.6</v>
      </c>
      <c r="AH5" s="57"/>
      <c r="AI5" s="57"/>
      <c r="AJ5" s="37">
        <f>+IF(SUM($E5:$AI5)&gt;0,LOOKUP(1000,$E5:$AI5),NA())</f>
        <v>32.6</v>
      </c>
      <c r="AK5" s="21">
        <f>+MAX($E5:$AI5)</f>
        <v>32.9</v>
      </c>
      <c r="AL5" s="22">
        <v>32.5</v>
      </c>
      <c r="AM5" s="23">
        <f>IF(AK5&gt;0,$AK5-$AL5,"")</f>
        <v>0.39999999999999858</v>
      </c>
      <c r="AN5" s="23">
        <v>30.35098157270572</v>
      </c>
      <c r="AO5" s="23">
        <f>IF(COUNTIF(E5:AI5,"&gt;0")&gt;=15,AVERAGE(E5:AI5),"")</f>
        <v>31.944827586206898</v>
      </c>
      <c r="AP5" s="23">
        <f>IF(AN5&gt;0,IFERROR(AO5-AN5,""),"")</f>
        <v>1.593846013501178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32.200000000000003</v>
      </c>
      <c r="F6" s="57">
        <v>31.5</v>
      </c>
      <c r="G6" s="57">
        <v>31.4</v>
      </c>
      <c r="H6" s="57">
        <v>31.2</v>
      </c>
      <c r="I6" s="57">
        <v>30.6</v>
      </c>
      <c r="J6" s="57">
        <v>31.8</v>
      </c>
      <c r="K6" s="57">
        <v>31.6</v>
      </c>
      <c r="L6" s="57">
        <v>31.7</v>
      </c>
      <c r="M6" s="57">
        <v>30.8</v>
      </c>
      <c r="N6" s="57">
        <v>31.1</v>
      </c>
      <c r="O6" s="57">
        <v>30.8</v>
      </c>
      <c r="P6" s="57">
        <v>30.9</v>
      </c>
      <c r="Q6" s="57">
        <v>30.6</v>
      </c>
      <c r="R6" s="57">
        <v>31.2</v>
      </c>
      <c r="S6" s="57">
        <v>31.6</v>
      </c>
      <c r="T6" s="57">
        <v>31.1</v>
      </c>
      <c r="U6" s="57">
        <v>31.2</v>
      </c>
      <c r="V6" s="57">
        <v>31.4</v>
      </c>
      <c r="W6" s="57">
        <v>31.4</v>
      </c>
      <c r="X6" s="57">
        <v>30.7</v>
      </c>
      <c r="Y6" s="57">
        <v>30.4</v>
      </c>
      <c r="Z6" s="57">
        <v>32.200000000000003</v>
      </c>
      <c r="AA6" s="57">
        <v>31</v>
      </c>
      <c r="AB6" s="57">
        <v>31.7</v>
      </c>
      <c r="AC6" s="57">
        <v>31.2</v>
      </c>
      <c r="AD6" s="57">
        <v>31.4</v>
      </c>
      <c r="AE6" s="57">
        <v>31.2</v>
      </c>
      <c r="AF6" s="57">
        <v>30.7</v>
      </c>
      <c r="AG6" s="57">
        <v>31.2</v>
      </c>
      <c r="AH6" s="57"/>
      <c r="AI6" s="57"/>
      <c r="AJ6" s="37">
        <f t="shared" ref="AJ6:AJ48" si="0">+IF(SUM($E6:$AI6)&gt;0,LOOKUP(1000,$E6:$AI6),NA())</f>
        <v>31.2</v>
      </c>
      <c r="AK6" s="21">
        <f t="shared" ref="AK6:AK48" si="1">+MAX($E6:$AI6)</f>
        <v>32.200000000000003</v>
      </c>
      <c r="AL6" s="22">
        <v>33.5</v>
      </c>
      <c r="AM6" s="23">
        <f t="shared" ref="AM6:AM48" si="2">IF(AK6&gt;0,$AK6-$AL6,"")</f>
        <v>-1.2999999999999972</v>
      </c>
      <c r="AN6" s="23">
        <v>30.64257745612791</v>
      </c>
      <c r="AO6" s="23">
        <f t="shared" ref="AO6:AO15" si="3">IF(COUNTIF(E6:AI6,"&gt;0")&gt;=15,AVERAGE(E6:AI6),"")</f>
        <v>31.2344827586207</v>
      </c>
      <c r="AP6" s="23">
        <f t="shared" ref="AP6:AP48" si="4">IF(AN6&gt;0,IFERROR(AO6-AN6,""),"")</f>
        <v>0.5919053024927905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37.200000000000003</v>
      </c>
      <c r="F7" s="57">
        <v>36</v>
      </c>
      <c r="G7" s="57">
        <v>34.4</v>
      </c>
      <c r="H7" s="57">
        <v>30.8</v>
      </c>
      <c r="I7" s="57">
        <v>34.799999999999997</v>
      </c>
      <c r="J7" s="57">
        <v>28.4</v>
      </c>
      <c r="K7" s="57">
        <v>30.8</v>
      </c>
      <c r="L7" s="57">
        <v>32.200000000000003</v>
      </c>
      <c r="M7" s="57">
        <v>32.4</v>
      </c>
      <c r="N7" s="57">
        <v>34</v>
      </c>
      <c r="O7" s="57">
        <v>36</v>
      </c>
      <c r="P7" s="57">
        <v>35.6</v>
      </c>
      <c r="Q7" s="57">
        <v>36.799999999999997</v>
      </c>
      <c r="R7" s="57">
        <v>35.200000000000003</v>
      </c>
      <c r="S7" s="57">
        <v>33.6</v>
      </c>
      <c r="T7" s="57">
        <v>34</v>
      </c>
      <c r="U7" s="57">
        <v>32.799999999999997</v>
      </c>
      <c r="V7" s="57">
        <v>33.799999999999997</v>
      </c>
      <c r="W7" s="57">
        <v>33.9</v>
      </c>
      <c r="X7" s="57">
        <v>35.200000000000003</v>
      </c>
      <c r="Y7" s="57">
        <v>33.799999999999997</v>
      </c>
      <c r="Z7" s="57">
        <v>35.6</v>
      </c>
      <c r="AA7" s="57">
        <v>35.299999999999997</v>
      </c>
      <c r="AB7" s="57">
        <v>35.200000000000003</v>
      </c>
      <c r="AC7" s="57">
        <v>36.4</v>
      </c>
      <c r="AD7" s="57">
        <v>37.6</v>
      </c>
      <c r="AE7" s="57">
        <v>37</v>
      </c>
      <c r="AF7" s="57">
        <v>36.6</v>
      </c>
      <c r="AG7" s="57">
        <v>37</v>
      </c>
      <c r="AH7" s="57"/>
      <c r="AI7" s="57"/>
      <c r="AJ7" s="37">
        <f t="shared" si="0"/>
        <v>37</v>
      </c>
      <c r="AK7" s="21">
        <f t="shared" si="1"/>
        <v>37.6</v>
      </c>
      <c r="AL7" s="22">
        <v>38.6</v>
      </c>
      <c r="AM7" s="23">
        <f t="shared" si="2"/>
        <v>-1</v>
      </c>
      <c r="AN7" s="23">
        <v>33.327391688770987</v>
      </c>
      <c r="AO7" s="23">
        <f t="shared" si="3"/>
        <v>34.565517241379311</v>
      </c>
      <c r="AP7" s="23">
        <f t="shared" si="4"/>
        <v>1.2381255526083237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35.1</v>
      </c>
      <c r="F8" s="57">
        <v>34.1</v>
      </c>
      <c r="G8" s="57">
        <v>33.200000000000003</v>
      </c>
      <c r="H8" s="57">
        <v>31.9</v>
      </c>
      <c r="I8" s="57">
        <v>32.5</v>
      </c>
      <c r="J8" s="57">
        <v>29.9</v>
      </c>
      <c r="K8" s="57">
        <v>30.7</v>
      </c>
      <c r="L8" s="57">
        <v>29.9</v>
      </c>
      <c r="M8" s="57">
        <v>32</v>
      </c>
      <c r="N8" s="57">
        <v>33.200000000000003</v>
      </c>
      <c r="O8" s="57">
        <v>35</v>
      </c>
      <c r="P8" s="57">
        <v>33.700000000000003</v>
      </c>
      <c r="Q8" s="57">
        <v>34.4</v>
      </c>
      <c r="R8" s="57">
        <v>34.1</v>
      </c>
      <c r="S8" s="57">
        <v>35.4</v>
      </c>
      <c r="T8" s="57">
        <v>32.9</v>
      </c>
      <c r="U8" s="57">
        <v>33.200000000000003</v>
      </c>
      <c r="V8" s="57">
        <v>30.6</v>
      </c>
      <c r="W8" s="57">
        <v>33.1</v>
      </c>
      <c r="X8" s="57">
        <v>33.9</v>
      </c>
      <c r="Y8" s="57">
        <v>33.5</v>
      </c>
      <c r="Z8" s="57">
        <v>33.200000000000003</v>
      </c>
      <c r="AA8" s="57">
        <v>33.4</v>
      </c>
      <c r="AB8" s="57">
        <v>33.200000000000003</v>
      </c>
      <c r="AC8" s="57">
        <v>33.700000000000003</v>
      </c>
      <c r="AD8" s="57">
        <v>35.9</v>
      </c>
      <c r="AE8" s="57">
        <v>34</v>
      </c>
      <c r="AF8" s="57">
        <v>33.299999999999997</v>
      </c>
      <c r="AG8" s="57">
        <v>33.200000000000003</v>
      </c>
      <c r="AH8" s="57"/>
      <c r="AI8" s="57"/>
      <c r="AJ8" s="37">
        <f t="shared" si="0"/>
        <v>33.200000000000003</v>
      </c>
      <c r="AK8" s="21">
        <f t="shared" si="1"/>
        <v>35.9</v>
      </c>
      <c r="AL8" s="22">
        <v>40.4</v>
      </c>
      <c r="AM8" s="23">
        <f t="shared" si="2"/>
        <v>-4.5</v>
      </c>
      <c r="AN8" s="23">
        <v>32.327364410387403</v>
      </c>
      <c r="AO8" s="23">
        <f t="shared" si="3"/>
        <v>33.179310344827591</v>
      </c>
      <c r="AP8" s="23">
        <f t="shared" si="4"/>
        <v>0.85194593444018807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37</v>
      </c>
      <c r="F9" s="57">
        <v>35.1</v>
      </c>
      <c r="G9" s="57">
        <v>33.4</v>
      </c>
      <c r="H9" s="57">
        <v>33.5</v>
      </c>
      <c r="I9" s="57">
        <v>35.4</v>
      </c>
      <c r="J9" s="57">
        <v>27.3</v>
      </c>
      <c r="K9" s="57">
        <v>32.299999999999997</v>
      </c>
      <c r="L9" s="57">
        <v>32.200000000000003</v>
      </c>
      <c r="M9" s="57">
        <v>33.9</v>
      </c>
      <c r="N9" s="57">
        <v>34.299999999999997</v>
      </c>
      <c r="O9" s="57">
        <v>35.4</v>
      </c>
      <c r="P9" s="57">
        <v>35.6</v>
      </c>
      <c r="Q9" s="57">
        <v>36.1</v>
      </c>
      <c r="R9" s="57">
        <v>35.299999999999997</v>
      </c>
      <c r="S9" s="57">
        <v>36.4</v>
      </c>
      <c r="T9" s="57">
        <v>34</v>
      </c>
      <c r="U9" s="57">
        <v>34.200000000000003</v>
      </c>
      <c r="V9" s="57">
        <v>30.4</v>
      </c>
      <c r="W9" s="57">
        <v>32.700000000000003</v>
      </c>
      <c r="X9" s="57">
        <v>34.299999999999997</v>
      </c>
      <c r="Y9" s="57">
        <v>32.200000000000003</v>
      </c>
      <c r="Z9" s="57">
        <v>34.4</v>
      </c>
      <c r="AA9" s="57">
        <v>34.5</v>
      </c>
      <c r="AB9" s="57">
        <v>32.9</v>
      </c>
      <c r="AC9" s="57">
        <v>34.299999999999997</v>
      </c>
      <c r="AD9" s="57">
        <v>34.1</v>
      </c>
      <c r="AE9" s="57">
        <v>32.5</v>
      </c>
      <c r="AF9" s="57">
        <v>35.700000000000003</v>
      </c>
      <c r="AG9" s="57">
        <v>34.299999999999997</v>
      </c>
      <c r="AH9" s="57"/>
      <c r="AI9" s="57"/>
      <c r="AJ9" s="37">
        <f t="shared" si="0"/>
        <v>34.299999999999997</v>
      </c>
      <c r="AK9" s="21">
        <f t="shared" si="1"/>
        <v>37</v>
      </c>
      <c r="AL9" s="22">
        <v>38.6</v>
      </c>
      <c r="AM9" s="23">
        <f t="shared" si="2"/>
        <v>-1.6000000000000014</v>
      </c>
      <c r="AN9" s="23">
        <v>33.336943724366797</v>
      </c>
      <c r="AO9" s="23">
        <f t="shared" si="3"/>
        <v>33.920689655172417</v>
      </c>
      <c r="AP9" s="23">
        <f t="shared" si="4"/>
        <v>0.58374593080561965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37.299999999999997</v>
      </c>
      <c r="F10" s="57">
        <v>37.6</v>
      </c>
      <c r="G10" s="57">
        <v>35.299999999999997</v>
      </c>
      <c r="H10" s="57">
        <v>32.700000000000003</v>
      </c>
      <c r="I10" s="57">
        <v>32.700000000000003</v>
      </c>
      <c r="J10" s="57">
        <v>32.5</v>
      </c>
      <c r="K10" s="57">
        <v>32.1</v>
      </c>
      <c r="L10" s="57">
        <v>31.4</v>
      </c>
      <c r="M10" s="57">
        <v>33.200000000000003</v>
      </c>
      <c r="N10" s="57">
        <v>34.9</v>
      </c>
      <c r="O10" s="57">
        <v>35.799999999999997</v>
      </c>
      <c r="P10" s="57">
        <v>37.799999999999997</v>
      </c>
      <c r="Q10" s="57">
        <v>37</v>
      </c>
      <c r="R10" s="57">
        <v>35.299999999999997</v>
      </c>
      <c r="S10" s="57">
        <v>35.4</v>
      </c>
      <c r="T10" s="57">
        <v>35.1</v>
      </c>
      <c r="U10" s="57">
        <v>36.200000000000003</v>
      </c>
      <c r="V10" s="57">
        <v>34.9</v>
      </c>
      <c r="W10" s="57">
        <v>34.1</v>
      </c>
      <c r="X10" s="57">
        <v>36.4</v>
      </c>
      <c r="Y10" s="57">
        <v>35.200000000000003</v>
      </c>
      <c r="Z10" s="57">
        <v>36.700000000000003</v>
      </c>
      <c r="AA10" s="57">
        <v>36.200000000000003</v>
      </c>
      <c r="AB10" s="57">
        <v>35.6</v>
      </c>
      <c r="AC10" s="57">
        <v>36.6</v>
      </c>
      <c r="AD10" s="57">
        <v>36.5</v>
      </c>
      <c r="AE10" s="57">
        <v>36.1</v>
      </c>
      <c r="AF10" s="57">
        <v>38.299999999999997</v>
      </c>
      <c r="AG10" s="57">
        <v>37.299999999999997</v>
      </c>
      <c r="AH10" s="57"/>
      <c r="AI10" s="57"/>
      <c r="AJ10" s="37">
        <f t="shared" si="0"/>
        <v>37.299999999999997</v>
      </c>
      <c r="AK10" s="21">
        <f t="shared" si="1"/>
        <v>38.299999999999997</v>
      </c>
      <c r="AL10" s="22">
        <v>39.4</v>
      </c>
      <c r="AM10" s="23">
        <f t="shared" si="2"/>
        <v>-1.1000000000000014</v>
      </c>
      <c r="AN10" s="23">
        <v>34.811145461751877</v>
      </c>
      <c r="AO10" s="23">
        <f t="shared" si="3"/>
        <v>35.386206896551734</v>
      </c>
      <c r="AP10" s="23">
        <f t="shared" si="4"/>
        <v>0.57506143479985639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40.6</v>
      </c>
      <c r="F11" s="57">
        <v>40.5</v>
      </c>
      <c r="G11" s="57">
        <v>37</v>
      </c>
      <c r="H11" s="57">
        <v>30.1</v>
      </c>
      <c r="I11" s="57">
        <v>33.6</v>
      </c>
      <c r="J11" s="57">
        <v>31.2</v>
      </c>
      <c r="K11" s="57">
        <v>28.4</v>
      </c>
      <c r="L11" s="57">
        <v>29.8</v>
      </c>
      <c r="M11" s="57">
        <v>35.1</v>
      </c>
      <c r="N11" s="57">
        <v>35.4</v>
      </c>
      <c r="O11" s="57">
        <v>38.200000000000003</v>
      </c>
      <c r="P11" s="57">
        <v>40</v>
      </c>
      <c r="Q11" s="57">
        <v>37.5</v>
      </c>
      <c r="R11" s="57">
        <v>37.200000000000003</v>
      </c>
      <c r="S11" s="57">
        <v>37.6</v>
      </c>
      <c r="T11" s="57">
        <v>36.5</v>
      </c>
      <c r="U11" s="57">
        <v>36.5</v>
      </c>
      <c r="V11" s="57">
        <v>36</v>
      </c>
      <c r="W11" s="57">
        <v>36.5</v>
      </c>
      <c r="X11" s="57">
        <v>38.700000000000003</v>
      </c>
      <c r="Y11" s="57">
        <v>37.6</v>
      </c>
      <c r="Z11" s="57">
        <v>39.200000000000003</v>
      </c>
      <c r="AA11" s="57">
        <v>38.200000000000003</v>
      </c>
      <c r="AB11" s="57">
        <v>38.799999999999997</v>
      </c>
      <c r="AC11" s="57">
        <v>39.4</v>
      </c>
      <c r="AD11" s="57">
        <v>39.799999999999997</v>
      </c>
      <c r="AE11" s="57">
        <v>40</v>
      </c>
      <c r="AF11" s="57">
        <v>41</v>
      </c>
      <c r="AG11" s="57">
        <v>40.6</v>
      </c>
      <c r="AH11" s="57"/>
      <c r="AI11" s="57"/>
      <c r="AJ11" s="37">
        <f t="shared" si="0"/>
        <v>40.6</v>
      </c>
      <c r="AK11" s="21">
        <f t="shared" si="1"/>
        <v>41</v>
      </c>
      <c r="AL11" s="22">
        <v>41</v>
      </c>
      <c r="AM11" s="23">
        <f t="shared" si="2"/>
        <v>0</v>
      </c>
      <c r="AN11" s="23">
        <v>34.423205128205112</v>
      </c>
      <c r="AO11" s="23">
        <f t="shared" si="3"/>
        <v>36.931034482758619</v>
      </c>
      <c r="AP11" s="23">
        <f t="shared" si="4"/>
        <v>2.5078293545535075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35.200000000000003</v>
      </c>
      <c r="F12" s="57">
        <v>35.4</v>
      </c>
      <c r="G12" s="57">
        <v>31.8</v>
      </c>
      <c r="H12" s="57">
        <v>31.6</v>
      </c>
      <c r="I12" s="57">
        <v>27.4</v>
      </c>
      <c r="J12" s="57">
        <v>31</v>
      </c>
      <c r="K12" s="57">
        <v>30.6</v>
      </c>
      <c r="L12" s="57">
        <v>29.4</v>
      </c>
      <c r="M12" s="57">
        <v>31.8</v>
      </c>
      <c r="N12" s="57">
        <v>33.6</v>
      </c>
      <c r="O12" s="57">
        <v>35.200000000000003</v>
      </c>
      <c r="P12" s="57">
        <v>35.4</v>
      </c>
      <c r="Q12" s="57">
        <v>34.4</v>
      </c>
      <c r="R12" s="57">
        <v>34.799999999999997</v>
      </c>
      <c r="S12" s="57">
        <v>33.6</v>
      </c>
      <c r="T12" s="57">
        <v>34.799999999999997</v>
      </c>
      <c r="U12" s="57">
        <v>36.6</v>
      </c>
      <c r="V12" s="57">
        <v>28.2</v>
      </c>
      <c r="W12" s="57">
        <v>34.4</v>
      </c>
      <c r="X12" s="57">
        <v>31.2</v>
      </c>
      <c r="Y12" s="57">
        <v>33.200000000000003</v>
      </c>
      <c r="Z12" s="57">
        <v>35.4</v>
      </c>
      <c r="AA12" s="57">
        <v>33.799999999999997</v>
      </c>
      <c r="AB12" s="57">
        <v>34</v>
      </c>
      <c r="AC12" s="57">
        <v>35</v>
      </c>
      <c r="AD12" s="57">
        <v>32.6</v>
      </c>
      <c r="AE12" s="57">
        <v>36.6</v>
      </c>
      <c r="AF12" s="57">
        <v>37.200000000000003</v>
      </c>
      <c r="AG12" s="57">
        <v>35.4</v>
      </c>
      <c r="AH12" s="57"/>
      <c r="AI12" s="57"/>
      <c r="AJ12" s="37">
        <f t="shared" si="0"/>
        <v>35.4</v>
      </c>
      <c r="AK12" s="21">
        <f t="shared" si="1"/>
        <v>37.200000000000003</v>
      </c>
      <c r="AL12" s="22">
        <v>37.799999999999997</v>
      </c>
      <c r="AM12" s="23">
        <f t="shared" si="2"/>
        <v>-0.59999999999999432</v>
      </c>
      <c r="AN12" s="23">
        <v>31.98305557490615</v>
      </c>
      <c r="AO12" s="23">
        <f t="shared" si="3"/>
        <v>33.434482758620696</v>
      </c>
      <c r="AP12" s="23">
        <f t="shared" si="4"/>
        <v>1.4514271837145465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37</v>
      </c>
      <c r="F13" s="57">
        <v>37.200000000000003</v>
      </c>
      <c r="G13" s="57">
        <v>33.200000000000003</v>
      </c>
      <c r="H13" s="57">
        <v>34.799999999999997</v>
      </c>
      <c r="I13" s="57">
        <v>28</v>
      </c>
      <c r="J13" s="57">
        <v>30.6</v>
      </c>
      <c r="K13" s="57">
        <v>31</v>
      </c>
      <c r="L13" s="57">
        <v>30.2</v>
      </c>
      <c r="M13" s="57">
        <v>32.6</v>
      </c>
      <c r="N13" s="57">
        <v>33.6</v>
      </c>
      <c r="O13" s="57">
        <v>35.200000000000003</v>
      </c>
      <c r="P13" s="57">
        <v>36</v>
      </c>
      <c r="Q13" s="57">
        <v>35.4</v>
      </c>
      <c r="R13" s="57">
        <v>35.4</v>
      </c>
      <c r="S13" s="57">
        <v>35</v>
      </c>
      <c r="T13" s="57">
        <v>35.200000000000003</v>
      </c>
      <c r="U13" s="57">
        <v>25.2</v>
      </c>
      <c r="V13" s="57">
        <v>30.2</v>
      </c>
      <c r="W13" s="57">
        <v>34.200000000000003</v>
      </c>
      <c r="X13" s="57">
        <v>33.799999999999997</v>
      </c>
      <c r="Y13" s="57">
        <v>34.200000000000003</v>
      </c>
      <c r="Z13" s="57">
        <v>35.6</v>
      </c>
      <c r="AA13" s="57">
        <v>34.200000000000003</v>
      </c>
      <c r="AB13" s="57">
        <v>34.6</v>
      </c>
      <c r="AC13" s="57">
        <v>35.799999999999997</v>
      </c>
      <c r="AD13" s="57">
        <v>35</v>
      </c>
      <c r="AE13" s="57">
        <v>37</v>
      </c>
      <c r="AF13" s="57">
        <v>37.4</v>
      </c>
      <c r="AG13" s="57">
        <v>36.6</v>
      </c>
      <c r="AH13" s="57"/>
      <c r="AI13" s="57"/>
      <c r="AJ13" s="37">
        <f t="shared" si="0"/>
        <v>36.6</v>
      </c>
      <c r="AK13" s="21">
        <f t="shared" si="1"/>
        <v>37.4</v>
      </c>
      <c r="AL13" s="22">
        <v>36.799999999999997</v>
      </c>
      <c r="AM13" s="23">
        <f t="shared" si="2"/>
        <v>0.60000000000000142</v>
      </c>
      <c r="AN13" s="23">
        <v>32.816402116402109</v>
      </c>
      <c r="AO13" s="23">
        <f t="shared" si="3"/>
        <v>33.937931034482766</v>
      </c>
      <c r="AP13" s="23">
        <f t="shared" si="4"/>
        <v>1.1215289180806565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35.1</v>
      </c>
      <c r="F14" s="57">
        <v>35.4</v>
      </c>
      <c r="G14" s="57">
        <v>30.1</v>
      </c>
      <c r="H14" s="57">
        <v>32.6</v>
      </c>
      <c r="I14" s="57">
        <v>29.7</v>
      </c>
      <c r="J14" s="57">
        <v>31.4</v>
      </c>
      <c r="K14" s="57">
        <v>30.5</v>
      </c>
      <c r="L14" s="57">
        <v>29.5</v>
      </c>
      <c r="M14" s="57">
        <v>33.9</v>
      </c>
      <c r="N14" s="57">
        <v>34.700000000000003</v>
      </c>
      <c r="O14" s="57">
        <v>36.1</v>
      </c>
      <c r="P14" s="57">
        <v>36.9</v>
      </c>
      <c r="Q14" s="57">
        <v>34.700000000000003</v>
      </c>
      <c r="R14" s="57">
        <v>35.6</v>
      </c>
      <c r="S14" s="57">
        <v>33.5</v>
      </c>
      <c r="T14" s="57">
        <v>35.200000000000003</v>
      </c>
      <c r="U14" s="57">
        <v>32.799999999999997</v>
      </c>
      <c r="V14" s="57">
        <v>30.3</v>
      </c>
      <c r="W14" s="57">
        <v>34.4</v>
      </c>
      <c r="X14" s="57">
        <v>33.200000000000003</v>
      </c>
      <c r="Y14" s="57">
        <v>34.6</v>
      </c>
      <c r="Z14" s="57">
        <v>36.799999999999997</v>
      </c>
      <c r="AA14" s="57">
        <v>33.799999999999997</v>
      </c>
      <c r="AB14" s="57">
        <v>36</v>
      </c>
      <c r="AC14" s="57">
        <v>35.4</v>
      </c>
      <c r="AD14" s="57">
        <v>32.200000000000003</v>
      </c>
      <c r="AE14" s="57">
        <v>37.9</v>
      </c>
      <c r="AF14" s="57">
        <v>37.4</v>
      </c>
      <c r="AG14" s="57">
        <v>35.5</v>
      </c>
      <c r="AH14" s="57"/>
      <c r="AI14" s="57"/>
      <c r="AJ14" s="37">
        <f t="shared" si="0"/>
        <v>35.5</v>
      </c>
      <c r="AK14" s="21">
        <f t="shared" si="1"/>
        <v>37.9</v>
      </c>
      <c r="AL14" s="22">
        <v>38.799999999999997</v>
      </c>
      <c r="AM14" s="23">
        <f t="shared" si="2"/>
        <v>-0.89999999999999858</v>
      </c>
      <c r="AN14" s="23">
        <v>33.017506633791363</v>
      </c>
      <c r="AO14" s="23">
        <f t="shared" si="3"/>
        <v>33.972413793103442</v>
      </c>
      <c r="AP14" s="23">
        <f t="shared" si="4"/>
        <v>0.95490715931207859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32.1</v>
      </c>
      <c r="F15" s="57">
        <v>32.6</v>
      </c>
      <c r="G15" s="57">
        <v>26.8</v>
      </c>
      <c r="H15" s="57">
        <v>31.5</v>
      </c>
      <c r="I15" s="57">
        <v>29.7</v>
      </c>
      <c r="J15" s="57">
        <v>28.5</v>
      </c>
      <c r="K15" s="57">
        <v>29.1</v>
      </c>
      <c r="L15" s="57">
        <v>29.9</v>
      </c>
      <c r="M15" s="57">
        <v>32.9</v>
      </c>
      <c r="N15" s="57">
        <v>34.4</v>
      </c>
      <c r="O15" s="57">
        <v>33.299999999999997</v>
      </c>
      <c r="P15" s="57">
        <v>33.700000000000003</v>
      </c>
      <c r="Q15" s="69">
        <v>27</v>
      </c>
      <c r="R15" s="57">
        <v>34.6</v>
      </c>
      <c r="S15" s="57">
        <v>30.4</v>
      </c>
      <c r="T15" s="57">
        <v>32.700000000000003</v>
      </c>
      <c r="U15" s="57">
        <v>31.1</v>
      </c>
      <c r="V15" s="57">
        <v>31</v>
      </c>
      <c r="W15" s="57">
        <v>31.2</v>
      </c>
      <c r="X15" s="57">
        <v>32.9</v>
      </c>
      <c r="Y15" s="57">
        <v>32.6</v>
      </c>
      <c r="Z15" s="57">
        <v>32.5</v>
      </c>
      <c r="AA15" s="57">
        <v>29.2</v>
      </c>
      <c r="AB15" s="57">
        <v>33.5</v>
      </c>
      <c r="AC15" s="57">
        <v>29.9</v>
      </c>
      <c r="AD15" s="57">
        <v>29.8</v>
      </c>
      <c r="AE15" s="57">
        <v>33.1</v>
      </c>
      <c r="AF15" s="57">
        <v>33.4</v>
      </c>
      <c r="AG15" s="57">
        <v>33</v>
      </c>
      <c r="AH15" s="57"/>
      <c r="AI15" s="57"/>
      <c r="AJ15" s="37">
        <f t="shared" si="0"/>
        <v>33</v>
      </c>
      <c r="AK15" s="21">
        <f t="shared" si="1"/>
        <v>34.6</v>
      </c>
      <c r="AL15" s="22">
        <v>35.200000000000003</v>
      </c>
      <c r="AM15" s="23">
        <f t="shared" si="2"/>
        <v>-0.60000000000000142</v>
      </c>
      <c r="AN15" s="23">
        <v>31.768074712643681</v>
      </c>
      <c r="AO15" s="23">
        <f t="shared" si="3"/>
        <v>31.46206896551724</v>
      </c>
      <c r="AP15" s="23">
        <f t="shared" si="4"/>
        <v>-0.30600574712644146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35.200000000000003</v>
      </c>
      <c r="F17" s="57">
        <v>37.1</v>
      </c>
      <c r="G17" s="57">
        <v>31.2</v>
      </c>
      <c r="H17" s="57">
        <v>31.2</v>
      </c>
      <c r="I17" s="57">
        <v>31.5</v>
      </c>
      <c r="J17" s="57">
        <v>33.200000000000003</v>
      </c>
      <c r="K17" s="57">
        <v>30.8</v>
      </c>
      <c r="L17" s="57">
        <v>29</v>
      </c>
      <c r="M17" s="57">
        <v>32</v>
      </c>
      <c r="N17" s="57">
        <v>33</v>
      </c>
      <c r="O17" s="57">
        <v>35.4</v>
      </c>
      <c r="P17" s="57">
        <v>35.200000000000003</v>
      </c>
      <c r="Q17" s="57">
        <v>35.1</v>
      </c>
      <c r="R17" s="57">
        <v>33.200000000000003</v>
      </c>
      <c r="S17" s="57">
        <v>31.8</v>
      </c>
      <c r="T17" s="57">
        <v>33.4</v>
      </c>
      <c r="U17" s="57">
        <v>33.200000000000003</v>
      </c>
      <c r="V17" s="57">
        <v>32</v>
      </c>
      <c r="W17" s="57">
        <v>32.200000000000003</v>
      </c>
      <c r="X17" s="57">
        <v>34.200000000000003</v>
      </c>
      <c r="Y17" s="57">
        <v>31.2</v>
      </c>
      <c r="Z17" s="57">
        <v>33.6</v>
      </c>
      <c r="AA17" s="57">
        <v>32.700000000000003</v>
      </c>
      <c r="AB17" s="57">
        <v>34.799999999999997</v>
      </c>
      <c r="AC17" s="57">
        <v>34.6</v>
      </c>
      <c r="AD17" s="57">
        <v>34.200000000000003</v>
      </c>
      <c r="AE17" s="57">
        <v>34</v>
      </c>
      <c r="AF17" s="57">
        <v>36.1</v>
      </c>
      <c r="AG17" s="57">
        <v>35.799999999999997</v>
      </c>
      <c r="AH17" s="57"/>
      <c r="AI17" s="57"/>
      <c r="AJ17" s="37">
        <f t="shared" si="0"/>
        <v>35.799999999999997</v>
      </c>
      <c r="AK17" s="21">
        <f t="shared" si="1"/>
        <v>37.1</v>
      </c>
      <c r="AL17" s="22">
        <v>37</v>
      </c>
      <c r="AM17" s="23">
        <f t="shared" si="2"/>
        <v>0.10000000000000142</v>
      </c>
      <c r="AN17" s="23">
        <v>32.271835116924287</v>
      </c>
      <c r="AO17" s="23">
        <f>IF(COUNTIF(E17:AI17,"&gt;0")&gt;=15,AVERAGE(E17:AI17),"")</f>
        <v>33.341379310344841</v>
      </c>
      <c r="AP17" s="23">
        <f>IF(AN17&gt;0,IFERROR(AO17-AN17,""),"")</f>
        <v>1.0695441934205547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28.4</v>
      </c>
      <c r="F18" s="57">
        <v>29.6</v>
      </c>
      <c r="G18" s="57">
        <v>26.9</v>
      </c>
      <c r="H18" s="57">
        <v>24</v>
      </c>
      <c r="I18" s="57">
        <v>26.5</v>
      </c>
      <c r="J18" s="57">
        <v>26</v>
      </c>
      <c r="K18" s="57">
        <v>26.4</v>
      </c>
      <c r="L18" s="57">
        <v>24.4</v>
      </c>
      <c r="M18" s="57">
        <v>26.8</v>
      </c>
      <c r="N18" s="57">
        <v>27.8</v>
      </c>
      <c r="O18" s="57">
        <v>29</v>
      </c>
      <c r="P18" s="57">
        <v>28.6</v>
      </c>
      <c r="Q18" s="57">
        <v>28.7</v>
      </c>
      <c r="R18" s="57">
        <v>28.2</v>
      </c>
      <c r="S18" s="57">
        <v>24</v>
      </c>
      <c r="T18" s="57">
        <v>25.6</v>
      </c>
      <c r="U18" s="57">
        <v>28.5</v>
      </c>
      <c r="V18" s="57">
        <v>22.4</v>
      </c>
      <c r="W18" s="57">
        <v>27.7</v>
      </c>
      <c r="X18" s="57">
        <v>27.9</v>
      </c>
      <c r="Y18" s="57">
        <v>27.4</v>
      </c>
      <c r="Z18" s="57">
        <v>27.7</v>
      </c>
      <c r="AA18" s="57">
        <v>26.4</v>
      </c>
      <c r="AB18" s="57">
        <v>28.4</v>
      </c>
      <c r="AC18" s="57">
        <v>29.2</v>
      </c>
      <c r="AD18" s="57">
        <v>28.6</v>
      </c>
      <c r="AE18" s="57">
        <v>28.5</v>
      </c>
      <c r="AF18" s="57">
        <v>29.9</v>
      </c>
      <c r="AG18" s="57">
        <v>29.9</v>
      </c>
      <c r="AH18" s="57"/>
      <c r="AI18" s="57"/>
      <c r="AJ18" s="37">
        <f t="shared" si="0"/>
        <v>29.9</v>
      </c>
      <c r="AK18" s="21">
        <f t="shared" si="1"/>
        <v>29.9</v>
      </c>
      <c r="AL18" s="22">
        <v>29.4</v>
      </c>
      <c r="AM18" s="23">
        <f t="shared" si="2"/>
        <v>0.5</v>
      </c>
      <c r="AN18" s="23">
        <v>25.82496913580248</v>
      </c>
      <c r="AO18" s="23">
        <f t="shared" ref="AO18:AO33" si="5">IF(COUNTIF(E18:AI18,"&gt;0")&gt;=15,AVERAGE(E18:AI18),"")</f>
        <v>27.358620689655172</v>
      </c>
      <c r="AP18" s="23">
        <f t="shared" si="4"/>
        <v>1.5336515538526925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34.1</v>
      </c>
      <c r="F19" s="57">
        <v>34.1</v>
      </c>
      <c r="G19" s="57">
        <v>33.200000000000003</v>
      </c>
      <c r="H19" s="57">
        <v>35.200000000000003</v>
      </c>
      <c r="I19" s="57">
        <v>32.6</v>
      </c>
      <c r="J19" s="57">
        <v>32.299999999999997</v>
      </c>
      <c r="K19" s="57">
        <v>33</v>
      </c>
      <c r="L19" s="57">
        <v>28.9</v>
      </c>
      <c r="M19" s="57">
        <v>32.200000000000003</v>
      </c>
      <c r="N19" s="57">
        <v>32.9</v>
      </c>
      <c r="O19" s="57">
        <v>36.1</v>
      </c>
      <c r="P19" s="57">
        <v>35.9</v>
      </c>
      <c r="Q19" s="57">
        <v>35.799999999999997</v>
      </c>
      <c r="R19" s="57">
        <v>35.5</v>
      </c>
      <c r="S19" s="57">
        <v>30.5</v>
      </c>
      <c r="T19" s="57">
        <v>31.8</v>
      </c>
      <c r="U19" s="57">
        <v>35.5</v>
      </c>
      <c r="V19" s="57">
        <v>33.799999999999997</v>
      </c>
      <c r="W19" s="57">
        <v>35.5</v>
      </c>
      <c r="X19" s="57">
        <v>36.5</v>
      </c>
      <c r="Y19" s="57">
        <v>36.9</v>
      </c>
      <c r="Z19" s="57">
        <v>31.7</v>
      </c>
      <c r="AA19" s="57">
        <v>33.6</v>
      </c>
      <c r="AB19" s="57">
        <v>34.1</v>
      </c>
      <c r="AC19" s="57">
        <v>34.200000000000003</v>
      </c>
      <c r="AD19" s="57">
        <v>36.299999999999997</v>
      </c>
      <c r="AE19" s="57">
        <v>36</v>
      </c>
      <c r="AF19" s="57">
        <v>31.8</v>
      </c>
      <c r="AG19" s="57">
        <v>36.200000000000003</v>
      </c>
      <c r="AH19" s="57"/>
      <c r="AI19" s="57"/>
      <c r="AJ19" s="37">
        <f t="shared" si="0"/>
        <v>36.200000000000003</v>
      </c>
      <c r="AK19" s="21">
        <f t="shared" si="1"/>
        <v>36.9</v>
      </c>
      <c r="AL19" s="22">
        <v>37.200000000000003</v>
      </c>
      <c r="AM19" s="23">
        <f t="shared" si="2"/>
        <v>-0.30000000000000426</v>
      </c>
      <c r="AN19" s="23">
        <v>33.093462068965522</v>
      </c>
      <c r="AO19" s="23">
        <f t="shared" si="5"/>
        <v>34.006896551724132</v>
      </c>
      <c r="AP19" s="23">
        <f t="shared" si="4"/>
        <v>0.9134344827586105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31.7</v>
      </c>
      <c r="F20" s="57">
        <v>31.3</v>
      </c>
      <c r="G20" s="57">
        <v>27.2</v>
      </c>
      <c r="H20" s="57">
        <v>26.3</v>
      </c>
      <c r="I20" s="57">
        <v>26.6</v>
      </c>
      <c r="J20" s="57">
        <v>27</v>
      </c>
      <c r="K20" s="57">
        <v>21.8</v>
      </c>
      <c r="L20" s="57">
        <v>26.7</v>
      </c>
      <c r="M20" s="57">
        <v>28.2</v>
      </c>
      <c r="N20" s="57">
        <v>29.5</v>
      </c>
      <c r="O20" s="57">
        <v>32.1</v>
      </c>
      <c r="P20" s="57">
        <v>31.3</v>
      </c>
      <c r="Q20" s="57">
        <v>29</v>
      </c>
      <c r="R20" s="57">
        <v>31.5</v>
      </c>
      <c r="S20" s="57">
        <v>28.2</v>
      </c>
      <c r="T20" s="57">
        <v>29.8</v>
      </c>
      <c r="U20" s="57">
        <v>29.3</v>
      </c>
      <c r="V20" s="57">
        <v>29.5</v>
      </c>
      <c r="W20" s="57">
        <v>28.6</v>
      </c>
      <c r="X20" s="57">
        <v>29.6</v>
      </c>
      <c r="Y20" s="57">
        <v>31.4</v>
      </c>
      <c r="Z20" s="57">
        <v>31.1</v>
      </c>
      <c r="AA20" s="57">
        <v>29.8</v>
      </c>
      <c r="AB20" s="57">
        <v>30.6</v>
      </c>
      <c r="AC20" s="57">
        <v>31.2</v>
      </c>
      <c r="AD20" s="57">
        <v>30.1</v>
      </c>
      <c r="AE20" s="57">
        <v>31.4</v>
      </c>
      <c r="AF20" s="57">
        <v>30.1</v>
      </c>
      <c r="AG20" s="57">
        <v>31.2</v>
      </c>
      <c r="AH20" s="57"/>
      <c r="AI20" s="57"/>
      <c r="AJ20" s="37">
        <f t="shared" si="0"/>
        <v>31.2</v>
      </c>
      <c r="AK20" s="21">
        <f t="shared" si="1"/>
        <v>32.1</v>
      </c>
      <c r="AL20" s="22">
        <v>33.1</v>
      </c>
      <c r="AM20" s="23">
        <f t="shared" si="2"/>
        <v>-1</v>
      </c>
      <c r="AN20" s="23">
        <v>28.352130620513499</v>
      </c>
      <c r="AO20" s="23">
        <f t="shared" si="5"/>
        <v>29.38275862068966</v>
      </c>
      <c r="AP20" s="23">
        <f t="shared" si="4"/>
        <v>1.0306280001761614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25.1</v>
      </c>
      <c r="G21" s="57">
        <v>23.2</v>
      </c>
      <c r="H21" s="57">
        <v>23.4</v>
      </c>
      <c r="I21" s="57">
        <v>22.7</v>
      </c>
      <c r="J21" s="57">
        <v>22.9</v>
      </c>
      <c r="K21" s="57">
        <v>20</v>
      </c>
      <c r="L21" s="57">
        <v>21.5</v>
      </c>
      <c r="M21" s="57">
        <v>22.2</v>
      </c>
      <c r="N21" s="57">
        <v>25.5</v>
      </c>
      <c r="O21" s="57">
        <v>25.2</v>
      </c>
      <c r="P21" s="57">
        <v>25.2</v>
      </c>
      <c r="Q21" s="57">
        <v>23.5</v>
      </c>
      <c r="R21" s="57">
        <v>24.9</v>
      </c>
      <c r="S21" s="57">
        <v>23.8</v>
      </c>
      <c r="T21" s="57">
        <v>23</v>
      </c>
      <c r="U21" s="57">
        <v>23.8</v>
      </c>
      <c r="V21" s="57">
        <v>23.5</v>
      </c>
      <c r="W21" s="57">
        <v>23.9</v>
      </c>
      <c r="X21" s="57">
        <v>24.2</v>
      </c>
      <c r="Y21" s="57">
        <v>25.2</v>
      </c>
      <c r="Z21" s="57">
        <v>24.7</v>
      </c>
      <c r="AA21" s="57">
        <v>23.4</v>
      </c>
      <c r="AB21" s="57">
        <v>24.2</v>
      </c>
      <c r="AC21" s="57">
        <v>24.9</v>
      </c>
      <c r="AD21" s="57">
        <v>23.4</v>
      </c>
      <c r="AE21" s="57">
        <v>24.5</v>
      </c>
      <c r="AF21" s="57">
        <v>24.7</v>
      </c>
      <c r="AG21" s="57">
        <v>24.8</v>
      </c>
      <c r="AH21" s="57"/>
      <c r="AI21" s="57"/>
      <c r="AJ21" s="37">
        <f t="shared" si="0"/>
        <v>24.8</v>
      </c>
      <c r="AK21" s="21">
        <f t="shared" si="1"/>
        <v>25.5</v>
      </c>
      <c r="AL21" s="22">
        <v>26.8</v>
      </c>
      <c r="AM21" s="23">
        <f t="shared" si="2"/>
        <v>-1.3000000000000007</v>
      </c>
      <c r="AN21" s="23">
        <v>22.640735632183901</v>
      </c>
      <c r="AO21" s="23">
        <f t="shared" si="5"/>
        <v>23.886206896551723</v>
      </c>
      <c r="AP21" s="23">
        <f t="shared" si="4"/>
        <v>1.2454712643678221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25.8</v>
      </c>
      <c r="AM22" s="23" t="str">
        <f t="shared" si="2"/>
        <v/>
      </c>
      <c r="AN22" s="23">
        <v>21.05895114942529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28</v>
      </c>
      <c r="F23" s="57">
        <v>29.4</v>
      </c>
      <c r="G23" s="57">
        <v>27.6</v>
      </c>
      <c r="H23" s="57">
        <v>27</v>
      </c>
      <c r="I23" s="57">
        <v>26</v>
      </c>
      <c r="J23" s="57">
        <v>24.4</v>
      </c>
      <c r="K23" s="57">
        <v>26</v>
      </c>
      <c r="L23" s="57">
        <v>25.5</v>
      </c>
      <c r="M23" s="57">
        <v>27</v>
      </c>
      <c r="N23" s="57">
        <v>27.6</v>
      </c>
      <c r="O23" s="57">
        <v>30.5</v>
      </c>
      <c r="P23" s="57">
        <v>30.6</v>
      </c>
      <c r="Q23" s="57">
        <v>26.6</v>
      </c>
      <c r="R23" s="57">
        <v>26.9</v>
      </c>
      <c r="S23" s="57">
        <v>26.6</v>
      </c>
      <c r="T23" s="57">
        <v>26.9</v>
      </c>
      <c r="U23" s="57">
        <v>27.9</v>
      </c>
      <c r="V23" s="57">
        <v>26.6</v>
      </c>
      <c r="W23" s="57">
        <v>26.9</v>
      </c>
      <c r="X23" s="57">
        <v>28.3</v>
      </c>
      <c r="Y23" s="57">
        <v>28.3</v>
      </c>
      <c r="Z23" s="57">
        <v>29</v>
      </c>
      <c r="AA23" s="57">
        <v>27</v>
      </c>
      <c r="AB23" s="57">
        <v>28</v>
      </c>
      <c r="AC23" s="57">
        <v>28.9</v>
      </c>
      <c r="AD23" s="57">
        <v>29.8</v>
      </c>
      <c r="AE23" s="57">
        <v>31</v>
      </c>
      <c r="AF23" s="57">
        <v>30.8</v>
      </c>
      <c r="AG23" s="57">
        <v>30.7</v>
      </c>
      <c r="AH23" s="57"/>
      <c r="AI23" s="57"/>
      <c r="AJ23" s="37">
        <f t="shared" si="0"/>
        <v>30.7</v>
      </c>
      <c r="AK23" s="21">
        <f t="shared" si="1"/>
        <v>31</v>
      </c>
      <c r="AL23" s="22">
        <v>32.799999999999997</v>
      </c>
      <c r="AM23" s="23">
        <f t="shared" si="2"/>
        <v>-1.7999999999999972</v>
      </c>
      <c r="AN23" s="23">
        <v>26.313589743589748</v>
      </c>
      <c r="AO23" s="23">
        <f t="shared" si="5"/>
        <v>27.924137931034476</v>
      </c>
      <c r="AP23" s="23">
        <f t="shared" si="4"/>
        <v>1.6105481874447278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29.4</v>
      </c>
      <c r="F24" s="57">
        <v>30</v>
      </c>
      <c r="G24" s="57">
        <v>25.6</v>
      </c>
      <c r="H24" s="57">
        <v>27.5</v>
      </c>
      <c r="I24" s="57">
        <v>26.9</v>
      </c>
      <c r="J24" s="57">
        <v>25.6</v>
      </c>
      <c r="K24" s="57">
        <v>26.1</v>
      </c>
      <c r="L24" s="57">
        <v>24.2</v>
      </c>
      <c r="M24" s="57">
        <v>28</v>
      </c>
      <c r="N24" s="57">
        <v>28.5</v>
      </c>
      <c r="O24" s="57">
        <v>30.2</v>
      </c>
      <c r="P24" s="57">
        <v>29.2</v>
      </c>
      <c r="Q24" s="57">
        <v>27.9</v>
      </c>
      <c r="R24" s="57">
        <v>27.2</v>
      </c>
      <c r="S24" s="57">
        <v>26.9</v>
      </c>
      <c r="T24" s="57">
        <v>28.8</v>
      </c>
      <c r="U24" s="57">
        <v>28.4</v>
      </c>
      <c r="V24" s="57">
        <v>27.7</v>
      </c>
      <c r="W24" s="57">
        <v>28</v>
      </c>
      <c r="X24" s="57">
        <v>28.7</v>
      </c>
      <c r="Y24" s="57">
        <v>28.5</v>
      </c>
      <c r="Z24" s="57">
        <v>28.9</v>
      </c>
      <c r="AA24" s="57">
        <v>26.9</v>
      </c>
      <c r="AB24" s="57">
        <v>27.8</v>
      </c>
      <c r="AC24" s="57">
        <v>29.4</v>
      </c>
      <c r="AD24" s="57">
        <v>30</v>
      </c>
      <c r="AE24" s="57">
        <v>32.200000000000003</v>
      </c>
      <c r="AF24" s="57">
        <v>31.7</v>
      </c>
      <c r="AG24" s="57">
        <v>29.2</v>
      </c>
      <c r="AH24" s="57"/>
      <c r="AI24" s="57"/>
      <c r="AJ24" s="37">
        <f t="shared" si="0"/>
        <v>29.2</v>
      </c>
      <c r="AK24" s="21">
        <f t="shared" si="1"/>
        <v>32.200000000000003</v>
      </c>
      <c r="AL24" s="22">
        <v>34.200000000000003</v>
      </c>
      <c r="AM24" s="23">
        <f t="shared" si="2"/>
        <v>-2</v>
      </c>
      <c r="AN24" s="23">
        <v>27.744458977407849</v>
      </c>
      <c r="AO24" s="23">
        <f t="shared" si="5"/>
        <v>28.255172413793101</v>
      </c>
      <c r="AP24" s="23">
        <f t="shared" si="4"/>
        <v>0.51071343638525235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5">
        <v>33.4</v>
      </c>
      <c r="F25" s="66">
        <v>33.700000000000003</v>
      </c>
      <c r="G25" s="57">
        <v>31.2</v>
      </c>
      <c r="H25" s="57">
        <v>32</v>
      </c>
      <c r="I25" s="57">
        <v>25.8</v>
      </c>
      <c r="J25" s="57">
        <v>30.3</v>
      </c>
      <c r="K25" s="57">
        <v>27.9</v>
      </c>
      <c r="L25" s="57">
        <v>26.4</v>
      </c>
      <c r="M25" s="57">
        <v>27.8</v>
      </c>
      <c r="N25" s="57">
        <v>29.6</v>
      </c>
      <c r="O25" s="57">
        <v>32.1</v>
      </c>
      <c r="P25" s="57">
        <v>31.2</v>
      </c>
      <c r="Q25" s="57">
        <v>32</v>
      </c>
      <c r="R25" s="57">
        <v>29.2</v>
      </c>
      <c r="S25" s="57">
        <v>29.7</v>
      </c>
      <c r="T25" s="57">
        <v>28.8</v>
      </c>
      <c r="U25" s="57">
        <v>32.6</v>
      </c>
      <c r="V25" s="57">
        <v>30</v>
      </c>
      <c r="W25" s="57">
        <v>31.1</v>
      </c>
      <c r="X25" s="57">
        <v>32.799999999999997</v>
      </c>
      <c r="Y25" s="57">
        <v>31.6</v>
      </c>
      <c r="Z25" s="57">
        <v>31.9</v>
      </c>
      <c r="AA25" s="57">
        <v>31.2</v>
      </c>
      <c r="AB25" s="57">
        <v>28.7</v>
      </c>
      <c r="AC25" s="57">
        <v>31.4</v>
      </c>
      <c r="AD25" s="57">
        <v>31.3</v>
      </c>
      <c r="AE25" s="57">
        <v>32.4</v>
      </c>
      <c r="AF25" s="57">
        <v>33.200000000000003</v>
      </c>
      <c r="AG25" s="57">
        <v>32</v>
      </c>
      <c r="AH25" s="57"/>
      <c r="AI25" s="57"/>
      <c r="AJ25" s="37">
        <f t="shared" si="0"/>
        <v>32</v>
      </c>
      <c r="AK25" s="21">
        <f t="shared" si="1"/>
        <v>33.700000000000003</v>
      </c>
      <c r="AL25" s="22">
        <v>33.6</v>
      </c>
      <c r="AM25" s="23">
        <f t="shared" si="2"/>
        <v>0.10000000000000142</v>
      </c>
      <c r="AN25" s="23">
        <v>29.24511031840402</v>
      </c>
      <c r="AO25" s="23">
        <f t="shared" si="5"/>
        <v>30.734482758620693</v>
      </c>
      <c r="AP25" s="23">
        <f t="shared" si="4"/>
        <v>1.4893724402166733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20</v>
      </c>
      <c r="G26" s="57">
        <v>21.1</v>
      </c>
      <c r="H26" s="57">
        <v>21.2</v>
      </c>
      <c r="I26" s="57">
        <v>19</v>
      </c>
      <c r="J26" s="57">
        <v>19.100000000000001</v>
      </c>
      <c r="K26" s="57">
        <v>18.5</v>
      </c>
      <c r="L26" s="57">
        <v>16.899999999999999</v>
      </c>
      <c r="M26" s="57">
        <v>19.399999999999999</v>
      </c>
      <c r="N26" s="57">
        <v>21.5</v>
      </c>
      <c r="O26" s="57">
        <v>24.5</v>
      </c>
      <c r="P26" s="57">
        <v>20.6</v>
      </c>
      <c r="Q26" s="57">
        <v>19.7</v>
      </c>
      <c r="R26" s="57">
        <v>21.5</v>
      </c>
      <c r="S26" s="57">
        <v>20</v>
      </c>
      <c r="T26" s="57">
        <v>19.2</v>
      </c>
      <c r="U26" s="57">
        <v>19</v>
      </c>
      <c r="V26" s="57">
        <v>18.2</v>
      </c>
      <c r="W26" s="57">
        <v>21.1</v>
      </c>
      <c r="X26" s="57">
        <v>20.6</v>
      </c>
      <c r="Y26" s="57">
        <v>21.2</v>
      </c>
      <c r="Z26" s="57">
        <v>20</v>
      </c>
      <c r="AA26" s="57">
        <v>20.5</v>
      </c>
      <c r="AB26" s="57">
        <v>21.2</v>
      </c>
      <c r="AC26" s="57">
        <v>19.7</v>
      </c>
      <c r="AD26" s="57">
        <v>20</v>
      </c>
      <c r="AE26" s="57">
        <v>19.7</v>
      </c>
      <c r="AF26" s="57">
        <v>19.3</v>
      </c>
      <c r="AG26" s="57">
        <v>18.3</v>
      </c>
      <c r="AH26" s="57"/>
      <c r="AI26" s="57"/>
      <c r="AJ26" s="37">
        <f t="shared" si="0"/>
        <v>18.3</v>
      </c>
      <c r="AK26" s="21">
        <f t="shared" si="1"/>
        <v>24.5</v>
      </c>
      <c r="AL26" s="22">
        <v>23.1</v>
      </c>
      <c r="AM26" s="23">
        <f t="shared" si="2"/>
        <v>1.3999999999999986</v>
      </c>
      <c r="AN26" s="23">
        <v>18.936614070986479</v>
      </c>
      <c r="AO26" s="23">
        <f t="shared" si="5"/>
        <v>20.055172413793102</v>
      </c>
      <c r="AP26" s="23">
        <f t="shared" si="4"/>
        <v>1.1185583428066224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17.5</v>
      </c>
      <c r="F27" s="57">
        <v>17</v>
      </c>
      <c r="G27" s="57">
        <v>18.2</v>
      </c>
      <c r="H27" s="57">
        <v>19</v>
      </c>
      <c r="I27" s="57">
        <v>16</v>
      </c>
      <c r="J27" s="57">
        <v>18</v>
      </c>
      <c r="K27" s="57">
        <v>19.399999999999999</v>
      </c>
      <c r="L27" s="57">
        <v>19.3</v>
      </c>
      <c r="M27" s="57">
        <v>19.2</v>
      </c>
      <c r="N27" s="57">
        <v>25.2</v>
      </c>
      <c r="O27" s="57">
        <v>21.8</v>
      </c>
      <c r="P27" s="57">
        <v>21.2</v>
      </c>
      <c r="Q27" s="57">
        <v>21.6</v>
      </c>
      <c r="R27" s="57">
        <v>23.2</v>
      </c>
      <c r="S27" s="57">
        <v>19</v>
      </c>
      <c r="T27" s="57">
        <v>17.399999999999999</v>
      </c>
      <c r="U27" s="57">
        <v>19.8</v>
      </c>
      <c r="V27" s="57">
        <v>20</v>
      </c>
      <c r="W27" s="57">
        <v>19.7</v>
      </c>
      <c r="X27" s="57">
        <v>20</v>
      </c>
      <c r="Y27" s="57">
        <v>19.8</v>
      </c>
      <c r="Z27" s="57">
        <v>21</v>
      </c>
      <c r="AA27" s="57">
        <v>21</v>
      </c>
      <c r="AB27" s="57">
        <v>21</v>
      </c>
      <c r="AC27" s="57">
        <v>18.399999999999999</v>
      </c>
      <c r="AD27" s="57">
        <v>21.4</v>
      </c>
      <c r="AE27" s="57">
        <v>17.899999999999999</v>
      </c>
      <c r="AF27" s="57">
        <v>17.7</v>
      </c>
      <c r="AG27" s="57">
        <v>19.2</v>
      </c>
      <c r="AH27" s="57"/>
      <c r="AI27" s="57"/>
      <c r="AJ27" s="37">
        <f t="shared" si="0"/>
        <v>19.2</v>
      </c>
      <c r="AK27" s="21">
        <f t="shared" si="1"/>
        <v>25.2</v>
      </c>
      <c r="AL27" s="22">
        <v>21.6</v>
      </c>
      <c r="AM27" s="23">
        <f t="shared" si="2"/>
        <v>3.5999999999999979</v>
      </c>
      <c r="AN27" s="23">
        <v>17.123800011324391</v>
      </c>
      <c r="AO27" s="23">
        <f t="shared" si="5"/>
        <v>19.651724137931033</v>
      </c>
      <c r="AP27" s="23">
        <f t="shared" si="4"/>
        <v>2.5279241266066421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32.200000000000003</v>
      </c>
      <c r="F28" s="57">
        <v>31.2</v>
      </c>
      <c r="G28" s="57">
        <v>26.9</v>
      </c>
      <c r="H28" s="57">
        <v>30.1</v>
      </c>
      <c r="I28" s="57">
        <v>28</v>
      </c>
      <c r="J28" s="57">
        <v>26.7</v>
      </c>
      <c r="K28" s="57">
        <v>28</v>
      </c>
      <c r="L28" s="57">
        <v>28</v>
      </c>
      <c r="M28" s="57">
        <v>28.3</v>
      </c>
      <c r="N28" s="57">
        <v>30.1</v>
      </c>
      <c r="O28" s="57">
        <v>32.6</v>
      </c>
      <c r="P28" s="57">
        <v>32.1</v>
      </c>
      <c r="Q28" s="57">
        <v>29.8</v>
      </c>
      <c r="R28" s="57">
        <v>29</v>
      </c>
      <c r="S28" s="57">
        <v>29.6</v>
      </c>
      <c r="T28" s="57">
        <v>31.1</v>
      </c>
      <c r="U28" s="57">
        <v>31.2</v>
      </c>
      <c r="V28" s="57">
        <v>30.4</v>
      </c>
      <c r="W28" s="57">
        <v>32.5</v>
      </c>
      <c r="X28" s="57">
        <v>32</v>
      </c>
      <c r="Y28" s="57">
        <v>31.8</v>
      </c>
      <c r="Z28" s="57">
        <v>31.2</v>
      </c>
      <c r="AA28" s="57">
        <v>33.5</v>
      </c>
      <c r="AB28" s="57">
        <v>31.3</v>
      </c>
      <c r="AC28" s="57">
        <v>32.5</v>
      </c>
      <c r="AD28" s="57">
        <v>32.6</v>
      </c>
      <c r="AE28" s="57">
        <v>34.5</v>
      </c>
      <c r="AF28" s="57">
        <v>31.6</v>
      </c>
      <c r="AG28" s="57">
        <v>32.200000000000003</v>
      </c>
      <c r="AH28" s="57"/>
      <c r="AI28" s="57"/>
      <c r="AJ28" s="37">
        <f t="shared" si="0"/>
        <v>32.200000000000003</v>
      </c>
      <c r="AK28" s="21">
        <f t="shared" si="1"/>
        <v>34.5</v>
      </c>
      <c r="AL28" s="22">
        <v>33.200000000000003</v>
      </c>
      <c r="AM28" s="23">
        <f t="shared" si="2"/>
        <v>1.2999999999999972</v>
      </c>
      <c r="AN28" s="23">
        <v>29.810408684546619</v>
      </c>
      <c r="AO28" s="23">
        <f t="shared" si="5"/>
        <v>30.724137931034488</v>
      </c>
      <c r="AP28" s="23">
        <f t="shared" si="4"/>
        <v>0.91372924648786835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25.452657634721689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36.200000000000003</v>
      </c>
      <c r="F30" s="57">
        <v>35.4</v>
      </c>
      <c r="G30" s="57">
        <v>32.799999999999997</v>
      </c>
      <c r="H30" s="57">
        <v>34</v>
      </c>
      <c r="I30" s="57">
        <v>32.299999999999997</v>
      </c>
      <c r="J30" s="57">
        <v>34.799999999999997</v>
      </c>
      <c r="K30" s="57">
        <v>33</v>
      </c>
      <c r="L30" s="57">
        <v>30.8</v>
      </c>
      <c r="M30" s="57">
        <v>34</v>
      </c>
      <c r="N30" s="57">
        <v>31.6</v>
      </c>
      <c r="O30" s="57">
        <v>35</v>
      </c>
      <c r="P30" s="57">
        <v>36.299999999999997</v>
      </c>
      <c r="Q30" s="57">
        <v>34.799999999999997</v>
      </c>
      <c r="R30" s="57">
        <v>33.1</v>
      </c>
      <c r="S30" s="57">
        <v>32.4</v>
      </c>
      <c r="T30" s="57">
        <v>31.6</v>
      </c>
      <c r="U30" s="57">
        <v>33.700000000000003</v>
      </c>
      <c r="V30" s="57">
        <v>33</v>
      </c>
      <c r="W30" s="57">
        <v>34.799999999999997</v>
      </c>
      <c r="X30" s="57">
        <v>35.299999999999997</v>
      </c>
      <c r="Y30" s="57">
        <v>34</v>
      </c>
      <c r="Z30" s="57">
        <v>35</v>
      </c>
      <c r="AA30" s="57">
        <v>35.200000000000003</v>
      </c>
      <c r="AB30" s="57">
        <v>33.200000000000003</v>
      </c>
      <c r="AC30" s="57">
        <v>34.799999999999997</v>
      </c>
      <c r="AD30" s="57">
        <v>36.200000000000003</v>
      </c>
      <c r="AE30" s="57">
        <v>34.299999999999997</v>
      </c>
      <c r="AF30" s="57">
        <v>33.299999999999997</v>
      </c>
      <c r="AG30" s="57">
        <v>33.200000000000003</v>
      </c>
      <c r="AH30" s="57"/>
      <c r="AI30" s="57"/>
      <c r="AJ30" s="37">
        <f t="shared" si="0"/>
        <v>33.200000000000003</v>
      </c>
      <c r="AK30" s="21">
        <f t="shared" si="1"/>
        <v>36.299999999999997</v>
      </c>
      <c r="AL30" s="22">
        <v>37.9</v>
      </c>
      <c r="AM30" s="23">
        <f t="shared" si="2"/>
        <v>-1.6000000000000014</v>
      </c>
      <c r="AN30" s="23">
        <v>33.169954022988513</v>
      </c>
      <c r="AO30" s="23">
        <f t="shared" si="5"/>
        <v>33.934482758620689</v>
      </c>
      <c r="AP30" s="23">
        <f t="shared" si="4"/>
        <v>0.76452873563217594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29.2</v>
      </c>
      <c r="F31" s="57">
        <v>29</v>
      </c>
      <c r="G31" s="57">
        <v>25.3</v>
      </c>
      <c r="H31" s="57">
        <v>24.6</v>
      </c>
      <c r="I31" s="57">
        <v>25</v>
      </c>
      <c r="J31" s="57">
        <v>24</v>
      </c>
      <c r="K31" s="57">
        <v>23.7</v>
      </c>
      <c r="L31" s="57">
        <v>22.8</v>
      </c>
      <c r="M31" s="57">
        <v>23.2</v>
      </c>
      <c r="N31" s="57">
        <v>24.7</v>
      </c>
      <c r="O31" s="57">
        <v>27</v>
      </c>
      <c r="P31" s="57">
        <v>29</v>
      </c>
      <c r="Q31" s="57">
        <v>25.8</v>
      </c>
      <c r="R31" s="57">
        <v>27.2</v>
      </c>
      <c r="S31" s="57">
        <v>26.2</v>
      </c>
      <c r="T31" s="57">
        <v>26</v>
      </c>
      <c r="U31" s="57">
        <v>26.4</v>
      </c>
      <c r="V31" s="57">
        <v>27.1</v>
      </c>
      <c r="W31" s="57">
        <v>27.3</v>
      </c>
      <c r="X31" s="57">
        <v>27.4</v>
      </c>
      <c r="Y31" s="57">
        <v>26.6</v>
      </c>
      <c r="Z31" s="57">
        <v>26.4</v>
      </c>
      <c r="AA31" s="57">
        <v>23.8</v>
      </c>
      <c r="AB31" s="57">
        <v>26.8</v>
      </c>
      <c r="AC31" s="57">
        <v>27.5</v>
      </c>
      <c r="AD31" s="57">
        <v>27.8</v>
      </c>
      <c r="AE31" s="57">
        <v>28.6</v>
      </c>
      <c r="AF31" s="57">
        <v>27.8</v>
      </c>
      <c r="AG31" s="57">
        <v>27.6</v>
      </c>
      <c r="AH31" s="57"/>
      <c r="AI31" s="57"/>
      <c r="AJ31" s="37">
        <f t="shared" si="0"/>
        <v>27.6</v>
      </c>
      <c r="AK31" s="21">
        <f t="shared" si="1"/>
        <v>29.2</v>
      </c>
      <c r="AL31" s="22">
        <v>29.4</v>
      </c>
      <c r="AM31" s="23">
        <f t="shared" si="2"/>
        <v>-0.19999999999999929</v>
      </c>
      <c r="AN31" s="23">
        <v>24.633352490421451</v>
      </c>
      <c r="AO31" s="23">
        <f t="shared" si="5"/>
        <v>26.337931034482754</v>
      </c>
      <c r="AP31" s="23">
        <f t="shared" si="4"/>
        <v>1.7045785440613024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20.2</v>
      </c>
      <c r="F32" s="57">
        <v>20.399999999999999</v>
      </c>
      <c r="G32" s="57">
        <v>19</v>
      </c>
      <c r="H32" s="57">
        <v>19.2</v>
      </c>
      <c r="I32" s="57">
        <v>18.399999999999999</v>
      </c>
      <c r="J32" s="57">
        <v>17.600000000000001</v>
      </c>
      <c r="K32" s="57">
        <v>19.2</v>
      </c>
      <c r="L32" s="57">
        <v>19</v>
      </c>
      <c r="M32" s="57">
        <v>15.8</v>
      </c>
      <c r="N32" s="57">
        <v>20.399999999999999</v>
      </c>
      <c r="O32" s="57">
        <v>23.4</v>
      </c>
      <c r="P32" s="57">
        <v>20.8</v>
      </c>
      <c r="Q32" s="57">
        <v>16.8</v>
      </c>
      <c r="R32" s="57">
        <v>18.600000000000001</v>
      </c>
      <c r="S32" s="57">
        <v>17.600000000000001</v>
      </c>
      <c r="T32" s="57">
        <v>16.2</v>
      </c>
      <c r="U32" s="57">
        <v>16.399999999999999</v>
      </c>
      <c r="V32" s="57">
        <v>18.2</v>
      </c>
      <c r="W32" s="57">
        <v>20.399999999999999</v>
      </c>
      <c r="X32" s="57">
        <v>17.8</v>
      </c>
      <c r="Y32" s="57">
        <v>16</v>
      </c>
      <c r="Z32" s="57">
        <v>18.2</v>
      </c>
      <c r="AA32" s="57">
        <v>18.2</v>
      </c>
      <c r="AB32" s="57">
        <v>20.6</v>
      </c>
      <c r="AC32" s="57">
        <v>18</v>
      </c>
      <c r="AD32" s="57">
        <v>17.600000000000001</v>
      </c>
      <c r="AE32" s="57">
        <v>17.2</v>
      </c>
      <c r="AF32" s="57">
        <v>17.399999999999999</v>
      </c>
      <c r="AG32" s="57">
        <v>18.600000000000001</v>
      </c>
      <c r="AH32" s="57"/>
      <c r="AI32" s="57"/>
      <c r="AJ32" s="37">
        <f t="shared" si="0"/>
        <v>18.600000000000001</v>
      </c>
      <c r="AK32" s="21">
        <f t="shared" si="1"/>
        <v>23.4</v>
      </c>
      <c r="AL32" s="22">
        <v>22.2</v>
      </c>
      <c r="AM32" s="23">
        <f t="shared" si="2"/>
        <v>1.1999999999999993</v>
      </c>
      <c r="AN32" s="27">
        <v>16.87570238877931</v>
      </c>
      <c r="AO32" s="23">
        <f t="shared" si="5"/>
        <v>18.524137931034485</v>
      </c>
      <c r="AP32" s="23">
        <f t="shared" si="4"/>
        <v>1.6484355422551751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17.2</v>
      </c>
      <c r="F33" s="57">
        <v>17.399999999999999</v>
      </c>
      <c r="G33" s="57">
        <v>16.600000000000001</v>
      </c>
      <c r="H33" s="57">
        <v>17</v>
      </c>
      <c r="I33" s="57">
        <v>15.6</v>
      </c>
      <c r="J33" s="57">
        <v>17</v>
      </c>
      <c r="K33" s="57">
        <v>17.600000000000001</v>
      </c>
      <c r="L33" s="57">
        <v>18.2</v>
      </c>
      <c r="M33" s="57">
        <v>16</v>
      </c>
      <c r="N33" s="57">
        <v>17.8</v>
      </c>
      <c r="O33" s="57">
        <v>20</v>
      </c>
      <c r="P33" s="57">
        <v>18.600000000000001</v>
      </c>
      <c r="Q33" s="57">
        <v>14.8</v>
      </c>
      <c r="R33" s="57">
        <v>16.600000000000001</v>
      </c>
      <c r="S33" s="57">
        <v>15.4</v>
      </c>
      <c r="T33" s="57">
        <v>13.6</v>
      </c>
      <c r="U33" s="57">
        <v>15.2</v>
      </c>
      <c r="V33" s="57">
        <v>16</v>
      </c>
      <c r="W33" s="57">
        <v>16.600000000000001</v>
      </c>
      <c r="X33" s="57">
        <v>15.2</v>
      </c>
      <c r="Y33" s="57">
        <v>15.8</v>
      </c>
      <c r="Z33" s="57">
        <v>14.6</v>
      </c>
      <c r="AA33" s="57">
        <v>16.600000000000001</v>
      </c>
      <c r="AB33" s="57">
        <v>16.2</v>
      </c>
      <c r="AC33" s="57">
        <v>15.8</v>
      </c>
      <c r="AD33" s="57">
        <v>16.2</v>
      </c>
      <c r="AE33" s="57">
        <v>15.8</v>
      </c>
      <c r="AF33" s="57">
        <v>15.2</v>
      </c>
      <c r="AG33" s="57">
        <v>15.8</v>
      </c>
      <c r="AH33" s="57"/>
      <c r="AI33" s="57"/>
      <c r="AJ33" s="37">
        <f t="shared" si="0"/>
        <v>15.8</v>
      </c>
      <c r="AK33" s="21">
        <f t="shared" si="1"/>
        <v>20</v>
      </c>
      <c r="AL33" s="22">
        <v>19.399999999999999</v>
      </c>
      <c r="AM33" s="23">
        <f t="shared" si="2"/>
        <v>0.60000000000000142</v>
      </c>
      <c r="AN33" s="23">
        <v>15.328739595719391</v>
      </c>
      <c r="AO33" s="23">
        <f t="shared" si="5"/>
        <v>16.358620689655172</v>
      </c>
      <c r="AP33" s="23">
        <f t="shared" si="4"/>
        <v>1.0298810939357814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30.8</v>
      </c>
      <c r="F35" s="57">
        <v>32.4</v>
      </c>
      <c r="G35" s="57">
        <v>28.2</v>
      </c>
      <c r="H35" s="57">
        <v>31.4</v>
      </c>
      <c r="I35" s="57">
        <v>31.4</v>
      </c>
      <c r="J35" s="57">
        <v>29</v>
      </c>
      <c r="K35" s="57">
        <v>30.6</v>
      </c>
      <c r="L35" s="57">
        <v>31.6</v>
      </c>
      <c r="M35" s="57">
        <v>32.799999999999997</v>
      </c>
      <c r="N35" s="57">
        <v>34.799999999999997</v>
      </c>
      <c r="O35" s="57">
        <v>34.200000000000003</v>
      </c>
      <c r="P35" s="57">
        <v>34.4</v>
      </c>
      <c r="Q35" s="57">
        <v>28.4</v>
      </c>
      <c r="R35" s="57">
        <v>32.6</v>
      </c>
      <c r="S35" s="57">
        <v>30.4</v>
      </c>
      <c r="T35" s="57">
        <v>31.2</v>
      </c>
      <c r="U35" s="57">
        <v>30.4</v>
      </c>
      <c r="V35" s="57">
        <v>33.200000000000003</v>
      </c>
      <c r="W35" s="57">
        <v>32.799999999999997</v>
      </c>
      <c r="X35" s="57">
        <v>32.799999999999997</v>
      </c>
      <c r="Y35" s="57">
        <v>32.6</v>
      </c>
      <c r="Z35" s="57">
        <v>30.8</v>
      </c>
      <c r="AA35" s="57">
        <v>29.6</v>
      </c>
      <c r="AB35" s="57">
        <v>30.8</v>
      </c>
      <c r="AC35" s="57">
        <v>32.200000000000003</v>
      </c>
      <c r="AD35" s="57">
        <v>31.2</v>
      </c>
      <c r="AE35" s="57">
        <v>33.4</v>
      </c>
      <c r="AF35" s="57">
        <v>33.799999999999997</v>
      </c>
      <c r="AG35" s="57">
        <v>32.4</v>
      </c>
      <c r="AH35" s="57"/>
      <c r="AI35" s="57"/>
      <c r="AJ35" s="37">
        <f t="shared" si="0"/>
        <v>32.4</v>
      </c>
      <c r="AK35" s="21">
        <f t="shared" si="1"/>
        <v>34.799999999999997</v>
      </c>
      <c r="AL35" s="22">
        <v>35.4</v>
      </c>
      <c r="AM35" s="23">
        <f t="shared" si="2"/>
        <v>-0.60000000000000142</v>
      </c>
      <c r="AN35" s="23">
        <v>31.00361474435196</v>
      </c>
      <c r="AO35" s="23">
        <f>IF(COUNTIF(E35:AI35,"&gt;0")&gt;=15,AVERAGE(E35:AI35),"")</f>
        <v>31.731034482758613</v>
      </c>
      <c r="AP35" s="23">
        <f t="shared" si="4"/>
        <v>0.72741973840665253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34.4</v>
      </c>
      <c r="AM36" s="23" t="str">
        <f t="shared" si="2"/>
        <v/>
      </c>
      <c r="AN36" s="23">
        <v>30.271666666666668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31.2</v>
      </c>
      <c r="F38" s="57">
        <v>27.9</v>
      </c>
      <c r="G38" s="57">
        <v>30.1</v>
      </c>
      <c r="H38" s="57">
        <v>30.3</v>
      </c>
      <c r="I38" s="57">
        <v>29.9</v>
      </c>
      <c r="J38" s="57">
        <v>31.4</v>
      </c>
      <c r="K38" s="57">
        <v>29.6</v>
      </c>
      <c r="L38" s="57">
        <v>28.3</v>
      </c>
      <c r="M38" s="57">
        <v>32.6</v>
      </c>
      <c r="N38" s="57">
        <v>32.1</v>
      </c>
      <c r="O38" s="57">
        <v>31.4</v>
      </c>
      <c r="P38" s="57">
        <v>33</v>
      </c>
      <c r="Q38" s="57">
        <v>32.6</v>
      </c>
      <c r="R38" s="57">
        <v>32.4</v>
      </c>
      <c r="S38" s="57">
        <v>28.9</v>
      </c>
      <c r="T38" s="57">
        <v>30.6</v>
      </c>
      <c r="U38" s="57">
        <v>30.1</v>
      </c>
      <c r="V38" s="57">
        <v>31.4</v>
      </c>
      <c r="W38" s="57">
        <v>31.9</v>
      </c>
      <c r="X38" s="57">
        <v>32.200000000000003</v>
      </c>
      <c r="Y38" s="57">
        <v>32.9</v>
      </c>
      <c r="Z38" s="57">
        <v>29.7</v>
      </c>
      <c r="AA38" s="57">
        <v>32.6</v>
      </c>
      <c r="AB38" s="57">
        <v>31.2</v>
      </c>
      <c r="AC38" s="57">
        <v>32.1</v>
      </c>
      <c r="AD38" s="57">
        <v>32.299999999999997</v>
      </c>
      <c r="AE38" s="57">
        <v>32.1</v>
      </c>
      <c r="AF38" s="57">
        <v>26.9</v>
      </c>
      <c r="AG38" s="57">
        <v>33.4</v>
      </c>
      <c r="AH38" s="57"/>
      <c r="AI38" s="57"/>
      <c r="AJ38" s="37">
        <f t="shared" si="0"/>
        <v>33.4</v>
      </c>
      <c r="AK38" s="21">
        <f t="shared" si="1"/>
        <v>33.4</v>
      </c>
      <c r="AL38" s="22">
        <v>35.4</v>
      </c>
      <c r="AM38" s="23">
        <f t="shared" si="2"/>
        <v>-2</v>
      </c>
      <c r="AN38" s="23">
        <v>30.144029439361951</v>
      </c>
      <c r="AO38" s="23">
        <f>IF(COUNTIF(E38:AI38,"&gt;0")&gt;=15,AVERAGE(E38:AI38),"")</f>
        <v>31.072413793103451</v>
      </c>
      <c r="AP38" s="23">
        <f t="shared" si="4"/>
        <v>0.92838435374149952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31.2</v>
      </c>
      <c r="F39" s="57">
        <v>32.200000000000003</v>
      </c>
      <c r="G39" s="57">
        <v>32</v>
      </c>
      <c r="H39" s="57">
        <v>26.4</v>
      </c>
      <c r="I39" s="57">
        <v>30.4</v>
      </c>
      <c r="J39" s="57">
        <v>31.4</v>
      </c>
      <c r="K39" s="57">
        <v>30.4</v>
      </c>
      <c r="L39" s="57">
        <v>31.4</v>
      </c>
      <c r="M39" s="57">
        <v>33.6</v>
      </c>
      <c r="N39" s="57">
        <v>34.200000000000003</v>
      </c>
      <c r="O39" s="57">
        <v>26</v>
      </c>
      <c r="P39" s="57">
        <v>32.200000000000003</v>
      </c>
      <c r="Q39" s="57">
        <v>34.200000000000003</v>
      </c>
      <c r="R39" s="57">
        <v>32.799999999999997</v>
      </c>
      <c r="S39" s="57">
        <v>31</v>
      </c>
      <c r="T39" s="57">
        <v>30.4</v>
      </c>
      <c r="U39" s="57">
        <v>30</v>
      </c>
      <c r="V39" s="57">
        <v>29</v>
      </c>
      <c r="W39" s="57">
        <v>33</v>
      </c>
      <c r="X39" s="57">
        <v>33.799999999999997</v>
      </c>
      <c r="Y39" s="57">
        <v>33.799999999999997</v>
      </c>
      <c r="Z39" s="57">
        <v>32.6</v>
      </c>
      <c r="AA39" s="57">
        <v>32.6</v>
      </c>
      <c r="AB39" s="57">
        <v>29.6</v>
      </c>
      <c r="AC39" s="57">
        <v>31.8</v>
      </c>
      <c r="AD39" s="57">
        <v>33.4</v>
      </c>
      <c r="AE39" s="57">
        <v>32.200000000000003</v>
      </c>
      <c r="AF39" s="57">
        <v>29</v>
      </c>
      <c r="AG39" s="57">
        <v>31.2</v>
      </c>
      <c r="AH39" s="57"/>
      <c r="AI39" s="57"/>
      <c r="AJ39" s="37">
        <f t="shared" si="0"/>
        <v>31.2</v>
      </c>
      <c r="AK39" s="21">
        <f t="shared" si="1"/>
        <v>34.200000000000003</v>
      </c>
      <c r="AL39" s="22">
        <v>39.6</v>
      </c>
      <c r="AM39" s="23">
        <f t="shared" si="2"/>
        <v>-5.3999999999999986</v>
      </c>
      <c r="AN39" s="23">
        <v>31.297969348658992</v>
      </c>
      <c r="AO39" s="23">
        <f t="shared" ref="AO39:AO48" si="7">IF(COUNTIF(E39:AI39,"&gt;0")&gt;=15,AVERAGE(E39:AI39),"")</f>
        <v>31.441379310344825</v>
      </c>
      <c r="AP39" s="23">
        <f t="shared" si="4"/>
        <v>0.14340996168583331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30.1</v>
      </c>
      <c r="F40" s="57">
        <v>30.2</v>
      </c>
      <c r="G40" s="57">
        <v>29.1</v>
      </c>
      <c r="H40" s="57">
        <v>29.6</v>
      </c>
      <c r="I40" s="57">
        <v>26.7</v>
      </c>
      <c r="J40" s="57">
        <v>29.2</v>
      </c>
      <c r="K40" s="57">
        <v>26.8</v>
      </c>
      <c r="L40" s="57">
        <v>29.6</v>
      </c>
      <c r="M40" s="57">
        <v>30.2</v>
      </c>
      <c r="N40" s="57">
        <v>31.2</v>
      </c>
      <c r="O40" s="57">
        <v>30.1</v>
      </c>
      <c r="P40" s="57">
        <v>30.3</v>
      </c>
      <c r="Q40" s="57">
        <v>30.4</v>
      </c>
      <c r="R40" s="57">
        <v>28.4</v>
      </c>
      <c r="S40" s="57">
        <v>28.6</v>
      </c>
      <c r="T40" s="57">
        <v>28.8</v>
      </c>
      <c r="U40" s="57">
        <v>30.2</v>
      </c>
      <c r="V40" s="57">
        <v>31.4</v>
      </c>
      <c r="W40" s="57">
        <v>30.1</v>
      </c>
      <c r="X40" s="57">
        <v>30.6</v>
      </c>
      <c r="Y40" s="57">
        <v>30</v>
      </c>
      <c r="Z40" s="57">
        <v>30</v>
      </c>
      <c r="AA40" s="57">
        <v>31.6</v>
      </c>
      <c r="AB40" s="57">
        <v>29.6</v>
      </c>
      <c r="AC40" s="57">
        <v>30.2</v>
      </c>
      <c r="AD40" s="57">
        <v>31.4</v>
      </c>
      <c r="AE40" s="57">
        <v>29.8</v>
      </c>
      <c r="AF40" s="57">
        <v>29</v>
      </c>
      <c r="AG40" s="57">
        <v>29.6</v>
      </c>
      <c r="AH40" s="57"/>
      <c r="AI40" s="57"/>
      <c r="AJ40" s="37">
        <f t="shared" si="0"/>
        <v>29.6</v>
      </c>
      <c r="AK40" s="21">
        <f t="shared" si="1"/>
        <v>31.6</v>
      </c>
      <c r="AL40" s="22">
        <v>33.200000000000003</v>
      </c>
      <c r="AM40" s="23">
        <f t="shared" si="2"/>
        <v>-1.6000000000000014</v>
      </c>
      <c r="AN40" s="23">
        <v>29.06377777777778</v>
      </c>
      <c r="AO40" s="23">
        <f t="shared" si="7"/>
        <v>29.751724137931038</v>
      </c>
      <c r="AP40" s="23">
        <f t="shared" si="4"/>
        <v>0.6879463601532585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31.2</v>
      </c>
      <c r="F41" s="57">
        <v>30.8</v>
      </c>
      <c r="G41" s="57">
        <v>30.4</v>
      </c>
      <c r="H41" s="57">
        <v>29.8</v>
      </c>
      <c r="I41" s="57">
        <v>28</v>
      </c>
      <c r="J41" s="57">
        <v>30.4</v>
      </c>
      <c r="K41" s="57">
        <v>28.6</v>
      </c>
      <c r="L41" s="57">
        <v>29.4</v>
      </c>
      <c r="M41" s="57">
        <v>32</v>
      </c>
      <c r="N41" s="57">
        <v>33</v>
      </c>
      <c r="O41" s="57">
        <v>30</v>
      </c>
      <c r="P41" s="57">
        <v>31.2</v>
      </c>
      <c r="Q41" s="57"/>
      <c r="R41" s="57"/>
      <c r="S41" s="57">
        <v>26.6</v>
      </c>
      <c r="T41" s="57">
        <v>29.2</v>
      </c>
      <c r="U41" s="57">
        <v>30.9</v>
      </c>
      <c r="V41" s="57">
        <v>31</v>
      </c>
      <c r="W41" s="57">
        <v>30.6</v>
      </c>
      <c r="X41" s="57">
        <v>31.4</v>
      </c>
      <c r="Y41" s="57">
        <v>28.8</v>
      </c>
      <c r="Z41" s="57">
        <v>30.4</v>
      </c>
      <c r="AA41" s="57">
        <v>32.6</v>
      </c>
      <c r="AB41" s="57">
        <v>31.6</v>
      </c>
      <c r="AC41" s="57">
        <v>31.4</v>
      </c>
      <c r="AD41" s="57">
        <v>33</v>
      </c>
      <c r="AE41" s="57">
        <v>31.4</v>
      </c>
      <c r="AF41" s="57">
        <v>29.8</v>
      </c>
      <c r="AG41" s="57">
        <v>30</v>
      </c>
      <c r="AH41" s="57"/>
      <c r="AI41" s="57"/>
      <c r="AJ41" s="37">
        <f t="shared" si="0"/>
        <v>30</v>
      </c>
      <c r="AK41" s="21">
        <f t="shared" si="1"/>
        <v>33</v>
      </c>
      <c r="AL41" s="22">
        <v>34.200000000000003</v>
      </c>
      <c r="AM41" s="23">
        <f t="shared" si="2"/>
        <v>-1.2000000000000028</v>
      </c>
      <c r="AN41" s="23">
        <v>29.39521839080459</v>
      </c>
      <c r="AO41" s="23">
        <f t="shared" si="7"/>
        <v>30.499999999999996</v>
      </c>
      <c r="AP41" s="23">
        <f t="shared" si="4"/>
        <v>1.1047816091954061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29.86086512299406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67"/>
      <c r="F43" s="57">
        <v>32.4</v>
      </c>
      <c r="G43" s="57">
        <v>28.8</v>
      </c>
      <c r="H43" s="57">
        <v>25.8</v>
      </c>
      <c r="I43" s="57">
        <v>29</v>
      </c>
      <c r="J43" s="57">
        <v>29.6</v>
      </c>
      <c r="K43" s="57">
        <v>27</v>
      </c>
      <c r="L43" s="57">
        <v>30</v>
      </c>
      <c r="M43" s="57">
        <v>32.6</v>
      </c>
      <c r="N43" s="57">
        <v>29.2</v>
      </c>
      <c r="O43" s="57">
        <v>31</v>
      </c>
      <c r="P43" s="57">
        <v>33.6</v>
      </c>
      <c r="Q43" s="57">
        <v>33</v>
      </c>
      <c r="R43" s="57">
        <v>31.8</v>
      </c>
      <c r="S43" s="57">
        <v>31</v>
      </c>
      <c r="T43" s="57">
        <v>29.2</v>
      </c>
      <c r="U43" s="57">
        <v>29</v>
      </c>
      <c r="V43" s="57">
        <v>30.6</v>
      </c>
      <c r="W43" s="57">
        <v>32</v>
      </c>
      <c r="X43" s="57">
        <v>33</v>
      </c>
      <c r="Y43" s="57">
        <v>31.4</v>
      </c>
      <c r="Z43" s="57">
        <v>30.4</v>
      </c>
      <c r="AA43" s="57">
        <v>27.2</v>
      </c>
      <c r="AB43" s="57">
        <v>25.2</v>
      </c>
      <c r="AC43" s="57">
        <v>32</v>
      </c>
      <c r="AD43" s="57">
        <v>33</v>
      </c>
      <c r="AE43" s="57">
        <v>30.8</v>
      </c>
      <c r="AF43" s="57">
        <v>31</v>
      </c>
      <c r="AG43" s="57">
        <v>29.4</v>
      </c>
      <c r="AH43" s="57"/>
      <c r="AI43" s="57"/>
      <c r="AJ43" s="37">
        <f t="shared" si="0"/>
        <v>29.4</v>
      </c>
      <c r="AK43" s="21">
        <f t="shared" si="1"/>
        <v>33.6</v>
      </c>
      <c r="AL43" s="22">
        <v>35</v>
      </c>
      <c r="AM43" s="23">
        <f t="shared" si="2"/>
        <v>-1.3999999999999986</v>
      </c>
      <c r="AN43" s="23">
        <v>30.231759411299642</v>
      </c>
      <c r="AO43" s="23">
        <f t="shared" si="7"/>
        <v>30.321428571428573</v>
      </c>
      <c r="AP43" s="23">
        <f t="shared" si="4"/>
        <v>8.9669160128931225E-2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31.2</v>
      </c>
      <c r="F44" s="29">
        <v>30.4</v>
      </c>
      <c r="G44" s="29">
        <v>29.1</v>
      </c>
      <c r="H44" s="29">
        <v>30.4</v>
      </c>
      <c r="I44" s="29">
        <v>29</v>
      </c>
      <c r="J44" s="29">
        <v>30.3</v>
      </c>
      <c r="K44" s="29">
        <v>30.1</v>
      </c>
      <c r="L44" s="29">
        <v>30.3</v>
      </c>
      <c r="M44" s="29">
        <v>31.3</v>
      </c>
      <c r="N44" s="29">
        <v>31.4</v>
      </c>
      <c r="O44" s="29">
        <v>30.4</v>
      </c>
      <c r="P44" s="29">
        <v>30.3</v>
      </c>
      <c r="Q44" s="29">
        <v>30</v>
      </c>
      <c r="R44" s="29">
        <v>32.1</v>
      </c>
      <c r="S44" s="29">
        <v>29.3</v>
      </c>
      <c r="T44" s="29">
        <v>30.3</v>
      </c>
      <c r="U44" s="29">
        <v>29.3</v>
      </c>
      <c r="V44" s="29">
        <v>30.4</v>
      </c>
      <c r="W44" s="29">
        <v>30.3</v>
      </c>
      <c r="X44" s="29">
        <v>32</v>
      </c>
      <c r="Y44" s="29">
        <v>29.1</v>
      </c>
      <c r="Z44" s="29">
        <v>36</v>
      </c>
      <c r="AA44" s="29">
        <v>31.1</v>
      </c>
      <c r="AB44" s="29">
        <v>32.200000000000003</v>
      </c>
      <c r="AC44" s="29">
        <v>32</v>
      </c>
      <c r="AD44" s="29">
        <v>33</v>
      </c>
      <c r="AE44" s="57"/>
      <c r="AF44" s="57">
        <v>30.3</v>
      </c>
      <c r="AG44" s="57">
        <v>29.4</v>
      </c>
      <c r="AH44" s="57"/>
      <c r="AI44" s="57"/>
      <c r="AJ44" s="37">
        <f t="shared" si="0"/>
        <v>29.4</v>
      </c>
      <c r="AK44" s="21">
        <f t="shared" si="1"/>
        <v>36</v>
      </c>
      <c r="AL44" s="22">
        <v>36.799999999999997</v>
      </c>
      <c r="AM44" s="23">
        <f t="shared" si="2"/>
        <v>-0.79999999999999716</v>
      </c>
      <c r="AN44" s="23">
        <v>29.08935960591133</v>
      </c>
      <c r="AO44" s="23">
        <f t="shared" si="7"/>
        <v>30.75</v>
      </c>
      <c r="AP44" s="23">
        <f t="shared" si="4"/>
        <v>1.66064039408867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26.2</v>
      </c>
      <c r="F45" s="57">
        <v>32</v>
      </c>
      <c r="G45" s="57">
        <v>32.4</v>
      </c>
      <c r="H45" s="57">
        <v>30.6</v>
      </c>
      <c r="I45" s="57">
        <v>25.8</v>
      </c>
      <c r="J45" s="57">
        <v>30.4</v>
      </c>
      <c r="K45" s="57">
        <v>25.6</v>
      </c>
      <c r="L45" s="57">
        <v>30.2</v>
      </c>
      <c r="M45" s="57">
        <v>30.4</v>
      </c>
      <c r="N45" s="57">
        <v>32.4</v>
      </c>
      <c r="O45" s="57">
        <v>32.200000000000003</v>
      </c>
      <c r="P45" s="57">
        <v>32.4</v>
      </c>
      <c r="Q45" s="57">
        <v>32.4</v>
      </c>
      <c r="R45" s="57">
        <v>32.799999999999997</v>
      </c>
      <c r="S45" s="57"/>
      <c r="T45" s="57">
        <v>28.6</v>
      </c>
      <c r="U45" s="57">
        <v>30.8</v>
      </c>
      <c r="V45" s="57">
        <v>31.8</v>
      </c>
      <c r="W45" s="57">
        <v>32</v>
      </c>
      <c r="X45" s="57">
        <v>31.6</v>
      </c>
      <c r="Y45" s="57">
        <v>31.8</v>
      </c>
      <c r="Z45" s="57">
        <v>30</v>
      </c>
      <c r="AA45" s="57">
        <v>31</v>
      </c>
      <c r="AB45" s="57">
        <v>25.4</v>
      </c>
      <c r="AC45" s="57">
        <v>31.4</v>
      </c>
      <c r="AD45" s="57">
        <v>31.2</v>
      </c>
      <c r="AE45" s="57">
        <v>30.2</v>
      </c>
      <c r="AF45" s="57">
        <v>31.6</v>
      </c>
      <c r="AG45" s="57">
        <v>28.2</v>
      </c>
      <c r="AH45" s="57"/>
      <c r="AI45" s="57"/>
      <c r="AJ45" s="37">
        <f t="shared" si="0"/>
        <v>28.2</v>
      </c>
      <c r="AK45" s="21">
        <f t="shared" si="1"/>
        <v>32.799999999999997</v>
      </c>
      <c r="AL45" s="22">
        <v>33.4</v>
      </c>
      <c r="AM45" s="23">
        <f t="shared" si="2"/>
        <v>-0.60000000000000142</v>
      </c>
      <c r="AN45" s="23">
        <v>29.634685374149662</v>
      </c>
      <c r="AO45" s="23">
        <f t="shared" si="7"/>
        <v>30.407142857142855</v>
      </c>
      <c r="AP45" s="23">
        <f t="shared" si="4"/>
        <v>0.77245748299319317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>
        <v>24.4</v>
      </c>
      <c r="I46" s="57">
        <v>23.6</v>
      </c>
      <c r="J46" s="57"/>
      <c r="K46" s="57"/>
      <c r="L46" s="57">
        <v>29</v>
      </c>
      <c r="M46" s="57"/>
      <c r="N46" s="57">
        <v>27.6</v>
      </c>
      <c r="O46" s="57"/>
      <c r="P46" s="57">
        <v>29.8</v>
      </c>
      <c r="Q46" s="57">
        <v>24</v>
      </c>
      <c r="R46" s="57"/>
      <c r="S46" s="57"/>
      <c r="T46" s="57">
        <v>24.4</v>
      </c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>
        <f t="shared" si="0"/>
        <v>24.4</v>
      </c>
      <c r="AK46" s="21">
        <f t="shared" si="1"/>
        <v>29.8</v>
      </c>
      <c r="AL46" s="22">
        <v>31</v>
      </c>
      <c r="AM46" s="23">
        <f t="shared" si="2"/>
        <v>-1.1999999999999993</v>
      </c>
      <c r="AN46" s="23">
        <v>26.492377120963329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29.114432687854439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29.8</v>
      </c>
      <c r="F48" s="57">
        <v>28.2</v>
      </c>
      <c r="G48" s="57">
        <v>32.6</v>
      </c>
      <c r="H48" s="57">
        <v>32.299999999999997</v>
      </c>
      <c r="I48" s="57">
        <v>30.3</v>
      </c>
      <c r="J48" s="57">
        <v>30.4</v>
      </c>
      <c r="K48" s="57">
        <v>30</v>
      </c>
      <c r="L48" s="57">
        <v>30.6</v>
      </c>
      <c r="M48" s="57">
        <v>27.9</v>
      </c>
      <c r="N48" s="57">
        <v>26</v>
      </c>
      <c r="O48" s="57">
        <v>30.4</v>
      </c>
      <c r="P48" s="57">
        <v>28</v>
      </c>
      <c r="Q48" s="57">
        <v>30.2</v>
      </c>
      <c r="R48" s="57">
        <v>32.299999999999997</v>
      </c>
      <c r="S48" s="57">
        <v>30.6</v>
      </c>
      <c r="T48" s="57">
        <v>31.5</v>
      </c>
      <c r="U48" s="57">
        <v>30.2</v>
      </c>
      <c r="V48" s="57">
        <v>30.6</v>
      </c>
      <c r="W48" s="57">
        <v>30.2</v>
      </c>
      <c r="X48" s="57">
        <v>29.2</v>
      </c>
      <c r="Y48" s="57">
        <v>29</v>
      </c>
      <c r="Z48" s="57">
        <v>31.8</v>
      </c>
      <c r="AA48" s="57">
        <v>31.1</v>
      </c>
      <c r="AB48" s="57">
        <v>30.8</v>
      </c>
      <c r="AC48" s="57">
        <v>28.8</v>
      </c>
      <c r="AD48" s="57">
        <v>26.8</v>
      </c>
      <c r="AE48" s="57">
        <v>29.2</v>
      </c>
      <c r="AF48" s="57">
        <v>29.2</v>
      </c>
      <c r="AG48" s="57">
        <v>29.1</v>
      </c>
      <c r="AH48" s="57"/>
      <c r="AI48" s="57"/>
      <c r="AJ48" s="37">
        <f t="shared" si="0"/>
        <v>29.1</v>
      </c>
      <c r="AK48" s="21">
        <f t="shared" si="1"/>
        <v>32.6</v>
      </c>
      <c r="AL48" s="22">
        <v>34.1</v>
      </c>
      <c r="AM48" s="23">
        <f t="shared" si="2"/>
        <v>-1.5</v>
      </c>
      <c r="AN48" s="23">
        <v>29.887900088417329</v>
      </c>
      <c r="AO48" s="23">
        <f t="shared" si="7"/>
        <v>29.900000000000002</v>
      </c>
      <c r="AP48" s="23">
        <f t="shared" si="4"/>
        <v>1.2099911582673428E-2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2" workbookViewId="0">
      <selection activeCell="N2" sqref="N2:N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8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8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8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8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8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8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8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8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8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8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8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8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8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8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8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8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8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8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8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8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8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8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8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8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8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8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8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8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8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8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8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8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8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8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8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8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8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8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8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8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8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8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8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8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workbookViewId="0">
      <selection activeCell="W3" sqref="W3:W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4" t="s">
        <v>123</v>
      </c>
      <c r="I1" s="75"/>
      <c r="J1" s="76"/>
      <c r="K1" s="71" t="s">
        <v>124</v>
      </c>
      <c r="L1" s="72"/>
      <c r="M1" s="73"/>
      <c r="N1" s="74" t="s">
        <v>125</v>
      </c>
      <c r="O1" s="75"/>
      <c r="P1" s="76"/>
      <c r="Q1" s="71" t="s">
        <v>126</v>
      </c>
      <c r="R1" s="72"/>
      <c r="S1" s="73"/>
      <c r="T1" s="74" t="s">
        <v>127</v>
      </c>
      <c r="U1" s="75"/>
      <c r="V1" s="76"/>
      <c r="W1" s="71" t="s">
        <v>128</v>
      </c>
      <c r="X1" s="72"/>
      <c r="Y1" s="73"/>
      <c r="Z1" s="74" t="s">
        <v>129</v>
      </c>
      <c r="AA1" s="75"/>
      <c r="AB1" s="76"/>
      <c r="AC1" s="71" t="s">
        <v>130</v>
      </c>
      <c r="AD1" s="72"/>
      <c r="AE1" s="73"/>
      <c r="AF1" s="74" t="s">
        <v>131</v>
      </c>
      <c r="AG1" s="75"/>
      <c r="AH1" s="76"/>
      <c r="AI1" s="71" t="s">
        <v>132</v>
      </c>
      <c r="AJ1" s="72"/>
      <c r="AK1" s="73"/>
      <c r="AL1" s="74" t="s">
        <v>133</v>
      </c>
      <c r="AM1" s="75"/>
      <c r="AN1" s="76"/>
      <c r="AO1" s="71" t="s">
        <v>134</v>
      </c>
      <c r="AP1" s="72"/>
      <c r="AQ1" s="73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9" t="s">
        <v>1</v>
      </c>
      <c r="B1" s="81" t="s">
        <v>93</v>
      </c>
      <c r="C1" s="70" t="s">
        <v>94</v>
      </c>
      <c r="D1" s="77" t="s">
        <v>95</v>
      </c>
      <c r="E1" s="77" t="s">
        <v>96</v>
      </c>
      <c r="F1" s="77" t="s">
        <v>97</v>
      </c>
      <c r="G1" s="77" t="s">
        <v>98</v>
      </c>
      <c r="H1" s="77" t="s">
        <v>99</v>
      </c>
      <c r="I1" s="77" t="s">
        <v>100</v>
      </c>
      <c r="J1" s="77" t="s">
        <v>101</v>
      </c>
      <c r="K1" s="77" t="s">
        <v>102</v>
      </c>
      <c r="L1" s="77" t="s">
        <v>103</v>
      </c>
      <c r="M1" s="77" t="s">
        <v>104</v>
      </c>
      <c r="N1" s="77" t="s">
        <v>105</v>
      </c>
      <c r="O1" s="77" t="s">
        <v>106</v>
      </c>
    </row>
    <row r="2" spans="1:15" ht="12.75" customHeight="1" x14ac:dyDescent="0.2">
      <c r="A2" s="80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Jhon Fredy Bermúdez González</cp:lastModifiedBy>
  <cp:lastPrinted>2022-10-25T13:14:52Z</cp:lastPrinted>
  <dcterms:created xsi:type="dcterms:W3CDTF">2007-01-09T17:41:42Z</dcterms:created>
  <dcterms:modified xsi:type="dcterms:W3CDTF">2026-06-30T13:29:46Z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